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전체 산출물\파트별 산출물 1식\1.사업관리\요구사항정의서\"/>
    </mc:Choice>
  </mc:AlternateContent>
  <bookViews>
    <workbookView xWindow="-120" yWindow="-120" windowWidth="29040" windowHeight="15840" tabRatio="730"/>
  </bookViews>
  <sheets>
    <sheet name="표지" sheetId="49" r:id="rId1"/>
    <sheet name="문서정보" sheetId="50" r:id="rId2"/>
    <sheet name="4.아키텍쳐 및 개발환경" sheetId="31" r:id="rId3"/>
    <sheet name="5.인프라" sheetId="52" r:id="rId4"/>
    <sheet name="6.3D 기능 고도화" sheetId="51" r:id="rId5"/>
    <sheet name="7.2D 기능 고도화" sheetId="55" r:id="rId6"/>
    <sheet name="8.데이터 고도화" sheetId="56" r:id="rId7"/>
    <sheet name="9.비기능" sheetId="48" r:id="rId8"/>
    <sheet name="아키텍처 및 개발환경 변경 FP" sheetId="54" r:id="rId9"/>
    <sheet name="1-1.클라우드 FP" sheetId="42" r:id="rId10"/>
    <sheet name="2-1.데이터관리체계 FP" sheetId="43" r:id="rId11"/>
    <sheet name="3-1.통합 개발환경 FP" sheetId="44" r:id="rId12"/>
    <sheet name="4-1.지자체 플랫폼 통합 FP" sheetId="45" r:id="rId13"/>
    <sheet name="5-1.데이터서비스 FP" sheetId="46" r:id="rId14"/>
    <sheet name="6-1.가시화시뮬 FP" sheetId="47"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__" hidden="1">[1]INPUT!$I$2:$I$118</definedName>
    <definedName name="________ML450" localSheetId="3" hidden="1">{#N/A,#N/A,FALSE,"3가";#N/A,#N/A,FALSE,"3나";#N/A,#N/A,FALSE,"3다"}</definedName>
    <definedName name="________ML450" localSheetId="4" hidden="1">{#N/A,#N/A,FALSE,"3가";#N/A,#N/A,FALSE,"3나";#N/A,#N/A,FALSE,"3다"}</definedName>
    <definedName name="________ML450" localSheetId="5" hidden="1">{#N/A,#N/A,FALSE,"3가";#N/A,#N/A,FALSE,"3나";#N/A,#N/A,FALSE,"3다"}</definedName>
    <definedName name="________ML450" localSheetId="6" hidden="1">{#N/A,#N/A,FALSE,"3가";#N/A,#N/A,FALSE,"3나";#N/A,#N/A,FALSE,"3다"}</definedName>
    <definedName name="________ML450" localSheetId="1" hidden="1">{#N/A,#N/A,FALSE,"3가";#N/A,#N/A,FALSE,"3나";#N/A,#N/A,FALSE,"3다"}</definedName>
    <definedName name="________ML450" hidden="1">{#N/A,#N/A,FALSE,"3가";#N/A,#N/A,FALSE,"3나";#N/A,#N/A,FALSE,"3다"}</definedName>
    <definedName name="_______ML450" localSheetId="3" hidden="1">{#N/A,#N/A,FALSE,"3가";#N/A,#N/A,FALSE,"3나";#N/A,#N/A,FALSE,"3다"}</definedName>
    <definedName name="_______ML450" localSheetId="4" hidden="1">{#N/A,#N/A,FALSE,"3가";#N/A,#N/A,FALSE,"3나";#N/A,#N/A,FALSE,"3다"}</definedName>
    <definedName name="_______ML450" localSheetId="5" hidden="1">{#N/A,#N/A,FALSE,"3가";#N/A,#N/A,FALSE,"3나";#N/A,#N/A,FALSE,"3다"}</definedName>
    <definedName name="_______ML450" localSheetId="6" hidden="1">{#N/A,#N/A,FALSE,"3가";#N/A,#N/A,FALSE,"3나";#N/A,#N/A,FALSE,"3다"}</definedName>
    <definedName name="_______ML450" localSheetId="1" hidden="1">{#N/A,#N/A,FALSE,"3가";#N/A,#N/A,FALSE,"3나";#N/A,#N/A,FALSE,"3다"}</definedName>
    <definedName name="_______ML450" hidden="1">{#N/A,#N/A,FALSE,"3가";#N/A,#N/A,FALSE,"3나";#N/A,#N/A,FALSE,"3다"}</definedName>
    <definedName name="______ML450" localSheetId="3" hidden="1">{#N/A,#N/A,FALSE,"3가";#N/A,#N/A,FALSE,"3나";#N/A,#N/A,FALSE,"3다"}</definedName>
    <definedName name="______ML450" localSheetId="4" hidden="1">{#N/A,#N/A,FALSE,"3가";#N/A,#N/A,FALSE,"3나";#N/A,#N/A,FALSE,"3다"}</definedName>
    <definedName name="______ML450" localSheetId="5" hidden="1">{#N/A,#N/A,FALSE,"3가";#N/A,#N/A,FALSE,"3나";#N/A,#N/A,FALSE,"3다"}</definedName>
    <definedName name="______ML450" localSheetId="6" hidden="1">{#N/A,#N/A,FALSE,"3가";#N/A,#N/A,FALSE,"3나";#N/A,#N/A,FALSE,"3다"}</definedName>
    <definedName name="______ML450" localSheetId="1" hidden="1">{#N/A,#N/A,FALSE,"3가";#N/A,#N/A,FALSE,"3나";#N/A,#N/A,FALSE,"3다"}</definedName>
    <definedName name="______ML450" hidden="1">{#N/A,#N/A,FALSE,"3가";#N/A,#N/A,FALSE,"3나";#N/A,#N/A,FALSE,"3다"}</definedName>
    <definedName name="_____key2" hidden="1">'[2]3.일반사상'!$B$5:$B$32</definedName>
    <definedName name="_____ML450" localSheetId="3" hidden="1">{#N/A,#N/A,FALSE,"3가";#N/A,#N/A,FALSE,"3나";#N/A,#N/A,FALSE,"3다"}</definedName>
    <definedName name="_____ML450" localSheetId="4" hidden="1">{#N/A,#N/A,FALSE,"3가";#N/A,#N/A,FALSE,"3나";#N/A,#N/A,FALSE,"3다"}</definedName>
    <definedName name="_____ML450" localSheetId="5" hidden="1">{#N/A,#N/A,FALSE,"3가";#N/A,#N/A,FALSE,"3나";#N/A,#N/A,FALSE,"3다"}</definedName>
    <definedName name="_____ML450" localSheetId="6" hidden="1">{#N/A,#N/A,FALSE,"3가";#N/A,#N/A,FALSE,"3나";#N/A,#N/A,FALSE,"3다"}</definedName>
    <definedName name="_____ML450" localSheetId="1" hidden="1">{#N/A,#N/A,FALSE,"3가";#N/A,#N/A,FALSE,"3나";#N/A,#N/A,FALSE,"3다"}</definedName>
    <definedName name="_____ML450" hidden="1">{#N/A,#N/A,FALSE,"3가";#N/A,#N/A,FALSE,"3나";#N/A,#N/A,FALSE,"3다"}</definedName>
    <definedName name="____key2" hidden="1">'[2]3.일반사상'!$B$5:$B$32</definedName>
    <definedName name="____ML450" localSheetId="3" hidden="1">{#N/A,#N/A,FALSE,"3가";#N/A,#N/A,FALSE,"3나";#N/A,#N/A,FALSE,"3다"}</definedName>
    <definedName name="____ML450" localSheetId="4" hidden="1">{#N/A,#N/A,FALSE,"3가";#N/A,#N/A,FALSE,"3나";#N/A,#N/A,FALSE,"3다"}</definedName>
    <definedName name="____ML450" localSheetId="5" hidden="1">{#N/A,#N/A,FALSE,"3가";#N/A,#N/A,FALSE,"3나";#N/A,#N/A,FALSE,"3다"}</definedName>
    <definedName name="____ML450" localSheetId="6" hidden="1">{#N/A,#N/A,FALSE,"3가";#N/A,#N/A,FALSE,"3나";#N/A,#N/A,FALSE,"3다"}</definedName>
    <definedName name="____ML450" localSheetId="1" hidden="1">{#N/A,#N/A,FALSE,"3가";#N/A,#N/A,FALSE,"3나";#N/A,#N/A,FALSE,"3다"}</definedName>
    <definedName name="____ML450" hidden="1">{#N/A,#N/A,FALSE,"3가";#N/A,#N/A,FALSE,"3나";#N/A,#N/A,FALSE,"3다"}</definedName>
    <definedName name="___key2" hidden="1">'[2]3.일반사상'!$B$5:$B$32</definedName>
    <definedName name="___ML450" localSheetId="3" hidden="1">{#N/A,#N/A,FALSE,"3가";#N/A,#N/A,FALSE,"3나";#N/A,#N/A,FALSE,"3다"}</definedName>
    <definedName name="___ML450" localSheetId="4" hidden="1">{#N/A,#N/A,FALSE,"3가";#N/A,#N/A,FALSE,"3나";#N/A,#N/A,FALSE,"3다"}</definedName>
    <definedName name="___ML450" localSheetId="5" hidden="1">{#N/A,#N/A,FALSE,"3가";#N/A,#N/A,FALSE,"3나";#N/A,#N/A,FALSE,"3다"}</definedName>
    <definedName name="___ML450" localSheetId="6" hidden="1">{#N/A,#N/A,FALSE,"3가";#N/A,#N/A,FALSE,"3나";#N/A,#N/A,FALSE,"3다"}</definedName>
    <definedName name="___ML450" localSheetId="1" hidden="1">{#N/A,#N/A,FALSE,"3가";#N/A,#N/A,FALSE,"3나";#N/A,#N/A,FALSE,"3다"}</definedName>
    <definedName name="___ML450" hidden="1">{#N/A,#N/A,FALSE,"3가";#N/A,#N/A,FALSE,"3나";#N/A,#N/A,FALSE,"3다"}</definedName>
    <definedName name="__123Graph_A" hidden="1">'[3]3.판관비명세서'!$I$6:$I$6</definedName>
    <definedName name="__a1" localSheetId="3" hidden="1">{"'Price List '!$A$1:$R$156"}</definedName>
    <definedName name="__a1" localSheetId="4" hidden="1">{"'Price List '!$A$1:$R$156"}</definedName>
    <definedName name="__a1" localSheetId="5" hidden="1">{"'Price List '!$A$1:$R$156"}</definedName>
    <definedName name="__a1" localSheetId="6" hidden="1">{"'Price List '!$A$1:$R$156"}</definedName>
    <definedName name="__a1" localSheetId="1" hidden="1">{"'Price List '!$A$1:$R$156"}</definedName>
    <definedName name="__a1" hidden="1">{"'Price List '!$A$1:$R$156"}</definedName>
    <definedName name="__a3" localSheetId="3" hidden="1">{"'Price List '!$A$1:$R$156"}</definedName>
    <definedName name="__a3" localSheetId="4" hidden="1">{"'Price List '!$A$1:$R$156"}</definedName>
    <definedName name="__a3" localSheetId="5" hidden="1">{"'Price List '!$A$1:$R$156"}</definedName>
    <definedName name="__a3" localSheetId="6" hidden="1">{"'Price List '!$A$1:$R$156"}</definedName>
    <definedName name="__a3" localSheetId="1" hidden="1">{"'Price List '!$A$1:$R$156"}</definedName>
    <definedName name="__a3" hidden="1">{"'Price List '!$A$1:$R$156"}</definedName>
    <definedName name="__key2" hidden="1">'[4]3.일반사상'!$B$5:$B$32</definedName>
    <definedName name="__ML450" localSheetId="3" hidden="1">{#N/A,#N/A,FALSE,"3가";#N/A,#N/A,FALSE,"3나";#N/A,#N/A,FALSE,"3다"}</definedName>
    <definedName name="__ML450" localSheetId="4" hidden="1">{#N/A,#N/A,FALSE,"3가";#N/A,#N/A,FALSE,"3나";#N/A,#N/A,FALSE,"3다"}</definedName>
    <definedName name="__ML450" localSheetId="5" hidden="1">{#N/A,#N/A,FALSE,"3가";#N/A,#N/A,FALSE,"3나";#N/A,#N/A,FALSE,"3다"}</definedName>
    <definedName name="__ML450" localSheetId="6" hidden="1">{#N/A,#N/A,FALSE,"3가";#N/A,#N/A,FALSE,"3나";#N/A,#N/A,FALSE,"3다"}</definedName>
    <definedName name="__ML450" localSheetId="1" hidden="1">{#N/A,#N/A,FALSE,"3가";#N/A,#N/A,FALSE,"3나";#N/A,#N/A,FALSE,"3다"}</definedName>
    <definedName name="__ML450" hidden="1">{#N/A,#N/A,FALSE,"3가";#N/A,#N/A,FALSE,"3나";#N/A,#N/A,FALSE,"3다"}</definedName>
    <definedName name="__x1" localSheetId="3" hidden="1">{"'Price List '!$A$1:$R$156"}</definedName>
    <definedName name="__x1" localSheetId="4" hidden="1">{"'Price List '!$A$1:$R$156"}</definedName>
    <definedName name="__x1" localSheetId="5" hidden="1">{"'Price List '!$A$1:$R$156"}</definedName>
    <definedName name="__x1" localSheetId="6" hidden="1">{"'Price List '!$A$1:$R$156"}</definedName>
    <definedName name="__x1" localSheetId="1" hidden="1">{"'Price List '!$A$1:$R$156"}</definedName>
    <definedName name="__x1" hidden="1">{"'Price List '!$A$1:$R$156"}</definedName>
    <definedName name="_12345666" localSheetId="1" hidden="1">#REF!</definedName>
    <definedName name="_12345666" localSheetId="0" hidden="1">#REF!</definedName>
    <definedName name="_12345666" hidden="1">#REF!</definedName>
    <definedName name="_2" localSheetId="1" hidden="1">#REF!</definedName>
    <definedName name="_2" localSheetId="0" hidden="1">#REF!</definedName>
    <definedName name="_2" hidden="1">#REF!</definedName>
    <definedName name="_3_0_F" hidden="1">[5]합천내역!#REF!</definedName>
    <definedName name="_3q45_" localSheetId="3" hidden="1">{"'용역비'!$A$4:$C$8"}</definedName>
    <definedName name="_3q45_" localSheetId="4" hidden="1">{"'용역비'!$A$4:$C$8"}</definedName>
    <definedName name="_3q45_" localSheetId="5" hidden="1">{"'용역비'!$A$4:$C$8"}</definedName>
    <definedName name="_3q45_" localSheetId="6" hidden="1">{"'용역비'!$A$4:$C$8"}</definedName>
    <definedName name="_3q45_" localSheetId="7" hidden="1">{"'용역비'!$A$4:$C$8"}</definedName>
    <definedName name="_3q45_" localSheetId="1" hidden="1">{"'용역비'!$A$4:$C$8"}</definedName>
    <definedName name="_3q45_" localSheetId="0" hidden="1">{"'용역비'!$A$4:$C$8"}</definedName>
    <definedName name="_3q45_" hidden="1">{"'용역비'!$A$4:$C$8"}</definedName>
    <definedName name="_5q45_" localSheetId="3" hidden="1">{"'용역비'!$A$4:$C$8"}</definedName>
    <definedName name="_5q45_" localSheetId="4" hidden="1">{"'용역비'!$A$4:$C$8"}</definedName>
    <definedName name="_5q45_" localSheetId="5" hidden="1">{"'용역비'!$A$4:$C$8"}</definedName>
    <definedName name="_5q45_" localSheetId="6" hidden="1">{"'용역비'!$A$4:$C$8"}</definedName>
    <definedName name="_5q45_" localSheetId="7" hidden="1">{"'용역비'!$A$4:$C$8"}</definedName>
    <definedName name="_5q45_" localSheetId="1" hidden="1">{"'용역비'!$A$4:$C$8"}</definedName>
    <definedName name="_5q45_" localSheetId="0" hidden="1">{"'용역비'!$A$4:$C$8"}</definedName>
    <definedName name="_5q45_" hidden="1">{"'용역비'!$A$4:$C$8"}</definedName>
    <definedName name="_6_0_F" hidden="1">[5]합천내역!#REF!</definedName>
    <definedName name="_a1" localSheetId="3" hidden="1">{"'Price List '!$A$1:$R$156"}</definedName>
    <definedName name="_a1" localSheetId="4" hidden="1">{"'Price List '!$A$1:$R$156"}</definedName>
    <definedName name="_a1" localSheetId="5" hidden="1">{"'Price List '!$A$1:$R$156"}</definedName>
    <definedName name="_a1" localSheetId="6" hidden="1">{"'Price List '!$A$1:$R$156"}</definedName>
    <definedName name="_a1" localSheetId="1" hidden="1">{"'Price List '!$A$1:$R$156"}</definedName>
    <definedName name="_a1" hidden="1">{"'Price List '!$A$1:$R$156"}</definedName>
    <definedName name="_a3" localSheetId="3" hidden="1">{"'Price List '!$A$1:$R$156"}</definedName>
    <definedName name="_a3" localSheetId="4" hidden="1">{"'Price List '!$A$1:$R$156"}</definedName>
    <definedName name="_a3" localSheetId="5" hidden="1">{"'Price List '!$A$1:$R$156"}</definedName>
    <definedName name="_a3" localSheetId="6" hidden="1">{"'Price List '!$A$1:$R$156"}</definedName>
    <definedName name="_a3" localSheetId="1" hidden="1">{"'Price List '!$A$1:$R$156"}</definedName>
    <definedName name="_a3" hidden="1">{"'Price List '!$A$1:$R$156"}</definedName>
    <definedName name="_Dist_Bin" hidden="1">#REF!</definedName>
    <definedName name="_Dist_Values" localSheetId="1" hidden="1">#REF!</definedName>
    <definedName name="_Dist_Values" localSheetId="0" hidden="1">#REF!</definedName>
    <definedName name="_Dist_Values" hidden="1">#REF!</definedName>
    <definedName name="_f" localSheetId="1" hidden="1">#REF!</definedName>
    <definedName name="_f" localSheetId="0" hidden="1">#REF!</definedName>
    <definedName name="_f" hidden="1">#REF!</definedName>
    <definedName name="_Fill" localSheetId="1" hidden="1">[6]합천내역!#REF!</definedName>
    <definedName name="_Fill" localSheetId="0" hidden="1">[6]합천내역!#REF!</definedName>
    <definedName name="_Fill" hidden="1">#REF!</definedName>
    <definedName name="_Fill1" localSheetId="1" hidden="1">#REF!</definedName>
    <definedName name="_Fill1" localSheetId="0" hidden="1">#REF!</definedName>
    <definedName name="_Fill1" hidden="1">#REF!</definedName>
    <definedName name="_Filll" localSheetId="1" hidden="1">#REF!</definedName>
    <definedName name="_Filll" localSheetId="0" hidden="1">#REF!</definedName>
    <definedName name="_Filll" hidden="1">#REF!</definedName>
    <definedName name="_FillNew" localSheetId="1" hidden="1">#REF!</definedName>
    <definedName name="_FillNew" localSheetId="0" hidden="1">#REF!</definedName>
    <definedName name="_FillNew" hidden="1">#REF!</definedName>
    <definedName name="_xlnm._FilterDatabase" localSheetId="9" hidden="1">'1-1.클라우드 FP'!$K$4:$Q$105</definedName>
    <definedName name="_xlnm._FilterDatabase" localSheetId="2" hidden="1">'4.아키텍쳐 및 개발환경'!$B$5:$Y$35</definedName>
    <definedName name="_xlnm._FilterDatabase" localSheetId="3" hidden="1">'5.인프라'!$B$5:$Y$18</definedName>
    <definedName name="_xlnm._FilterDatabase" localSheetId="4" hidden="1">'6.3D 기능 고도화'!$B$5:$Y$43</definedName>
    <definedName name="_xlnm._FilterDatabase" localSheetId="5" hidden="1">'7.2D 기능 고도화'!$B$5:$Y$23</definedName>
    <definedName name="_xlnm._FilterDatabase" localSheetId="6" hidden="1">'8.데이터 고도화'!$B$62:$E$65</definedName>
    <definedName name="_xlnm._FilterDatabase" localSheetId="7" hidden="1">'9.비기능'!$A$6:$X$194</definedName>
    <definedName name="_xlnm._FilterDatabase" localSheetId="1" hidden="1">#REF!</definedName>
    <definedName name="_xlnm._FilterDatabase" localSheetId="8" hidden="1">'아키텍처 및 개발환경 변경 FP'!$A$1:$AC$220</definedName>
    <definedName name="_xlnm._FilterDatabase" localSheetId="0" hidden="1">#REF!</definedName>
    <definedName name="_xlnm._FilterDatabase" hidden="1">#REF!</definedName>
    <definedName name="_Key" localSheetId="7" hidden="1">#REF!</definedName>
    <definedName name="_Key" localSheetId="1" hidden="1">#REF!</definedName>
    <definedName name="_Key" localSheetId="0" hidden="1">#REF!</definedName>
    <definedName name="_Key" hidden="1">#REF!</definedName>
    <definedName name="_Key1" localSheetId="1" hidden="1">#REF!</definedName>
    <definedName name="_Key1" localSheetId="0" hidden="1">#REF!</definedName>
    <definedName name="_Key1" hidden="1">#REF!</definedName>
    <definedName name="_Key1New" localSheetId="1" hidden="1">#REF!</definedName>
    <definedName name="_Key1New" localSheetId="0" hidden="1">#REF!</definedName>
    <definedName name="_Key1New" hidden="1">#REF!</definedName>
    <definedName name="_Key2" localSheetId="1" hidden="1">#REF!</definedName>
    <definedName name="_Key2" localSheetId="0" hidden="1">#REF!</definedName>
    <definedName name="_Key2" hidden="1">#REF!</definedName>
    <definedName name="_Key3" localSheetId="1" hidden="1">#REF!</definedName>
    <definedName name="_Key3" localSheetId="0" hidden="1">#REF!</definedName>
    <definedName name="_Key3" hidden="1">#REF!</definedName>
    <definedName name="_kwy1" localSheetId="3" hidden="1">{#N/A,#N/A,FALSE,"ALM-ASISC"}</definedName>
    <definedName name="_kwy1" localSheetId="4" hidden="1">{#N/A,#N/A,FALSE,"ALM-ASISC"}</definedName>
    <definedName name="_kwy1" localSheetId="5" hidden="1">{#N/A,#N/A,FALSE,"ALM-ASISC"}</definedName>
    <definedName name="_kwy1" localSheetId="6" hidden="1">{#N/A,#N/A,FALSE,"ALM-ASISC"}</definedName>
    <definedName name="_kwy1" localSheetId="1" hidden="1">{#N/A,#N/A,FALSE,"ALM-ASISC"}</definedName>
    <definedName name="_kwy1" hidden="1">{#N/A,#N/A,FALSE,"ALM-ASISC"}</definedName>
    <definedName name="_ML450" localSheetId="3" hidden="1">{#N/A,#N/A,FALSE,"3가";#N/A,#N/A,FALSE,"3나";#N/A,#N/A,FALSE,"3다"}</definedName>
    <definedName name="_ML450" localSheetId="4" hidden="1">{#N/A,#N/A,FALSE,"3가";#N/A,#N/A,FALSE,"3나";#N/A,#N/A,FALSE,"3다"}</definedName>
    <definedName name="_ML450" localSheetId="5" hidden="1">{#N/A,#N/A,FALSE,"3가";#N/A,#N/A,FALSE,"3나";#N/A,#N/A,FALSE,"3다"}</definedName>
    <definedName name="_ML450" localSheetId="6" hidden="1">{#N/A,#N/A,FALSE,"3가";#N/A,#N/A,FALSE,"3나";#N/A,#N/A,FALSE,"3다"}</definedName>
    <definedName name="_ML450" localSheetId="1" hidden="1">{#N/A,#N/A,FALSE,"3가";#N/A,#N/A,FALSE,"3나";#N/A,#N/A,FALSE,"3다"}</definedName>
    <definedName name="_ML450" hidden="1">{#N/A,#N/A,FALSE,"3가";#N/A,#N/A,FALSE,"3나";#N/A,#N/A,FALSE,"3다"}</definedName>
    <definedName name="_Order1" hidden="1">255</definedName>
    <definedName name="_Order2" hidden="1">255</definedName>
    <definedName name="_Parse_Out" hidden="1">[7]갑지!#REF!</definedName>
    <definedName name="_q45" localSheetId="3" hidden="1">{"'용역비'!$A$4:$C$8"}</definedName>
    <definedName name="_q45" localSheetId="4" hidden="1">{"'용역비'!$A$4:$C$8"}</definedName>
    <definedName name="_q45" localSheetId="5" hidden="1">{"'용역비'!$A$4:$C$8"}</definedName>
    <definedName name="_q45" localSheetId="6" hidden="1">{"'용역비'!$A$4:$C$8"}</definedName>
    <definedName name="_q45" localSheetId="7" hidden="1">{"'용역비'!$A$4:$C$8"}</definedName>
    <definedName name="_q45" localSheetId="1" hidden="1">{"'용역비'!$A$4:$C$8"}</definedName>
    <definedName name="_q45" localSheetId="0" hidden="1">{"'용역비'!$A$4:$C$8"}</definedName>
    <definedName name="_q45" hidden="1">{"'용역비'!$A$4:$C$8"}</definedName>
    <definedName name="_Regression_Int" hidden="1">1</definedName>
    <definedName name="_Regression_Out" hidden="1">#REF!</definedName>
    <definedName name="_Regression_X" localSheetId="1" hidden="1">#REF!</definedName>
    <definedName name="_Regression_X" localSheetId="0" hidden="1">#REF!</definedName>
    <definedName name="_Regression_X" hidden="1">#REF!</definedName>
    <definedName name="_Regression_Y" localSheetId="1" hidden="1">#REF!</definedName>
    <definedName name="_Regression_Y" localSheetId="0" hidden="1">#REF!</definedName>
    <definedName name="_Regression_Y" hidden="1">#REF!</definedName>
    <definedName name="_Sort" localSheetId="9" hidden="1">#REF!</definedName>
    <definedName name="_Sort" localSheetId="1" hidden="1">#REF!</definedName>
    <definedName name="_Sort" localSheetId="0" hidden="1">#REF!</definedName>
    <definedName name="_Sort" hidden="1">#REF!</definedName>
    <definedName name="_Table1_In1" localSheetId="1" hidden="1">#REF!</definedName>
    <definedName name="_Table1_In1" localSheetId="0" hidden="1">#REF!</definedName>
    <definedName name="_Table1_In1" hidden="1">#REF!</definedName>
    <definedName name="_Table1_Out" localSheetId="1" hidden="1">#REF!</definedName>
    <definedName name="_Table1_Out" localSheetId="0" hidden="1">#REF!</definedName>
    <definedName name="_Table1_Out" hidden="1">#REF!</definedName>
    <definedName name="_x1" localSheetId="3" hidden="1">{"'Price List '!$A$1:$R$156"}</definedName>
    <definedName name="_x1" localSheetId="4" hidden="1">{"'Price List '!$A$1:$R$156"}</definedName>
    <definedName name="_x1" localSheetId="5" hidden="1">{"'Price List '!$A$1:$R$156"}</definedName>
    <definedName name="_x1" localSheetId="6" hidden="1">{"'Price List '!$A$1:$R$156"}</definedName>
    <definedName name="_x1" localSheetId="1" hidden="1">{"'Price List '!$A$1:$R$156"}</definedName>
    <definedName name="_x1" hidden="1">{"'Price List '!$A$1:$R$156"}</definedName>
    <definedName name="_yoon" hidden="1">[7]갑지!#REF!</definedName>
    <definedName name="☞_기능점수__산정방법_선택">'[8]A-1.클라우드 운영관리 FP산정'!#REF!</definedName>
    <definedName name="aa" localSheetId="1" hidden="1">{"'Price List '!$A$1:$R$156"}</definedName>
    <definedName name="aa" localSheetId="0" hidden="1">{"'Price List '!$A$1:$R$156"}</definedName>
    <definedName name="aa" hidden="1">'[9]98수문일위'!$A$1:$P$2004</definedName>
    <definedName name="aaaaaaaaa" localSheetId="3" hidden="1">{"'공사부문'!$A$6:$A$32"}</definedName>
    <definedName name="aaaaaaaaa" localSheetId="4" hidden="1">{"'공사부문'!$A$6:$A$32"}</definedName>
    <definedName name="aaaaaaaaa" localSheetId="5" hidden="1">{"'공사부문'!$A$6:$A$32"}</definedName>
    <definedName name="aaaaaaaaa" localSheetId="6" hidden="1">{"'공사부문'!$A$6:$A$32"}</definedName>
    <definedName name="aaaaaaaaa" localSheetId="7" hidden="1">{"'공사부문'!$A$6:$A$32"}</definedName>
    <definedName name="aaaaaaaaa" localSheetId="1" hidden="1">{"'공사부문'!$A$6:$A$32"}</definedName>
    <definedName name="aaaaaaaaa" localSheetId="0" hidden="1">{"'공사부문'!$A$6:$A$32"}</definedName>
    <definedName name="aaaaaaaaa" hidden="1">{"'공사부문'!$A$6:$A$32"}</definedName>
    <definedName name="AAC" localSheetId="3" hidden="1">{"'Hotel-Price'!$A$1:$H$73"}</definedName>
    <definedName name="AAC" localSheetId="4" hidden="1">{"'Hotel-Price'!$A$1:$H$73"}</definedName>
    <definedName name="AAC" localSheetId="5" hidden="1">{"'Hotel-Price'!$A$1:$H$73"}</definedName>
    <definedName name="AAC" localSheetId="6" hidden="1">{"'Hotel-Price'!$A$1:$H$73"}</definedName>
    <definedName name="AAC" localSheetId="1" hidden="1">{"'Hotel-Price'!$A$1:$H$73"}</definedName>
    <definedName name="AAC" hidden="1">{"'Hotel-Price'!$A$1:$H$73"}</definedName>
    <definedName name="ABC" localSheetId="3" hidden="1">{#N/A,#N/A,FALSE,"3가";#N/A,#N/A,FALSE,"3나";#N/A,#N/A,FALSE,"3다"}</definedName>
    <definedName name="ABC" localSheetId="4" hidden="1">{#N/A,#N/A,FALSE,"3가";#N/A,#N/A,FALSE,"3나";#N/A,#N/A,FALSE,"3다"}</definedName>
    <definedName name="ABC" localSheetId="5" hidden="1">{#N/A,#N/A,FALSE,"3가";#N/A,#N/A,FALSE,"3나";#N/A,#N/A,FALSE,"3다"}</definedName>
    <definedName name="ABC" localSheetId="6" hidden="1">{#N/A,#N/A,FALSE,"3가";#N/A,#N/A,FALSE,"3나";#N/A,#N/A,FALSE,"3다"}</definedName>
    <definedName name="ABC" localSheetId="1" hidden="1">{#N/A,#N/A,FALSE,"3가";#N/A,#N/A,FALSE,"3나";#N/A,#N/A,FALSE,"3다"}</definedName>
    <definedName name="ABC" hidden="1">{#N/A,#N/A,FALSE,"3가";#N/A,#N/A,FALSE,"3나";#N/A,#N/A,FALSE,"3다"}</definedName>
    <definedName name="Access_Button" hidden="1">"KT과금거리_지역좌표_970827_거리계산표_List"</definedName>
    <definedName name="AccessDatabase" localSheetId="1" hidden="1">"D:\업무\삼성\납품검사\RLPAU 미납국소.mdb"</definedName>
    <definedName name="AccessDatabase" localSheetId="0" hidden="1">"D:\업무\삼성\납품검사\RLPAU 미납국소.mdb"</definedName>
    <definedName name="AccessDatabase" hidden="1">"E:\내 문서\요금\KT과금거리 지역좌표_970827.mdb"</definedName>
    <definedName name="adsf\asdf\asdf\" localSheetId="1" hidden="1">#REF!</definedName>
    <definedName name="adsf\asdf\asdf\" localSheetId="0" hidden="1">#REF!</definedName>
    <definedName name="adsf\asdf\asdf\" hidden="1">#REF!</definedName>
    <definedName name="afd" localSheetId="3" hidden="1">{"'용역비'!$A$4:$C$8"}</definedName>
    <definedName name="afd" localSheetId="4" hidden="1">{"'용역비'!$A$4:$C$8"}</definedName>
    <definedName name="afd" localSheetId="5" hidden="1">{"'용역비'!$A$4:$C$8"}</definedName>
    <definedName name="afd" localSheetId="6" hidden="1">{"'용역비'!$A$4:$C$8"}</definedName>
    <definedName name="afd" localSheetId="7" hidden="1">{"'용역비'!$A$4:$C$8"}</definedName>
    <definedName name="afd" localSheetId="1" hidden="1">{"'용역비'!$A$4:$C$8"}</definedName>
    <definedName name="afd" localSheetId="0" hidden="1">{"'용역비'!$A$4:$C$8"}</definedName>
    <definedName name="afd" hidden="1">{"'용역비'!$A$4:$C$8"}</definedName>
    <definedName name="AJ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vilc" hidden="1">#REF!</definedName>
    <definedName name="anscount" hidden="1">1</definedName>
    <definedName name="asd" localSheetId="3" hidden="1">{"'용역비'!$A$4:$C$8"}</definedName>
    <definedName name="asd" localSheetId="4" hidden="1">{"'용역비'!$A$4:$C$8"}</definedName>
    <definedName name="asd" localSheetId="5" hidden="1">{"'용역비'!$A$4:$C$8"}</definedName>
    <definedName name="asd" localSheetId="6" hidden="1">{"'용역비'!$A$4:$C$8"}</definedName>
    <definedName name="asd" localSheetId="7" hidden="1">{"'용역비'!$A$4:$C$8"}</definedName>
    <definedName name="asd" localSheetId="1" hidden="1">{"'용역비'!$A$4:$C$8"}</definedName>
    <definedName name="asd" localSheetId="0" hidden="1">{"'용역비'!$A$4:$C$8"}</definedName>
    <definedName name="asd" hidden="1">{"'용역비'!$A$4:$C$8"}</definedName>
    <definedName name="baseline">'[10]2.일정추적'!#REF!</definedName>
    <definedName name="CCC"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localSheetId="3" hidden="1">{#N/A,#N/A,FALSE,"전력간선"}</definedName>
    <definedName name="CCTV" localSheetId="4" hidden="1">{#N/A,#N/A,FALSE,"전력간선"}</definedName>
    <definedName name="CCTV" localSheetId="5" hidden="1">{#N/A,#N/A,FALSE,"전력간선"}</definedName>
    <definedName name="CCTV" localSheetId="6" hidden="1">{#N/A,#N/A,FALSE,"전력간선"}</definedName>
    <definedName name="CCTV" localSheetId="7" hidden="1">{#N/A,#N/A,FALSE,"전력간선"}</definedName>
    <definedName name="CCTV" localSheetId="1" hidden="1">{#N/A,#N/A,FALSE,"전력간선"}</definedName>
    <definedName name="CCTV" localSheetId="0" hidden="1">{#N/A,#N/A,FALSE,"전력간선"}</definedName>
    <definedName name="CCTV" hidden="1">{#N/A,#N/A,FALSE,"전력간선"}</definedName>
    <definedName name="cgmh" localSheetId="3" hidden="1">{"'용역비'!$A$4:$C$8"}</definedName>
    <definedName name="cgmh" localSheetId="4" hidden="1">{"'용역비'!$A$4:$C$8"}</definedName>
    <definedName name="cgmh" localSheetId="5" hidden="1">{"'용역비'!$A$4:$C$8"}</definedName>
    <definedName name="cgmh" localSheetId="6" hidden="1">{"'용역비'!$A$4:$C$8"}</definedName>
    <definedName name="cgmh" localSheetId="7" hidden="1">{"'용역비'!$A$4:$C$8"}</definedName>
    <definedName name="cgmh" localSheetId="1" hidden="1">{"'용역비'!$A$4:$C$8"}</definedName>
    <definedName name="cgmh" localSheetId="0" hidden="1">{"'용역비'!$A$4:$C$8"}</definedName>
    <definedName name="cgmh" hidden="1">{"'용역비'!$A$4:$C$8"}</definedName>
    <definedName name="CheckDay">#REF!</definedName>
    <definedName name="CONSOLE" localSheetId="3" hidden="1">{#N/A,#N/A,TRUE,"진도율산정기준";#N/A,#N/A,TRUE,"S_CUR";#N/A,#N/A,TRUE,"사업공통"}</definedName>
    <definedName name="CONSOLE" localSheetId="4" hidden="1">{#N/A,#N/A,TRUE,"진도율산정기준";#N/A,#N/A,TRUE,"S_CUR";#N/A,#N/A,TRUE,"사업공통"}</definedName>
    <definedName name="CONSOLE" localSheetId="5" hidden="1">{#N/A,#N/A,TRUE,"진도율산정기준";#N/A,#N/A,TRUE,"S_CUR";#N/A,#N/A,TRUE,"사업공통"}</definedName>
    <definedName name="CONSOLE" localSheetId="6" hidden="1">{#N/A,#N/A,TRUE,"진도율산정기준";#N/A,#N/A,TRUE,"S_CUR";#N/A,#N/A,TRUE,"사업공통"}</definedName>
    <definedName name="CONSOLE" localSheetId="7" hidden="1">{#N/A,#N/A,TRUE,"진도율산정기준";#N/A,#N/A,TRUE,"S_CUR";#N/A,#N/A,TRUE,"사업공통"}</definedName>
    <definedName name="CONSOLE" localSheetId="1" hidden="1">{#N/A,#N/A,TRUE,"진도율산정기준";#N/A,#N/A,TRUE,"S_CUR";#N/A,#N/A,TRUE,"사업공통"}</definedName>
    <definedName name="CONSOLE" localSheetId="0" hidden="1">{#N/A,#N/A,TRUE,"진도율산정기준";#N/A,#N/A,TRUE,"S_CUR";#N/A,#N/A,TRUE,"사업공통"}</definedName>
    <definedName name="CONSOLE" hidden="1">{#N/A,#N/A,TRUE,"진도율산정기준";#N/A,#N/A,TRUE,"S_CUR";#N/A,#N/A,TRUE,"사업공통"}</definedName>
    <definedName name="consulgin" localSheetId="3" hidden="1">{"'Price List '!$A$1:$R$156"}</definedName>
    <definedName name="consulgin" localSheetId="4" hidden="1">{"'Price List '!$A$1:$R$156"}</definedName>
    <definedName name="consulgin" localSheetId="5" hidden="1">{"'Price List '!$A$1:$R$156"}</definedName>
    <definedName name="consulgin" localSheetId="6" hidden="1">{"'Price List '!$A$1:$R$156"}</definedName>
    <definedName name="consulgin" localSheetId="1" hidden="1">{"'Price List '!$A$1:$R$156"}</definedName>
    <definedName name="consulgin" hidden="1">{"'Price List '!$A$1:$R$156"}</definedName>
    <definedName name="consulgin1" localSheetId="3" hidden="1">{"'Price List '!$A$1:$R$156"}</definedName>
    <definedName name="consulgin1" localSheetId="4" hidden="1">{"'Price List '!$A$1:$R$156"}</definedName>
    <definedName name="consulgin1" localSheetId="5" hidden="1">{"'Price List '!$A$1:$R$156"}</definedName>
    <definedName name="consulgin1" localSheetId="6" hidden="1">{"'Price List '!$A$1:$R$156"}</definedName>
    <definedName name="consulgin1" localSheetId="1" hidden="1">{"'Price List '!$A$1:$R$156"}</definedName>
    <definedName name="consulgin1" hidden="1">{"'Price List '!$A$1:$R$156"}</definedName>
    <definedName name="cwe" localSheetId="3" hidden="1">{#N/A,#N/A,FALSE,"ALM-ASISC"}</definedName>
    <definedName name="cwe" localSheetId="4" hidden="1">{#N/A,#N/A,FALSE,"ALM-ASISC"}</definedName>
    <definedName name="cwe" localSheetId="5" hidden="1">{#N/A,#N/A,FALSE,"ALM-ASISC"}</definedName>
    <definedName name="cwe" localSheetId="6" hidden="1">{#N/A,#N/A,FALSE,"ALM-ASISC"}</definedName>
    <definedName name="cwe" localSheetId="1" hidden="1">{#N/A,#N/A,FALSE,"ALM-ASISC"}</definedName>
    <definedName name="cwe" hidden="1">{#N/A,#N/A,FALSE,"ALM-ASISC"}</definedName>
    <definedName name="DB구축지침_현황">[11]WBS!$F$27:$F$31</definedName>
    <definedName name="DDDD" localSheetId="3" hidden="1">{#N/A,#N/A,FALSE,"전력간선"}</definedName>
    <definedName name="DDDD" localSheetId="4" hidden="1">{#N/A,#N/A,FALSE,"전력간선"}</definedName>
    <definedName name="DDDD" localSheetId="5" hidden="1">{#N/A,#N/A,FALSE,"전력간선"}</definedName>
    <definedName name="DDDD" localSheetId="6" hidden="1">{#N/A,#N/A,FALSE,"전력간선"}</definedName>
    <definedName name="DDDD" localSheetId="7" hidden="1">{#N/A,#N/A,FALSE,"전력간선"}</definedName>
    <definedName name="DDDD" localSheetId="1" hidden="1">{#N/A,#N/A,FALSE,"전력간선"}</definedName>
    <definedName name="DDDD" localSheetId="0" hidden="1">{#N/A,#N/A,FALSE,"전력간선"}</definedName>
    <definedName name="DDDD" hidden="1">{#N/A,#N/A,FALSE,"전력간선"}</definedName>
    <definedName name="ddddd" hidden="1">#REF!</definedName>
    <definedName name="ddddddddddddddd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dg" localSheetId="3" hidden="1">{#N/A,#N/A,FALSE,"속도"}</definedName>
    <definedName name="dddddddddddddddddg" localSheetId="4" hidden="1">{#N/A,#N/A,FALSE,"속도"}</definedName>
    <definedName name="dddddddddddddddddg" localSheetId="5" hidden="1">{#N/A,#N/A,FALSE,"속도"}</definedName>
    <definedName name="dddddddddddddddddg" localSheetId="6" hidden="1">{#N/A,#N/A,FALSE,"속도"}</definedName>
    <definedName name="dddddddddddddddddg" localSheetId="7" hidden="1">{#N/A,#N/A,FALSE,"속도"}</definedName>
    <definedName name="dddddddddddddddddg" localSheetId="1" hidden="1">{#N/A,#N/A,FALSE,"속도"}</definedName>
    <definedName name="dddddddddddddddddg" localSheetId="0" hidden="1">{#N/A,#N/A,FALSE,"속도"}</definedName>
    <definedName name="dddddddddddddddddg" hidden="1">{#N/A,#N/A,FALSE,"속도"}</definedName>
    <definedName name="DDFR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j" localSheetId="3" hidden="1">{"'용역비'!$A$4:$C$8"}</definedName>
    <definedName name="dhj" localSheetId="4" hidden="1">{"'용역비'!$A$4:$C$8"}</definedName>
    <definedName name="dhj" localSheetId="5" hidden="1">{"'용역비'!$A$4:$C$8"}</definedName>
    <definedName name="dhj" localSheetId="6" hidden="1">{"'용역비'!$A$4:$C$8"}</definedName>
    <definedName name="dhj" localSheetId="7" hidden="1">{"'용역비'!$A$4:$C$8"}</definedName>
    <definedName name="dhj" localSheetId="1" hidden="1">{"'용역비'!$A$4:$C$8"}</definedName>
    <definedName name="dhj" localSheetId="0" hidden="1">{"'용역비'!$A$4:$C$8"}</definedName>
    <definedName name="dhj" hidden="1">{"'용역비'!$A$4:$C$8"}</definedName>
    <definedName name="DJDJDJDJ" localSheetId="3" hidden="1">{#N/A,#N/A,FALSE,"3가";#N/A,#N/A,FALSE,"3나";#N/A,#N/A,FALSE,"3다"}</definedName>
    <definedName name="DJDJDJDJ" localSheetId="4" hidden="1">{#N/A,#N/A,FALSE,"3가";#N/A,#N/A,FALSE,"3나";#N/A,#N/A,FALSE,"3다"}</definedName>
    <definedName name="DJDJDJDJ" localSheetId="5" hidden="1">{#N/A,#N/A,FALSE,"3가";#N/A,#N/A,FALSE,"3나";#N/A,#N/A,FALSE,"3다"}</definedName>
    <definedName name="DJDJDJDJ" localSheetId="6" hidden="1">{#N/A,#N/A,FALSE,"3가";#N/A,#N/A,FALSE,"3나";#N/A,#N/A,FALSE,"3다"}</definedName>
    <definedName name="DJDJDJDJ" localSheetId="1" hidden="1">{#N/A,#N/A,FALSE,"3가";#N/A,#N/A,FALSE,"3나";#N/A,#N/A,FALSE,"3다"}</definedName>
    <definedName name="DJDJDJDJ" hidden="1">{#N/A,#N/A,FALSE,"3가";#N/A,#N/A,FALSE,"3나";#N/A,#N/A,FALSE,"3다"}</definedName>
    <definedName name="dk" localSheetId="3" hidden="1">{#N/A,#N/A,FALSE,"ALM-ASISC"}</definedName>
    <definedName name="dk" localSheetId="4" hidden="1">{#N/A,#N/A,FALSE,"ALM-ASISC"}</definedName>
    <definedName name="dk" localSheetId="5" hidden="1">{#N/A,#N/A,FALSE,"ALM-ASISC"}</definedName>
    <definedName name="dk" localSheetId="6" hidden="1">{#N/A,#N/A,FALSE,"ALM-ASISC"}</definedName>
    <definedName name="dk" localSheetId="1" hidden="1">{#N/A,#N/A,FALSE,"ALM-ASISC"}</definedName>
    <definedName name="dk" hidden="1">{#N/A,#N/A,FALSE,"ALM-ASISC"}</definedName>
    <definedName name="dkjdlfw" localSheetId="3" hidden="1">{#N/A,#N/A,FALSE,"ALM-ASISC"}</definedName>
    <definedName name="dkjdlfw" localSheetId="4" hidden="1">{#N/A,#N/A,FALSE,"ALM-ASISC"}</definedName>
    <definedName name="dkjdlfw" localSheetId="5" hidden="1">{#N/A,#N/A,FALSE,"ALM-ASISC"}</definedName>
    <definedName name="dkjdlfw" localSheetId="6" hidden="1">{#N/A,#N/A,FALSE,"ALM-ASISC"}</definedName>
    <definedName name="dkjdlfw" localSheetId="1" hidden="1">{#N/A,#N/A,FALSE,"ALM-ASISC"}</definedName>
    <definedName name="dkjdlfw" hidden="1">{#N/A,#N/A,FALSE,"ALM-ASISC"}</definedName>
    <definedName name="dklw" localSheetId="3" hidden="1">{#N/A,#N/A,FALSE,"ALM-ASISC"}</definedName>
    <definedName name="dklw" localSheetId="4" hidden="1">{#N/A,#N/A,FALSE,"ALM-ASISC"}</definedName>
    <definedName name="dklw" localSheetId="5" hidden="1">{#N/A,#N/A,FALSE,"ALM-ASISC"}</definedName>
    <definedName name="dklw" localSheetId="6" hidden="1">{#N/A,#N/A,FALSE,"ALM-ASISC"}</definedName>
    <definedName name="dklw" localSheetId="1" hidden="1">{#N/A,#N/A,FALSE,"ALM-ASISC"}</definedName>
    <definedName name="dklw" hidden="1">{#N/A,#N/A,FALSE,"ALM-ASISC"}</definedName>
    <definedName name="dkw" localSheetId="3" hidden="1">{#N/A,#N/A,FALSE,"ALM-ASISC"}</definedName>
    <definedName name="dkw" localSheetId="4" hidden="1">{#N/A,#N/A,FALSE,"ALM-ASISC"}</definedName>
    <definedName name="dkw" localSheetId="5" hidden="1">{#N/A,#N/A,FALSE,"ALM-ASISC"}</definedName>
    <definedName name="dkw" localSheetId="6" hidden="1">{#N/A,#N/A,FALSE,"ALM-ASISC"}</definedName>
    <definedName name="dkw" localSheetId="1" hidden="1">{#N/A,#N/A,FALSE,"ALM-ASISC"}</definedName>
    <definedName name="dkw" hidden="1">{#N/A,#N/A,FALSE,"ALM-ASISC"}</definedName>
    <definedName name="dlff" localSheetId="3" hidden="1">{#N/A,#N/A,FALSE,"운반시간"}</definedName>
    <definedName name="dlff" localSheetId="4" hidden="1">{#N/A,#N/A,FALSE,"운반시간"}</definedName>
    <definedName name="dlff" localSheetId="5" hidden="1">{#N/A,#N/A,FALSE,"운반시간"}</definedName>
    <definedName name="dlff" localSheetId="6" hidden="1">{#N/A,#N/A,FALSE,"운반시간"}</definedName>
    <definedName name="dlff" localSheetId="7" hidden="1">{#N/A,#N/A,FALSE,"운반시간"}</definedName>
    <definedName name="dlff" localSheetId="1" hidden="1">{#N/A,#N/A,FALSE,"운반시간"}</definedName>
    <definedName name="dlff" localSheetId="0" hidden="1">{#N/A,#N/A,FALSE,"운반시간"}</definedName>
    <definedName name="dlff" hidden="1">{#N/A,#N/A,FALSE,"운반시간"}</definedName>
    <definedName name="dn" localSheetId="3" hidden="1">{#N/A,#N/A,FALSE,"혼합골재"}</definedName>
    <definedName name="dn" localSheetId="4" hidden="1">{#N/A,#N/A,FALSE,"혼합골재"}</definedName>
    <definedName name="dn" localSheetId="5" hidden="1">{#N/A,#N/A,FALSE,"혼합골재"}</definedName>
    <definedName name="dn" localSheetId="6" hidden="1">{#N/A,#N/A,FALSE,"혼합골재"}</definedName>
    <definedName name="dn" localSheetId="7" hidden="1">{#N/A,#N/A,FALSE,"혼합골재"}</definedName>
    <definedName name="dn" localSheetId="1" hidden="1">{#N/A,#N/A,FALSE,"혼합골재"}</definedName>
    <definedName name="dn" localSheetId="0" hidden="1">{#N/A,#N/A,FALSE,"혼합골재"}</definedName>
    <definedName name="dn" hidden="1">{#N/A,#N/A,FALSE,"혼합골재"}</definedName>
    <definedName name="dsadf" hidden="1">'[12]D-경비1'!#REF!</definedName>
    <definedName name="dsdsd" localSheetId="3" hidden="1">{#N/A,#N/A,FALSE,"운반시간"}</definedName>
    <definedName name="dsdsd" localSheetId="4" hidden="1">{#N/A,#N/A,FALSE,"운반시간"}</definedName>
    <definedName name="dsdsd" localSheetId="5" hidden="1">{#N/A,#N/A,FALSE,"운반시간"}</definedName>
    <definedName name="dsdsd" localSheetId="6" hidden="1">{#N/A,#N/A,FALSE,"운반시간"}</definedName>
    <definedName name="dsdsd" localSheetId="7" hidden="1">{#N/A,#N/A,FALSE,"운반시간"}</definedName>
    <definedName name="dsdsd" localSheetId="1" hidden="1">{#N/A,#N/A,FALSE,"운반시간"}</definedName>
    <definedName name="dsdsd" localSheetId="0" hidden="1">{#N/A,#N/A,FALSE,"운반시간"}</definedName>
    <definedName name="dsdsd" hidden="1">{#N/A,#N/A,FALSE,"운반시간"}</definedName>
    <definedName name="dsfga" localSheetId="3" hidden="1">{#N/A,#N/A,FALSE,"3가";#N/A,#N/A,FALSE,"3나";#N/A,#N/A,FALSE,"3다"}</definedName>
    <definedName name="dsfga" localSheetId="4" hidden="1">{#N/A,#N/A,FALSE,"3가";#N/A,#N/A,FALSE,"3나";#N/A,#N/A,FALSE,"3다"}</definedName>
    <definedName name="dsfga" localSheetId="5" hidden="1">{#N/A,#N/A,FALSE,"3가";#N/A,#N/A,FALSE,"3나";#N/A,#N/A,FALSE,"3다"}</definedName>
    <definedName name="dsfga" localSheetId="6" hidden="1">{#N/A,#N/A,FALSE,"3가";#N/A,#N/A,FALSE,"3나";#N/A,#N/A,FALSE,"3다"}</definedName>
    <definedName name="dsfga" localSheetId="1" hidden="1">{#N/A,#N/A,FALSE,"3가";#N/A,#N/A,FALSE,"3나";#N/A,#N/A,FALSE,"3다"}</definedName>
    <definedName name="dsfga" hidden="1">{#N/A,#N/A,FALSE,"3가";#N/A,#N/A,FALSE,"3나";#N/A,#N/A,FALSE,"3다"}</definedName>
    <definedName name="DW" localSheetId="3" hidden="1">{"'용역비'!$A$4:$C$8"}</definedName>
    <definedName name="DW" localSheetId="4" hidden="1">{"'용역비'!$A$4:$C$8"}</definedName>
    <definedName name="DW" localSheetId="5" hidden="1">{"'용역비'!$A$4:$C$8"}</definedName>
    <definedName name="DW" localSheetId="6" hidden="1">{"'용역비'!$A$4:$C$8"}</definedName>
    <definedName name="DW" localSheetId="7" hidden="1">{"'용역비'!$A$4:$C$8"}</definedName>
    <definedName name="DW" localSheetId="1" hidden="1">{"'용역비'!$A$4:$C$8"}</definedName>
    <definedName name="DW" localSheetId="0" hidden="1">{"'용역비'!$A$4:$C$8"}</definedName>
    <definedName name="DW" hidden="1">{"'용역비'!$A$4:$C$8"}</definedName>
    <definedName name="DWD" localSheetId="3" hidden="1">{#N/A,#N/A,FALSE,"전력간선"}</definedName>
    <definedName name="DWD" localSheetId="4" hidden="1">{#N/A,#N/A,FALSE,"전력간선"}</definedName>
    <definedName name="DWD" localSheetId="5" hidden="1">{#N/A,#N/A,FALSE,"전력간선"}</definedName>
    <definedName name="DWD" localSheetId="6" hidden="1">{#N/A,#N/A,FALSE,"전력간선"}</definedName>
    <definedName name="DWD" localSheetId="7" hidden="1">{#N/A,#N/A,FALSE,"전력간선"}</definedName>
    <definedName name="DWD" localSheetId="1" hidden="1">{#N/A,#N/A,FALSE,"전력간선"}</definedName>
    <definedName name="DWD" localSheetId="0" hidden="1">{#N/A,#N/A,FALSE,"전력간선"}</definedName>
    <definedName name="DWD" hidden="1">{#N/A,#N/A,FALSE,"전력간선"}</definedName>
    <definedName name="edssqq" localSheetId="3" hidden="1">{#N/A,#N/A,FALSE,"혼합골재"}</definedName>
    <definedName name="edssqq" localSheetId="4" hidden="1">{#N/A,#N/A,FALSE,"혼합골재"}</definedName>
    <definedName name="edssqq" localSheetId="5" hidden="1">{#N/A,#N/A,FALSE,"혼합골재"}</definedName>
    <definedName name="edssqq" localSheetId="6" hidden="1">{#N/A,#N/A,FALSE,"혼합골재"}</definedName>
    <definedName name="edssqq" localSheetId="7" hidden="1">{#N/A,#N/A,FALSE,"혼합골재"}</definedName>
    <definedName name="edssqq" localSheetId="1" hidden="1">{#N/A,#N/A,FALSE,"혼합골재"}</definedName>
    <definedName name="edssqq" localSheetId="0" hidden="1">{#N/A,#N/A,FALSE,"혼합골재"}</definedName>
    <definedName name="edssqq" hidden="1">{#N/A,#N/A,FALSE,"혼합골재"}</definedName>
    <definedName name="ee" localSheetId="3" hidden="1">{#N/A,#N/A,FALSE,"단가표지"}</definedName>
    <definedName name="ee" localSheetId="4" hidden="1">{#N/A,#N/A,FALSE,"단가표지"}</definedName>
    <definedName name="ee" localSheetId="5" hidden="1">{#N/A,#N/A,FALSE,"단가표지"}</definedName>
    <definedName name="ee" localSheetId="6" hidden="1">{#N/A,#N/A,FALSE,"단가표지"}</definedName>
    <definedName name="ee" localSheetId="7" hidden="1">{#N/A,#N/A,FALSE,"단가표지"}</definedName>
    <definedName name="ee" localSheetId="1" hidden="1">{#N/A,#N/A,FALSE,"단가표지"}</definedName>
    <definedName name="ee" localSheetId="0" hidden="1">{#N/A,#N/A,FALSE,"단가표지"}</definedName>
    <definedName name="ee" hidden="1">{#N/A,#N/A,FALSE,"단가표지"}</definedName>
    <definedName name="ee44rr" localSheetId="3" hidden="1">{"'용역비'!$A$4:$C$8"}</definedName>
    <definedName name="ee44rr" localSheetId="4" hidden="1">{"'용역비'!$A$4:$C$8"}</definedName>
    <definedName name="ee44rr" localSheetId="5" hidden="1">{"'용역비'!$A$4:$C$8"}</definedName>
    <definedName name="ee44rr" localSheetId="6" hidden="1">{"'용역비'!$A$4:$C$8"}</definedName>
    <definedName name="ee44rr" localSheetId="7" hidden="1">{"'용역비'!$A$4:$C$8"}</definedName>
    <definedName name="ee44rr" localSheetId="1" hidden="1">{"'용역비'!$A$4:$C$8"}</definedName>
    <definedName name="ee44rr" localSheetId="0" hidden="1">{"'용역비'!$A$4:$C$8"}</definedName>
    <definedName name="ee44rr" hidden="1">{"'용역비'!$A$4:$C$8"}</definedName>
    <definedName name="EE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G" localSheetId="3" hidden="1">{"'용역비'!$A$4:$C$8"}</definedName>
    <definedName name="EFG" localSheetId="4" hidden="1">{"'용역비'!$A$4:$C$8"}</definedName>
    <definedName name="EFG" localSheetId="5" hidden="1">{"'용역비'!$A$4:$C$8"}</definedName>
    <definedName name="EFG" localSheetId="6" hidden="1">{"'용역비'!$A$4:$C$8"}</definedName>
    <definedName name="EFG" localSheetId="7" hidden="1">{"'용역비'!$A$4:$C$8"}</definedName>
    <definedName name="EFG" localSheetId="1" hidden="1">{"'용역비'!$A$4:$C$8"}</definedName>
    <definedName name="EFG" localSheetId="0" hidden="1">{"'용역비'!$A$4:$C$8"}</definedName>
    <definedName name="EFG" hidden="1">{"'용역비'!$A$4:$C$8"}</definedName>
    <definedName name="EGE" localSheetId="3" hidden="1">{"'용역비'!$A$4:$C$8"}</definedName>
    <definedName name="EGE" localSheetId="4" hidden="1">{"'용역비'!$A$4:$C$8"}</definedName>
    <definedName name="EGE" localSheetId="5" hidden="1">{"'용역비'!$A$4:$C$8"}</definedName>
    <definedName name="EGE" localSheetId="6" hidden="1">{"'용역비'!$A$4:$C$8"}</definedName>
    <definedName name="EGE" localSheetId="7" hidden="1">{"'용역비'!$A$4:$C$8"}</definedName>
    <definedName name="EGE" localSheetId="1" hidden="1">{"'용역비'!$A$4:$C$8"}</definedName>
    <definedName name="EGE" localSheetId="0" hidden="1">{"'용역비'!$A$4:$C$8"}</definedName>
    <definedName name="EGE" hidden="1">{"'용역비'!$A$4:$C$8"}</definedName>
    <definedName name="ej" localSheetId="3" hidden="1">{"'용역비'!$A$4:$C$8"}</definedName>
    <definedName name="ej" localSheetId="4" hidden="1">{"'용역비'!$A$4:$C$8"}</definedName>
    <definedName name="ej" localSheetId="5" hidden="1">{"'용역비'!$A$4:$C$8"}</definedName>
    <definedName name="ej" localSheetId="6" hidden="1">{"'용역비'!$A$4:$C$8"}</definedName>
    <definedName name="ej" localSheetId="7" hidden="1">{"'용역비'!$A$4:$C$8"}</definedName>
    <definedName name="ej" localSheetId="1" hidden="1">{"'용역비'!$A$4:$C$8"}</definedName>
    <definedName name="ej" localSheetId="0" hidden="1">{"'용역비'!$A$4:$C$8"}</definedName>
    <definedName name="ej" hidden="1">{"'용역비'!$A$4:$C$8"}</definedName>
    <definedName name="ENJ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3" hidden="1">{"'용역비'!$A$4:$C$8"}</definedName>
    <definedName name="ertyertye" localSheetId="4" hidden="1">{"'용역비'!$A$4:$C$8"}</definedName>
    <definedName name="ertyertye" localSheetId="5" hidden="1">{"'용역비'!$A$4:$C$8"}</definedName>
    <definedName name="ertyertye" localSheetId="6" hidden="1">{"'용역비'!$A$4:$C$8"}</definedName>
    <definedName name="ertyertye" localSheetId="7" hidden="1">{"'용역비'!$A$4:$C$8"}</definedName>
    <definedName name="ertyertye" localSheetId="1" hidden="1">{"'용역비'!$A$4:$C$8"}</definedName>
    <definedName name="ertyertye" localSheetId="0" hidden="1">{"'용역비'!$A$4:$C$8"}</definedName>
    <definedName name="ertyertye" hidden="1">{"'용역비'!$A$4:$C$8"}</definedName>
    <definedName name="ERYETY" hidden="1">'[13]N賃率-職'!$I$5:$I$30</definedName>
    <definedName name="ETYETY" localSheetId="3" hidden="1">{"'용역비'!$A$4:$C$8"}</definedName>
    <definedName name="ETYETY" localSheetId="4" hidden="1">{"'용역비'!$A$4:$C$8"}</definedName>
    <definedName name="ETYETY" localSheetId="5" hidden="1">{"'용역비'!$A$4:$C$8"}</definedName>
    <definedName name="ETYETY" localSheetId="6" hidden="1">{"'용역비'!$A$4:$C$8"}</definedName>
    <definedName name="ETYETY" localSheetId="7" hidden="1">{"'용역비'!$A$4:$C$8"}</definedName>
    <definedName name="ETYETY" localSheetId="1" hidden="1">{"'용역비'!$A$4:$C$8"}</definedName>
    <definedName name="ETYETY" localSheetId="0" hidden="1">{"'용역비'!$A$4:$C$8"}</definedName>
    <definedName name="ETYETY" hidden="1">{"'용역비'!$A$4:$C$8"}</definedName>
    <definedName name="etyj" localSheetId="3" hidden="1">{"'용역비'!$A$4:$C$8"}</definedName>
    <definedName name="etyj" localSheetId="4" hidden="1">{"'용역비'!$A$4:$C$8"}</definedName>
    <definedName name="etyj" localSheetId="5" hidden="1">{"'용역비'!$A$4:$C$8"}</definedName>
    <definedName name="etyj" localSheetId="6" hidden="1">{"'용역비'!$A$4:$C$8"}</definedName>
    <definedName name="etyj" localSheetId="7" hidden="1">{"'용역비'!$A$4:$C$8"}</definedName>
    <definedName name="etyj" localSheetId="1" hidden="1">{"'용역비'!$A$4:$C$8"}</definedName>
    <definedName name="etyj" localSheetId="0" hidden="1">{"'용역비'!$A$4:$C$8"}</definedName>
    <definedName name="etyj" hidden="1">{"'용역비'!$A$4:$C$8"}</definedName>
    <definedName name="etyjj" localSheetId="3" hidden="1">{"'용역비'!$A$4:$C$8"}</definedName>
    <definedName name="etyjj" localSheetId="4" hidden="1">{"'용역비'!$A$4:$C$8"}</definedName>
    <definedName name="etyjj" localSheetId="5" hidden="1">{"'용역비'!$A$4:$C$8"}</definedName>
    <definedName name="etyjj" localSheetId="6" hidden="1">{"'용역비'!$A$4:$C$8"}</definedName>
    <definedName name="etyjj" localSheetId="7" hidden="1">{"'용역비'!$A$4:$C$8"}</definedName>
    <definedName name="etyjj" localSheetId="1" hidden="1">{"'용역비'!$A$4:$C$8"}</definedName>
    <definedName name="etyjj" localSheetId="0" hidden="1">{"'용역비'!$A$4:$C$8"}</definedName>
    <definedName name="etyjj" hidden="1">{"'용역비'!$A$4:$C$8"}</definedName>
    <definedName name="ETYJTYJ" localSheetId="3" hidden="1">{"'용역비'!$A$4:$C$8"}</definedName>
    <definedName name="ETYJTYJ" localSheetId="4" hidden="1">{"'용역비'!$A$4:$C$8"}</definedName>
    <definedName name="ETYJTYJ" localSheetId="5" hidden="1">{"'용역비'!$A$4:$C$8"}</definedName>
    <definedName name="ETYJTYJ" localSheetId="6" hidden="1">{"'용역비'!$A$4:$C$8"}</definedName>
    <definedName name="ETYJTYJ" localSheetId="7" hidden="1">{"'용역비'!$A$4:$C$8"}</definedName>
    <definedName name="ETYJTYJ" localSheetId="1" hidden="1">{"'용역비'!$A$4:$C$8"}</definedName>
    <definedName name="ETYJTYJ" localSheetId="0" hidden="1">{"'용역비'!$A$4:$C$8"}</definedName>
    <definedName name="ETYJTYJ" hidden="1">{"'용역비'!$A$4:$C$8"}</definedName>
    <definedName name="fff" hidden="1">#REF!</definedName>
    <definedName name="f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fffff" hidden="1">#REF!</definedName>
    <definedName name="FHFH" hidden="1">[14]수량산출!$A$1:$A$8561</definedName>
    <definedName name="FHFK" hidden="1">[14]수량산출!#REF!</definedName>
    <definedName name="FK" localSheetId="3" hidden="1">{"'용역비'!$A$4:$C$8"}</definedName>
    <definedName name="FK" localSheetId="4" hidden="1">{"'용역비'!$A$4:$C$8"}</definedName>
    <definedName name="FK" localSheetId="5" hidden="1">{"'용역비'!$A$4:$C$8"}</definedName>
    <definedName name="FK" localSheetId="6" hidden="1">{"'용역비'!$A$4:$C$8"}</definedName>
    <definedName name="FK" localSheetId="7" hidden="1">{"'용역비'!$A$4:$C$8"}</definedName>
    <definedName name="FK" localSheetId="1" hidden="1">{"'용역비'!$A$4:$C$8"}</definedName>
    <definedName name="FK" localSheetId="0" hidden="1">{"'용역비'!$A$4:$C$8"}</definedName>
    <definedName name="FK" hidden="1">{"'용역비'!$A$4:$C$8"}</definedName>
    <definedName name="fkwheku" localSheetId="3" hidden="1">{#N/A,#N/A,FALSE,"ALM-ASISC"}</definedName>
    <definedName name="fkwheku" localSheetId="4" hidden="1">{#N/A,#N/A,FALSE,"ALM-ASISC"}</definedName>
    <definedName name="fkwheku" localSheetId="5" hidden="1">{#N/A,#N/A,FALSE,"ALM-ASISC"}</definedName>
    <definedName name="fkwheku" localSheetId="6" hidden="1">{#N/A,#N/A,FALSE,"ALM-ASISC"}</definedName>
    <definedName name="fkwheku" localSheetId="1" hidden="1">{#N/A,#N/A,FALSE,"ALM-ASISC"}</definedName>
    <definedName name="fkwheku" hidden="1">{#N/A,#N/A,FALSE,"ALM-ASISC"}</definedName>
    <definedName name="fv" localSheetId="3" hidden="1">{#N/A,#N/A,FALSE,"전력간선"}</definedName>
    <definedName name="fv" localSheetId="4" hidden="1">{#N/A,#N/A,FALSE,"전력간선"}</definedName>
    <definedName name="fv" localSheetId="5" hidden="1">{#N/A,#N/A,FALSE,"전력간선"}</definedName>
    <definedName name="fv" localSheetId="6" hidden="1">{#N/A,#N/A,FALSE,"전력간선"}</definedName>
    <definedName name="fv" localSheetId="7" hidden="1">{#N/A,#N/A,FALSE,"전력간선"}</definedName>
    <definedName name="fv" localSheetId="1" hidden="1">{#N/A,#N/A,FALSE,"전력간선"}</definedName>
    <definedName name="fv" localSheetId="0" hidden="1">{#N/A,#N/A,FALSE,"전력간선"}</definedName>
    <definedName name="fv" hidden="1">{#N/A,#N/A,FALSE,"전력간선"}</definedName>
    <definedName name="GEMCO" hidden="1">#REF!</definedName>
    <definedName name="gfdsdfg" localSheetId="3" hidden="1">{#N/A,#N/A,FALSE,"3가";#N/A,#N/A,FALSE,"3나";#N/A,#N/A,FALSE,"3다"}</definedName>
    <definedName name="gfdsdfg" localSheetId="4" hidden="1">{#N/A,#N/A,FALSE,"3가";#N/A,#N/A,FALSE,"3나";#N/A,#N/A,FALSE,"3다"}</definedName>
    <definedName name="gfdsdfg" localSheetId="5" hidden="1">{#N/A,#N/A,FALSE,"3가";#N/A,#N/A,FALSE,"3나";#N/A,#N/A,FALSE,"3다"}</definedName>
    <definedName name="gfdsdfg" localSheetId="6" hidden="1">{#N/A,#N/A,FALSE,"3가";#N/A,#N/A,FALSE,"3나";#N/A,#N/A,FALSE,"3다"}</definedName>
    <definedName name="gfdsdfg" localSheetId="1" hidden="1">{#N/A,#N/A,FALSE,"3가";#N/A,#N/A,FALSE,"3나";#N/A,#N/A,FALSE,"3다"}</definedName>
    <definedName name="gfdsdfg" hidden="1">{#N/A,#N/A,FALSE,"3가";#N/A,#N/A,FALSE,"3나";#N/A,#N/A,FALSE,"3다"}</definedName>
    <definedName name="gfgdfg" hidden="1">[15]차액보증!#REF!</definedName>
    <definedName name="gfjdjkyt" hidden="1">'[13]N賃率-職'!$I$5:$I$30</definedName>
    <definedName name="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gg" hidden="1">[16]수량산출!#REF!</definedName>
    <definedName name="ggggggggggggggggg" localSheetId="3" hidden="1">{#N/A,#N/A,FALSE,"이정표"}</definedName>
    <definedName name="ggggggggggggggggg" localSheetId="4" hidden="1">{#N/A,#N/A,FALSE,"이정표"}</definedName>
    <definedName name="ggggggggggggggggg" localSheetId="5" hidden="1">{#N/A,#N/A,FALSE,"이정표"}</definedName>
    <definedName name="ggggggggggggggggg" localSheetId="6" hidden="1">{#N/A,#N/A,FALSE,"이정표"}</definedName>
    <definedName name="ggggggggggggggggg" localSheetId="7" hidden="1">{#N/A,#N/A,FALSE,"이정표"}</definedName>
    <definedName name="ggggggggggggggggg" localSheetId="1" hidden="1">{#N/A,#N/A,FALSE,"이정표"}</definedName>
    <definedName name="ggggggggggggggggg" localSheetId="0" hidden="1">{#N/A,#N/A,FALSE,"이정표"}</definedName>
    <definedName name="ggggggggggggggggg" hidden="1">{#N/A,#N/A,FALSE,"이정표"}</definedName>
    <definedName name="GGGTR"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'[17]N賃率-職'!$I$5:$I$30</definedName>
    <definedName name="grew" localSheetId="5" hidden="1">#REF!</definedName>
    <definedName name="grew" localSheetId="1" hidden="1">#REF!</definedName>
    <definedName name="grew" localSheetId="0" hidden="1">#REF!</definedName>
    <definedName name="grew" hidden="1">#REF!</definedName>
    <definedName name="GRT" localSheetId="1" hidden="1">#REF!</definedName>
    <definedName name="GRT" localSheetId="0" hidden="1">#REF!</definedName>
    <definedName name="GRT" hidden="1">#REF!</definedName>
    <definedName name="GUS" localSheetId="3" hidden="1">{#N/A,#N/A,FALSE,"현장 NCR 분석";#N/A,#N/A,FALSE,"현장품질감사";#N/A,#N/A,FALSE,"현장품질감사"}</definedName>
    <definedName name="GUS" localSheetId="4" hidden="1">{#N/A,#N/A,FALSE,"현장 NCR 분석";#N/A,#N/A,FALSE,"현장품질감사";#N/A,#N/A,FALSE,"현장품질감사"}</definedName>
    <definedName name="GUS" localSheetId="5" hidden="1">{#N/A,#N/A,FALSE,"현장 NCR 분석";#N/A,#N/A,FALSE,"현장품질감사";#N/A,#N/A,FALSE,"현장품질감사"}</definedName>
    <definedName name="GUS" localSheetId="6" hidden="1">{#N/A,#N/A,FALSE,"현장 NCR 분석";#N/A,#N/A,FALSE,"현장품질감사";#N/A,#N/A,FALSE,"현장품질감사"}</definedName>
    <definedName name="GUS" localSheetId="1" hidden="1">{#N/A,#N/A,FALSE,"현장 NCR 분석";#N/A,#N/A,FALSE,"현장품질감사";#N/A,#N/A,FALSE,"현장품질감사"}</definedName>
    <definedName name="GUS" hidden="1">{#N/A,#N/A,FALSE,"현장 NCR 분석";#N/A,#N/A,FALSE,"현장품질감사";#N/A,#N/A,FALSE,"현장품질감사"}</definedName>
    <definedName name="H" localSheetId="3" hidden="1">{#N/A,#N/A,FALSE,"3가";#N/A,#N/A,FALSE,"3나";#N/A,#N/A,FALSE,"3다"}</definedName>
    <definedName name="H" localSheetId="4" hidden="1">{#N/A,#N/A,FALSE,"3가";#N/A,#N/A,FALSE,"3나";#N/A,#N/A,FALSE,"3다"}</definedName>
    <definedName name="H" localSheetId="5" hidden="1">{#N/A,#N/A,FALSE,"3가";#N/A,#N/A,FALSE,"3나";#N/A,#N/A,FALSE,"3다"}</definedName>
    <definedName name="H" localSheetId="6" hidden="1">{#N/A,#N/A,FALSE,"3가";#N/A,#N/A,FALSE,"3나";#N/A,#N/A,FALSE,"3다"}</definedName>
    <definedName name="H" localSheetId="1" hidden="1">{#N/A,#N/A,FALSE,"3가";#N/A,#N/A,FALSE,"3나";#N/A,#N/A,FALSE,"3다"}</definedName>
    <definedName name="H" hidden="1">{#N/A,#N/A,FALSE,"3가";#N/A,#N/A,FALSE,"3나";#N/A,#N/A,FALSE,"3다"}</definedName>
    <definedName name="h5h" localSheetId="3" hidden="1">{#N/A,#N/A,FALSE,"포장2"}</definedName>
    <definedName name="h5h" localSheetId="4" hidden="1">{#N/A,#N/A,FALSE,"포장2"}</definedName>
    <definedName name="h5h" localSheetId="5" hidden="1">{#N/A,#N/A,FALSE,"포장2"}</definedName>
    <definedName name="h5h" localSheetId="6" hidden="1">{#N/A,#N/A,FALSE,"포장2"}</definedName>
    <definedName name="h5h" localSheetId="7" hidden="1">{#N/A,#N/A,FALSE,"포장2"}</definedName>
    <definedName name="h5h" localSheetId="1" hidden="1">{#N/A,#N/A,FALSE,"포장2"}</definedName>
    <definedName name="h5h" localSheetId="0" hidden="1">{#N/A,#N/A,FALSE,"포장2"}</definedName>
    <definedName name="h5h" hidden="1">{#N/A,#N/A,FALSE,"포장2"}</definedName>
    <definedName name="h6h6"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n" hidden="1">#REF!</definedName>
    <definedName name="hardwar" hidden="1">[18]Sheet1!#REF!</definedName>
    <definedName name="hejlkw" localSheetId="3" hidden="1">{#N/A,#N/A,FALSE,"ALM-ASISC"}</definedName>
    <definedName name="hejlkw" localSheetId="4" hidden="1">{#N/A,#N/A,FALSE,"ALM-ASISC"}</definedName>
    <definedName name="hejlkw" localSheetId="5" hidden="1">{#N/A,#N/A,FALSE,"ALM-ASISC"}</definedName>
    <definedName name="hejlkw" localSheetId="6" hidden="1">{#N/A,#N/A,FALSE,"ALM-ASISC"}</definedName>
    <definedName name="hejlkw" localSheetId="1" hidden="1">{#N/A,#N/A,FALSE,"ALM-ASISC"}</definedName>
    <definedName name="hejlkw" hidden="1">{#N/A,#N/A,FALSE,"ALM-ASISC"}</definedName>
    <definedName name="hgkjgfd" hidden="1">'[19]N賃率-職'!$I$5:$I$30</definedName>
    <definedName name="HH" localSheetId="5" hidden="1">#REF!</definedName>
    <definedName name="HH" localSheetId="1" hidden="1">#REF!</definedName>
    <definedName name="HH" localSheetId="0" hidden="1">#REF!</definedName>
    <definedName name="HH" hidden="1">#REF!</definedName>
    <definedName name="hhh" localSheetId="1" hidden="1">{#N/A,#N/A,FALSE,"3가";#N/A,#N/A,FALSE,"3나";#N/A,#N/A,FALSE,"3다"}</definedName>
    <definedName name="hhh" localSheetId="0" hidden="1">{#N/A,#N/A,FALSE,"3가";#N/A,#N/A,FALSE,"3나";#N/A,#N/A,FALSE,"3다"}</definedName>
    <definedName name="HHH" hidden="1">#REF!</definedName>
    <definedName name="HHHH" localSheetId="1" hidden="1">#REF!</definedName>
    <definedName name="HHHH" localSheetId="0" hidden="1">#REF!</definedName>
    <definedName name="HHHH" hidden="1">#REF!</definedName>
    <definedName name="hhhhhhh" localSheetId="1" hidden="1">#REF!</definedName>
    <definedName name="hhhhhhh" localSheetId="0" hidden="1">#REF!</definedName>
    <definedName name="hhhhhhh" hidden="1">#REF!</definedName>
    <definedName name="hhhhhh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hh" localSheetId="3" hidden="1">{#N/A,#N/A,FALSE,"구조2"}</definedName>
    <definedName name="hhhhhhhhhh" localSheetId="4" hidden="1">{#N/A,#N/A,FALSE,"구조2"}</definedName>
    <definedName name="hhhhhhhhhh" localSheetId="5" hidden="1">{#N/A,#N/A,FALSE,"구조2"}</definedName>
    <definedName name="hhhhhhhhhh" localSheetId="6" hidden="1">{#N/A,#N/A,FALSE,"구조2"}</definedName>
    <definedName name="hhhhhhhhhh" localSheetId="7" hidden="1">{#N/A,#N/A,FALSE,"구조2"}</definedName>
    <definedName name="hhhhhhhhhh" localSheetId="1" hidden="1">{#N/A,#N/A,FALSE,"구조2"}</definedName>
    <definedName name="hhhhhhhhhh" localSheetId="0" hidden="1">{#N/A,#N/A,FALSE,"구조2"}</definedName>
    <definedName name="hhhhhhhhhh" hidden="1">{#N/A,#N/A,FALSE,"구조2"}</definedName>
    <definedName name="hhhhhhhhhhhhhhh" localSheetId="3" hidden="1">{#N/A,#N/A,FALSE,"배수2"}</definedName>
    <definedName name="hhhhhhhhhhhhhhh" localSheetId="4" hidden="1">{#N/A,#N/A,FALSE,"배수2"}</definedName>
    <definedName name="hhhhhhhhhhhhhhh" localSheetId="5" hidden="1">{#N/A,#N/A,FALSE,"배수2"}</definedName>
    <definedName name="hhhhhhhhhhhhhhh" localSheetId="6" hidden="1">{#N/A,#N/A,FALSE,"배수2"}</definedName>
    <definedName name="hhhhhhhhhhhhhhh" localSheetId="7" hidden="1">{#N/A,#N/A,FALSE,"배수2"}</definedName>
    <definedName name="hhhhhhhhhhhhhhh" localSheetId="1" hidden="1">{#N/A,#N/A,FALSE,"배수2"}</definedName>
    <definedName name="hhhhhhhhhhhhhhh" localSheetId="0" hidden="1">{#N/A,#N/A,FALSE,"배수2"}</definedName>
    <definedName name="hhhhhhhhhhhhhhh" hidden="1">{#N/A,#N/A,FALSE,"배수2"}</definedName>
    <definedName name="hhhhhhhhhhhhhhhhh" localSheetId="3" hidden="1">{#N/A,#N/A,FALSE,"배수1"}</definedName>
    <definedName name="hhhhhhhhhhhhhhhhh" localSheetId="4" hidden="1">{#N/A,#N/A,FALSE,"배수1"}</definedName>
    <definedName name="hhhhhhhhhhhhhhhhh" localSheetId="5" hidden="1">{#N/A,#N/A,FALSE,"배수1"}</definedName>
    <definedName name="hhhhhhhhhhhhhhhhh" localSheetId="6" hidden="1">{#N/A,#N/A,FALSE,"배수1"}</definedName>
    <definedName name="hhhhhhhhhhhhhhhhh" localSheetId="7" hidden="1">{#N/A,#N/A,FALSE,"배수1"}</definedName>
    <definedName name="hhhhhhhhhhhhhhhhh" localSheetId="1" hidden="1">{#N/A,#N/A,FALSE,"배수1"}</definedName>
    <definedName name="hhhhhhhhhhhhhhhhh" localSheetId="0" hidden="1">{#N/A,#N/A,FALSE,"배수1"}</definedName>
    <definedName name="hhhhhhhhhhhhhhhhh" hidden="1">{#N/A,#N/A,FALSE,"배수1"}</definedName>
    <definedName name="hhhhhhhhhhhhhhhhhh" localSheetId="3" hidden="1">{#N/A,#N/A,FALSE,"부대1"}</definedName>
    <definedName name="hhhhhhhhhhhhhhhhhh" localSheetId="4" hidden="1">{#N/A,#N/A,FALSE,"부대1"}</definedName>
    <definedName name="hhhhhhhhhhhhhhhhhh" localSheetId="5" hidden="1">{#N/A,#N/A,FALSE,"부대1"}</definedName>
    <definedName name="hhhhhhhhhhhhhhhhhh" localSheetId="6" hidden="1">{#N/A,#N/A,FALSE,"부대1"}</definedName>
    <definedName name="hhhhhhhhhhhhhhhhhh" localSheetId="7" hidden="1">{#N/A,#N/A,FALSE,"부대1"}</definedName>
    <definedName name="hhhhhhhhhhhhhhhhhh" localSheetId="1" hidden="1">{#N/A,#N/A,FALSE,"부대1"}</definedName>
    <definedName name="hhhhhhhhhhhhhhhhhh" localSheetId="0" hidden="1">{#N/A,#N/A,FALSE,"부대1"}</definedName>
    <definedName name="hhhhhhhhhhhhhhhhhh" hidden="1">{#N/A,#N/A,FALSE,"부대1"}</definedName>
    <definedName name="hhhttt" localSheetId="3" hidden="1">{"'용역비'!$A$4:$C$8"}</definedName>
    <definedName name="hhhttt" localSheetId="4" hidden="1">{"'용역비'!$A$4:$C$8"}</definedName>
    <definedName name="hhhttt" localSheetId="5" hidden="1">{"'용역비'!$A$4:$C$8"}</definedName>
    <definedName name="hhhttt" localSheetId="6" hidden="1">{"'용역비'!$A$4:$C$8"}</definedName>
    <definedName name="hhhttt" localSheetId="7" hidden="1">{"'용역비'!$A$4:$C$8"}</definedName>
    <definedName name="hhhttt" localSheetId="1" hidden="1">{"'용역비'!$A$4:$C$8"}</definedName>
    <definedName name="hhhttt" localSheetId="0" hidden="1">{"'용역비'!$A$4:$C$8"}</definedName>
    <definedName name="hhhttt" hidden="1">{"'용역비'!$A$4:$C$8"}</definedName>
    <definedName name="hsdgfjhf" localSheetId="3" hidden="1">{#N/A,#N/A,FALSE,"ALM-ASISC"}</definedName>
    <definedName name="hsdgfjhf" localSheetId="4" hidden="1">{#N/A,#N/A,FALSE,"ALM-ASISC"}</definedName>
    <definedName name="hsdgfjhf" localSheetId="5" hidden="1">{#N/A,#N/A,FALSE,"ALM-ASISC"}</definedName>
    <definedName name="hsdgfjhf" localSheetId="6" hidden="1">{#N/A,#N/A,FALSE,"ALM-ASISC"}</definedName>
    <definedName name="hsdgfjhf" localSheetId="1" hidden="1">{#N/A,#N/A,FALSE,"ALM-ASISC"}</definedName>
    <definedName name="hsdgfjhf" hidden="1">{#N/A,#N/A,FALSE,"ALM-ASISC"}</definedName>
    <definedName name="HSR" localSheetId="3" hidden="1">{"'용역비'!$A$4:$C$8"}</definedName>
    <definedName name="HSR" localSheetId="4" hidden="1">{"'용역비'!$A$4:$C$8"}</definedName>
    <definedName name="HSR" localSheetId="5" hidden="1">{"'용역비'!$A$4:$C$8"}</definedName>
    <definedName name="HSR" localSheetId="6" hidden="1">{"'용역비'!$A$4:$C$8"}</definedName>
    <definedName name="HSR" localSheetId="7" hidden="1">{"'용역비'!$A$4:$C$8"}</definedName>
    <definedName name="HSR" localSheetId="1" hidden="1">{"'용역비'!$A$4:$C$8"}</definedName>
    <definedName name="HSR" localSheetId="0" hidden="1">{"'용역비'!$A$4:$C$8"}</definedName>
    <definedName name="HSR" hidden="1">{"'용역비'!$A$4:$C$8"}</definedName>
    <definedName name="hth5h" localSheetId="3" hidden="1">{#N/A,#N/A,FALSE,"토공2"}</definedName>
    <definedName name="hth5h" localSheetId="4" hidden="1">{#N/A,#N/A,FALSE,"토공2"}</definedName>
    <definedName name="hth5h" localSheetId="5" hidden="1">{#N/A,#N/A,FALSE,"토공2"}</definedName>
    <definedName name="hth5h" localSheetId="6" hidden="1">{#N/A,#N/A,FALSE,"토공2"}</definedName>
    <definedName name="hth5h" localSheetId="7" hidden="1">{#N/A,#N/A,FALSE,"토공2"}</definedName>
    <definedName name="hth5h" localSheetId="1" hidden="1">{#N/A,#N/A,FALSE,"토공2"}</definedName>
    <definedName name="hth5h" localSheetId="0" hidden="1">{#N/A,#N/A,FALSE,"토공2"}</definedName>
    <definedName name="hth5h" hidden="1">{#N/A,#N/A,FALSE,"토공2"}</definedName>
    <definedName name="HTML_CodePage" localSheetId="1" hidden="1">1252</definedName>
    <definedName name="HTML_CodePage" localSheetId="0" hidden="1">1252</definedName>
    <definedName name="HTML_CodePage" hidden="1">949</definedName>
    <definedName name="HTML_Control" localSheetId="3" hidden="1">{"'공사부문'!$A$6:$A$32"}</definedName>
    <definedName name="HTML_Control" localSheetId="4" hidden="1">{"'공사부문'!$A$6:$A$32"}</definedName>
    <definedName name="HTML_Control" localSheetId="5" hidden="1">{"'공사부문'!$A$6:$A$32"}</definedName>
    <definedName name="HTML_Control" localSheetId="6" hidden="1">{"'공사부문'!$A$6:$A$32"}</definedName>
    <definedName name="HTML_Control" localSheetId="7" hidden="1">{"'공사부문'!$A$6:$A$32"}</definedName>
    <definedName name="HTML_Control" localSheetId="1" hidden="1">{"'Price List '!$A$1:$R$156"}</definedName>
    <definedName name="HTML_Control" localSheetId="0" hidden="1">{"'Hotel-Price'!$A$1:$H$73"}</definedName>
    <definedName name="HTML_Control" hidden="1">{"'공사부문'!$A$6:$A$32"}</definedName>
    <definedName name="HTML_Control1" localSheetId="3" hidden="1">{"'Price List '!$A$1:$R$156"}</definedName>
    <definedName name="HTML_Control1" localSheetId="4" hidden="1">{"'Price List '!$A$1:$R$156"}</definedName>
    <definedName name="HTML_Control1" localSheetId="5" hidden="1">{"'Price List '!$A$1:$R$156"}</definedName>
    <definedName name="HTML_Control1" localSheetId="6" hidden="1">{"'Price List '!$A$1:$R$156"}</definedName>
    <definedName name="HTML_Control1" localSheetId="1" hidden="1">{"'Price List '!$A$1:$R$156"}</definedName>
    <definedName name="HTML_Control1" hidden="1">{"'Price List '!$A$1:$R$156"}</definedName>
    <definedName name="HTML_Description" hidden="1">""</definedName>
    <definedName name="HTML_Email" hidden="1">""</definedName>
    <definedName name="HTML_Header" localSheetId="1" hidden="1">""</definedName>
    <definedName name="HTML_Header" localSheetId="0" hidden="1">"Hotel-Price"</definedName>
    <definedName name="HTML_Header" hidden="1">"공사부문"</definedName>
    <definedName name="HTML_LastUpdate" localSheetId="1" hidden="1">""</definedName>
    <definedName name="HTML_LastUpdate" localSheetId="0" hidden="1">"25-May-98"</definedName>
    <definedName name="HTML_LastUpdate" hidden="1">"98-04-27"</definedName>
    <definedName name="HTML_LineAfter" hidden="1">FALSE</definedName>
    <definedName name="HTML_LineBefore" hidden="1">FALSE</definedName>
    <definedName name="HTML_Name" localSheetId="1" hidden="1">""</definedName>
    <definedName name="HTML_Name" localSheetId="0" hidden="1">"Robert Adam"</definedName>
    <definedName name="HTML_Name" hidden="1">"김준곤"</definedName>
    <definedName name="HTML_OBDlg2" hidden="1">TRUE</definedName>
    <definedName name="HTML_OBDlg4" hidden="1">TRUE</definedName>
    <definedName name="HTML_OS" hidden="1">0</definedName>
    <definedName name="HTML_PathFile" localSheetId="1" hidden="1">"C:\Temp\infoprice\051900\MyHTML.htm"</definedName>
    <definedName name="HTML_PathFile" localSheetId="0" hidden="1">"c:\swissotl.htm"</definedName>
    <definedName name="HTML_PathFile" hidden="1">"C:\WINNT\Profiles\Administrator\Personal\MyHTML.htm"</definedName>
    <definedName name="HTML_Title" localSheetId="1" hidden="1">"ePL5_19b"</definedName>
    <definedName name="HTML_Title" localSheetId="0" hidden="1">"SWISS98"</definedName>
    <definedName name="HTML_Title" hidden="1">"시중노임단가"</definedName>
    <definedName name="II" localSheetId="3" hidden="1">{"'용역비'!$A$4:$C$8"}</definedName>
    <definedName name="II" localSheetId="4" hidden="1">{"'용역비'!$A$4:$C$8"}</definedName>
    <definedName name="II" localSheetId="5" hidden="1">{"'용역비'!$A$4:$C$8"}</definedName>
    <definedName name="II" localSheetId="6" hidden="1">{"'용역비'!$A$4:$C$8"}</definedName>
    <definedName name="II" localSheetId="7" hidden="1">{"'용역비'!$A$4:$C$8"}</definedName>
    <definedName name="II" localSheetId="1" hidden="1">{"'용역비'!$A$4:$C$8"}</definedName>
    <definedName name="II" localSheetId="0" hidden="1">{"'용역비'!$A$4:$C$8"}</definedName>
    <definedName name="II" hidden="1">{"'용역비'!$A$4:$C$8"}</definedName>
    <definedName name="IIII" localSheetId="3" hidden="1">{"'용역비'!$A$4:$C$8"}</definedName>
    <definedName name="IIII" localSheetId="4" hidden="1">{"'용역비'!$A$4:$C$8"}</definedName>
    <definedName name="IIII" localSheetId="5" hidden="1">{"'용역비'!$A$4:$C$8"}</definedName>
    <definedName name="IIII" localSheetId="6" hidden="1">{"'용역비'!$A$4:$C$8"}</definedName>
    <definedName name="IIII" localSheetId="7" hidden="1">{"'용역비'!$A$4:$C$8"}</definedName>
    <definedName name="IIII" localSheetId="1" hidden="1">{"'용역비'!$A$4:$C$8"}</definedName>
    <definedName name="IIII" localSheetId="0" hidden="1">{"'용역비'!$A$4:$C$8"}</definedName>
    <definedName name="IIII" hidden="1">{"'용역비'!$A$4:$C$8"}</definedName>
    <definedName name="IIIII" localSheetId="3" hidden="1">{"'용역비'!$A$4:$C$8"}</definedName>
    <definedName name="IIIII" localSheetId="4" hidden="1">{"'용역비'!$A$4:$C$8"}</definedName>
    <definedName name="IIIII" localSheetId="5" hidden="1">{"'용역비'!$A$4:$C$8"}</definedName>
    <definedName name="IIIII" localSheetId="6" hidden="1">{"'용역비'!$A$4:$C$8"}</definedName>
    <definedName name="IIIII" localSheetId="7" hidden="1">{"'용역비'!$A$4:$C$8"}</definedName>
    <definedName name="IIIII" localSheetId="1" hidden="1">{"'용역비'!$A$4:$C$8"}</definedName>
    <definedName name="IIIII" localSheetId="0" hidden="1">{"'용역비'!$A$4:$C$8"}</definedName>
    <definedName name="IIIII" hidden="1">{"'용역비'!$A$4:$C$8"}</definedName>
    <definedName name="IIJELLS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OI" localSheetId="3" hidden="1">{"'용역비'!$A$4:$C$8"}</definedName>
    <definedName name="IOI" localSheetId="4" hidden="1">{"'용역비'!$A$4:$C$8"}</definedName>
    <definedName name="IOI" localSheetId="5" hidden="1">{"'용역비'!$A$4:$C$8"}</definedName>
    <definedName name="IOI" localSheetId="6" hidden="1">{"'용역비'!$A$4:$C$8"}</definedName>
    <definedName name="IOI" localSheetId="7" hidden="1">{"'용역비'!$A$4:$C$8"}</definedName>
    <definedName name="IOI" localSheetId="1" hidden="1">{"'용역비'!$A$4:$C$8"}</definedName>
    <definedName name="IOI" localSheetId="0" hidden="1">{"'용역비'!$A$4:$C$8"}</definedName>
    <definedName name="IOI" hidden="1">{"'용역비'!$A$4:$C$8"}</definedName>
    <definedName name="IWFIC" localSheetId="3" hidden="1">{#N/A,#N/A,FALSE,"ALM-ASISC"}</definedName>
    <definedName name="IWFIC" localSheetId="4" hidden="1">{#N/A,#N/A,FALSE,"ALM-ASISC"}</definedName>
    <definedName name="IWFIC" localSheetId="5" hidden="1">{#N/A,#N/A,FALSE,"ALM-ASISC"}</definedName>
    <definedName name="IWFIC" localSheetId="6" hidden="1">{#N/A,#N/A,FALSE,"ALM-ASISC"}</definedName>
    <definedName name="IWFIC" localSheetId="1" hidden="1">{#N/A,#N/A,FALSE,"ALM-ASISC"}</definedName>
    <definedName name="IWFIC" hidden="1">{#N/A,#N/A,FALSE,"ALM-ASISC"}</definedName>
    <definedName name="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66h" localSheetId="3" hidden="1">{#N/A,#N/A,FALSE,"포장1";#N/A,#N/A,FALSE,"포장1"}</definedName>
    <definedName name="j666h" localSheetId="4" hidden="1">{#N/A,#N/A,FALSE,"포장1";#N/A,#N/A,FALSE,"포장1"}</definedName>
    <definedName name="j666h" localSheetId="5" hidden="1">{#N/A,#N/A,FALSE,"포장1";#N/A,#N/A,FALSE,"포장1"}</definedName>
    <definedName name="j666h" localSheetId="6" hidden="1">{#N/A,#N/A,FALSE,"포장1";#N/A,#N/A,FALSE,"포장1"}</definedName>
    <definedName name="j666h" localSheetId="7" hidden="1">{#N/A,#N/A,FALSE,"포장1";#N/A,#N/A,FALSE,"포장1"}</definedName>
    <definedName name="j666h" localSheetId="1" hidden="1">{#N/A,#N/A,FALSE,"포장1";#N/A,#N/A,FALSE,"포장1"}</definedName>
    <definedName name="j666h" localSheetId="0" hidden="1">{#N/A,#N/A,FALSE,"포장1";#N/A,#N/A,FALSE,"포장1"}</definedName>
    <definedName name="j666h" hidden="1">{#N/A,#N/A,FALSE,"포장1";#N/A,#N/A,FALSE,"포장1"}</definedName>
    <definedName name="j6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dkl" localSheetId="3" hidden="1">{#N/A,#N/A,FALSE,"ALM-ASISC"}</definedName>
    <definedName name="jdkl" localSheetId="4" hidden="1">{#N/A,#N/A,FALSE,"ALM-ASISC"}</definedName>
    <definedName name="jdkl" localSheetId="5" hidden="1">{#N/A,#N/A,FALSE,"ALM-ASISC"}</definedName>
    <definedName name="jdkl" localSheetId="6" hidden="1">{#N/A,#N/A,FALSE,"ALM-ASISC"}</definedName>
    <definedName name="jdkl" localSheetId="1" hidden="1">{#N/A,#N/A,FALSE,"ALM-ASISC"}</definedName>
    <definedName name="jdkl" hidden="1">{#N/A,#N/A,FALSE,"ALM-ASISC"}</definedName>
    <definedName name="jeklw" localSheetId="3" hidden="1">{#N/A,#N/A,FALSE,"ALM-ASISC"}</definedName>
    <definedName name="jeklw" localSheetId="4" hidden="1">{#N/A,#N/A,FALSE,"ALM-ASISC"}</definedName>
    <definedName name="jeklw" localSheetId="5" hidden="1">{#N/A,#N/A,FALSE,"ALM-ASISC"}</definedName>
    <definedName name="jeklw" localSheetId="6" hidden="1">{#N/A,#N/A,FALSE,"ALM-ASISC"}</definedName>
    <definedName name="jeklw" localSheetId="1" hidden="1">{#N/A,#N/A,FALSE,"ALM-ASISC"}</definedName>
    <definedName name="jeklw" hidden="1">{#N/A,#N/A,FALSE,"ALM-ASISC"}</definedName>
    <definedName name="jihoo" localSheetId="3" hidden="1">{#N/A,#N/A,FALSE,"전력간선"}</definedName>
    <definedName name="jihoo" localSheetId="4" hidden="1">{#N/A,#N/A,FALSE,"전력간선"}</definedName>
    <definedName name="jihoo" localSheetId="5" hidden="1">{#N/A,#N/A,FALSE,"전력간선"}</definedName>
    <definedName name="jihoo" localSheetId="6" hidden="1">{#N/A,#N/A,FALSE,"전력간선"}</definedName>
    <definedName name="jihoo" localSheetId="7" hidden="1">{#N/A,#N/A,FALSE,"전력간선"}</definedName>
    <definedName name="jihoo" localSheetId="1" hidden="1">{#N/A,#N/A,FALSE,"전력간선"}</definedName>
    <definedName name="jihoo" localSheetId="0" hidden="1">{#N/A,#N/A,FALSE,"전력간선"}</definedName>
    <definedName name="jihoo" hidden="1">{#N/A,#N/A,FALSE,"전력간선"}</definedName>
    <definedName name="j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3" hidden="1">{#N/A,#N/A,FALSE,"현장 NCR 분석";#N/A,#N/A,FALSE,"현장품질감사";#N/A,#N/A,FALSE,"현장품질감사"}</definedName>
    <definedName name="JK" localSheetId="4" hidden="1">{#N/A,#N/A,FALSE,"현장 NCR 분석";#N/A,#N/A,FALSE,"현장품질감사";#N/A,#N/A,FALSE,"현장품질감사"}</definedName>
    <definedName name="JK" localSheetId="5" hidden="1">{#N/A,#N/A,FALSE,"현장 NCR 분석";#N/A,#N/A,FALSE,"현장품질감사";#N/A,#N/A,FALSE,"현장품질감사"}</definedName>
    <definedName name="JK" localSheetId="6" hidden="1">{#N/A,#N/A,FALSE,"현장 NCR 분석";#N/A,#N/A,FALSE,"현장품질감사";#N/A,#N/A,FALSE,"현장품질감사"}</definedName>
    <definedName name="JK" localSheetId="1" hidden="1">{#N/A,#N/A,FALSE,"현장 NCR 분석";#N/A,#N/A,FALSE,"현장품질감사";#N/A,#N/A,FALSE,"현장품질감사"}</definedName>
    <definedName name="JK" hidden="1">{#N/A,#N/A,FALSE,"현장 NCR 분석";#N/A,#N/A,FALSE,"현장품질감사";#N/A,#N/A,FALSE,"현장품질감사"}</definedName>
    <definedName name="jkghjgk" localSheetId="1" hidden="1">#REF!</definedName>
    <definedName name="jkghjgk" localSheetId="0" hidden="1">#REF!</definedName>
    <definedName name="jkghjgk" hidden="1">#REF!</definedName>
    <definedName name="JSH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7k7k77k7k7k7" localSheetId="3" hidden="1">{#N/A,#N/A,FALSE,"구조2"}</definedName>
    <definedName name="k7k7k77k7k7k7" localSheetId="4" hidden="1">{#N/A,#N/A,FALSE,"구조2"}</definedName>
    <definedName name="k7k7k77k7k7k7" localSheetId="5" hidden="1">{#N/A,#N/A,FALSE,"구조2"}</definedName>
    <definedName name="k7k7k77k7k7k7" localSheetId="6" hidden="1">{#N/A,#N/A,FALSE,"구조2"}</definedName>
    <definedName name="k7k7k77k7k7k7" localSheetId="7" hidden="1">{#N/A,#N/A,FALSE,"구조2"}</definedName>
    <definedName name="k7k7k77k7k7k7" localSheetId="1" hidden="1">{#N/A,#N/A,FALSE,"구조2"}</definedName>
    <definedName name="k7k7k77k7k7k7" localSheetId="0" hidden="1">{#N/A,#N/A,FALSE,"구조2"}</definedName>
    <definedName name="k7k7k77k7k7k7" hidden="1">{#N/A,#N/A,FALSE,"구조2"}</definedName>
    <definedName name="KCCKC" localSheetId="3" hidden="1">{#N/A,#N/A,FALSE,"3가";#N/A,#N/A,FALSE,"3나";#N/A,#N/A,FALSE,"3다"}</definedName>
    <definedName name="KCCKC" localSheetId="4" hidden="1">{#N/A,#N/A,FALSE,"3가";#N/A,#N/A,FALSE,"3나";#N/A,#N/A,FALSE,"3다"}</definedName>
    <definedName name="KCCKC" localSheetId="5" hidden="1">{#N/A,#N/A,FALSE,"3가";#N/A,#N/A,FALSE,"3나";#N/A,#N/A,FALSE,"3다"}</definedName>
    <definedName name="KCCKC" localSheetId="6" hidden="1">{#N/A,#N/A,FALSE,"3가";#N/A,#N/A,FALSE,"3나";#N/A,#N/A,FALSE,"3다"}</definedName>
    <definedName name="KCCKC" localSheetId="1" hidden="1">{#N/A,#N/A,FALSE,"3가";#N/A,#N/A,FALSE,"3나";#N/A,#N/A,FALSE,"3다"}</definedName>
    <definedName name="KCCKC" hidden="1">{#N/A,#N/A,FALSE,"3가";#N/A,#N/A,FALSE,"3나";#N/A,#N/A,FALSE,"3다"}</definedName>
    <definedName name="kdjlw" localSheetId="3" hidden="1">{#N/A,#N/A,FALSE,"ALM-ASISC"}</definedName>
    <definedName name="kdjlw" localSheetId="4" hidden="1">{#N/A,#N/A,FALSE,"ALM-ASISC"}</definedName>
    <definedName name="kdjlw" localSheetId="5" hidden="1">{#N/A,#N/A,FALSE,"ALM-ASISC"}</definedName>
    <definedName name="kdjlw" localSheetId="6" hidden="1">{#N/A,#N/A,FALSE,"ALM-ASISC"}</definedName>
    <definedName name="kdjlw" localSheetId="1" hidden="1">{#N/A,#N/A,FALSE,"ALM-ASISC"}</definedName>
    <definedName name="kdjlw" hidden="1">{#N/A,#N/A,FALSE,"ALM-ASISC"}</definedName>
    <definedName name="kdljw" localSheetId="3" hidden="1">{#N/A,#N/A,FALSE,"ALM-ASISC"}</definedName>
    <definedName name="kdljw" localSheetId="4" hidden="1">{#N/A,#N/A,FALSE,"ALM-ASISC"}</definedName>
    <definedName name="kdljw" localSheetId="5" hidden="1">{#N/A,#N/A,FALSE,"ALM-ASISC"}</definedName>
    <definedName name="kdljw" localSheetId="6" hidden="1">{#N/A,#N/A,FALSE,"ALM-ASISC"}</definedName>
    <definedName name="kdljw" localSheetId="1" hidden="1">{#N/A,#N/A,FALSE,"ALM-ASISC"}</definedName>
    <definedName name="kdljw" hidden="1">{#N/A,#N/A,FALSE,"ALM-ASISC"}</definedName>
    <definedName name="KDLW" localSheetId="3" hidden="1">{#N/A,#N/A,FALSE,"ALM-ASISC"}</definedName>
    <definedName name="KDLW" localSheetId="4" hidden="1">{#N/A,#N/A,FALSE,"ALM-ASISC"}</definedName>
    <definedName name="KDLW" localSheetId="5" hidden="1">{#N/A,#N/A,FALSE,"ALM-ASISC"}</definedName>
    <definedName name="KDLW" localSheetId="6" hidden="1">{#N/A,#N/A,FALSE,"ALM-ASISC"}</definedName>
    <definedName name="KDLW" localSheetId="1" hidden="1">{#N/A,#N/A,FALSE,"ALM-ASISC"}</definedName>
    <definedName name="KDLW" hidden="1">{#N/A,#N/A,FALSE,"ALM-ASISC"}</definedName>
    <definedName name="KK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jwl" localSheetId="3" hidden="1">{#N/A,#N/A,FALSE,"ALM-ASISC"}</definedName>
    <definedName name="kldjwl" localSheetId="4" hidden="1">{#N/A,#N/A,FALSE,"ALM-ASISC"}</definedName>
    <definedName name="kldjwl" localSheetId="5" hidden="1">{#N/A,#N/A,FALSE,"ALM-ASISC"}</definedName>
    <definedName name="kldjwl" localSheetId="6" hidden="1">{#N/A,#N/A,FALSE,"ALM-ASISC"}</definedName>
    <definedName name="kldjwl" localSheetId="1" hidden="1">{#N/A,#N/A,FALSE,"ALM-ASISC"}</definedName>
    <definedName name="kldjwl" hidden="1">{#N/A,#N/A,FALSE,"ALM-ASISC"}</definedName>
    <definedName name="kljdklw" localSheetId="3" hidden="1">{#N/A,#N/A,FALSE,"ALM-ASISC"}</definedName>
    <definedName name="kljdklw" localSheetId="4" hidden="1">{#N/A,#N/A,FALSE,"ALM-ASISC"}</definedName>
    <definedName name="kljdklw" localSheetId="5" hidden="1">{#N/A,#N/A,FALSE,"ALM-ASISC"}</definedName>
    <definedName name="kljdklw" localSheetId="6" hidden="1">{#N/A,#N/A,FALSE,"ALM-ASISC"}</definedName>
    <definedName name="kljdklw" localSheetId="1" hidden="1">{#N/A,#N/A,FALSE,"ALM-ASISC"}</definedName>
    <definedName name="kljdklw" hidden="1">{#N/A,#N/A,FALSE,"ALM-ASISC"}</definedName>
    <definedName name="klwjdk" localSheetId="3" hidden="1">{#N/A,#N/A,FALSE,"ALM-ASISC"}</definedName>
    <definedName name="klwjdk" localSheetId="4" hidden="1">{#N/A,#N/A,FALSE,"ALM-ASISC"}</definedName>
    <definedName name="klwjdk" localSheetId="5" hidden="1">{#N/A,#N/A,FALSE,"ALM-ASISC"}</definedName>
    <definedName name="klwjdk" localSheetId="6" hidden="1">{#N/A,#N/A,FALSE,"ALM-ASISC"}</definedName>
    <definedName name="klwjdk" localSheetId="1" hidden="1">{#N/A,#N/A,FALSE,"ALM-ASISC"}</definedName>
    <definedName name="klwjdk" hidden="1">{#N/A,#N/A,FALSE,"ALM-ASISC"}</definedName>
    <definedName name="kwy" localSheetId="3" hidden="1">{#N/A,#N/A,FALSE,"ALM-ASISC"}</definedName>
    <definedName name="kwy" localSheetId="4" hidden="1">{#N/A,#N/A,FALSE,"ALM-ASISC"}</definedName>
    <definedName name="kwy" localSheetId="5" hidden="1">{#N/A,#N/A,FALSE,"ALM-ASISC"}</definedName>
    <definedName name="kwy" localSheetId="6" hidden="1">{#N/A,#N/A,FALSE,"ALM-ASISC"}</definedName>
    <definedName name="kwy" localSheetId="1" hidden="1">{#N/A,#N/A,FALSE,"ALM-ASISC"}</definedName>
    <definedName name="kwy" hidden="1">{#N/A,#N/A,FALSE,"ALM-ASISC"}</definedName>
    <definedName name="l9l" localSheetId="3" hidden="1">{"'공사부문'!$A$6:$A$32"}</definedName>
    <definedName name="l9l" localSheetId="4" hidden="1">{"'공사부문'!$A$6:$A$32"}</definedName>
    <definedName name="l9l" localSheetId="5" hidden="1">{"'공사부문'!$A$6:$A$32"}</definedName>
    <definedName name="l9l" localSheetId="6" hidden="1">{"'공사부문'!$A$6:$A$32"}</definedName>
    <definedName name="l9l" localSheetId="7" hidden="1">{"'공사부문'!$A$6:$A$32"}</definedName>
    <definedName name="l9l" localSheetId="1" hidden="1">{"'공사부문'!$A$6:$A$32"}</definedName>
    <definedName name="l9l" localSheetId="0" hidden="1">{"'공사부문'!$A$6:$A$32"}</definedName>
    <definedName name="l9l" hidden="1">{"'공사부문'!$A$6:$A$32"}</definedName>
    <definedName name="l9l9l" localSheetId="3" hidden="1">{"'용역비'!$A$4:$C$8"}</definedName>
    <definedName name="l9l9l" localSheetId="4" hidden="1">{"'용역비'!$A$4:$C$8"}</definedName>
    <definedName name="l9l9l" localSheetId="5" hidden="1">{"'용역비'!$A$4:$C$8"}</definedName>
    <definedName name="l9l9l" localSheetId="6" hidden="1">{"'용역비'!$A$4:$C$8"}</definedName>
    <definedName name="l9l9l" localSheetId="7" hidden="1">{"'용역비'!$A$4:$C$8"}</definedName>
    <definedName name="l9l9l" localSheetId="1" hidden="1">{"'용역비'!$A$4:$C$8"}</definedName>
    <definedName name="l9l9l" localSheetId="0" hidden="1">{"'용역비'!$A$4:$C$8"}</definedName>
    <definedName name="l9l9l" hidden="1">{"'용역비'!$A$4:$C$8"}</definedName>
    <definedName name="l9l9l9l9l" hidden="1">#REF!</definedName>
    <definedName name="LA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localSheetId="3" hidden="1">{"'용역비'!$A$4:$C$8"}</definedName>
    <definedName name="li" localSheetId="4" hidden="1">{"'용역비'!$A$4:$C$8"}</definedName>
    <definedName name="li" localSheetId="5" hidden="1">{"'용역비'!$A$4:$C$8"}</definedName>
    <definedName name="li" localSheetId="6" hidden="1">{"'용역비'!$A$4:$C$8"}</definedName>
    <definedName name="li" localSheetId="7" hidden="1">{"'용역비'!$A$4:$C$8"}</definedName>
    <definedName name="li" localSheetId="1" hidden="1">{"'용역비'!$A$4:$C$8"}</definedName>
    <definedName name="li" localSheetId="0" hidden="1">{"'용역비'!$A$4:$C$8"}</definedName>
    <definedName name="li" hidden="1">{"'용역비'!$A$4:$C$8"}</definedName>
    <definedName name="LLDIEKK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 hidden="1">#REF!</definedName>
    <definedName name="MGF" localSheetId="1" hidden="1">#REF!</definedName>
    <definedName name="MGF" localSheetId="0" hidden="1">#REF!</definedName>
    <definedName name="MGF" hidden="1">#REF!</definedName>
    <definedName name="mm" localSheetId="3" hidden="1">{#N/A,#N/A,TRUE,"토적및재료집계";#N/A,#N/A,TRUE,"토적및재료집계";#N/A,#N/A,TRUE,"단위량"}</definedName>
    <definedName name="mm" localSheetId="4" hidden="1">{#N/A,#N/A,TRUE,"토적및재료집계";#N/A,#N/A,TRUE,"토적및재료집계";#N/A,#N/A,TRUE,"단위량"}</definedName>
    <definedName name="mm" localSheetId="5" hidden="1">{#N/A,#N/A,TRUE,"토적및재료집계";#N/A,#N/A,TRUE,"토적및재료집계";#N/A,#N/A,TRUE,"단위량"}</definedName>
    <definedName name="mm" localSheetId="6" hidden="1">{#N/A,#N/A,TRUE,"토적및재료집계";#N/A,#N/A,TRUE,"토적및재료집계";#N/A,#N/A,TRUE,"단위량"}</definedName>
    <definedName name="mm" localSheetId="7" hidden="1">{#N/A,#N/A,TRUE,"토적및재료집계";#N/A,#N/A,TRUE,"토적및재료집계";#N/A,#N/A,TRUE,"단위량"}</definedName>
    <definedName name="mm" localSheetId="1" hidden="1">{#N/A,#N/A,TRUE,"토적및재료집계";#N/A,#N/A,TRUE,"토적및재료집계";#N/A,#N/A,TRUE,"단위량"}</definedName>
    <definedName name="mm" localSheetId="0" hidden="1">{#N/A,#N/A,TRUE,"토적및재료집계";#N/A,#N/A,TRUE,"토적및재료집계";#N/A,#N/A,TRUE,"단위량"}</definedName>
    <definedName name="mm" hidden="1">{#N/A,#N/A,TRUE,"토적및재료집계";#N/A,#N/A,TRUE,"토적및재료집계";#N/A,#N/A,TRUE,"단위량"}</definedName>
    <definedName name="MMM"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5">{#N/A,#N/A,FALSE,"총괄표지";#N/A,#N/A,FALSE,"표지";#N/A,#N/A,FALSE,"총표지";#N/A,#N/A,FALSE,"집계(총괄)";#N/A,#N/A,FALSE,"집계(토목)";#N/A,#N/A,FALSE,"집계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nnnnnnnnnnnnn" localSheetId="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nnnnnnnnnnnn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IL" localSheetId="3" hidden="1">{"'용역비'!$A$4:$C$8"}</definedName>
    <definedName name="OIL" localSheetId="4" hidden="1">{"'용역비'!$A$4:$C$8"}</definedName>
    <definedName name="OIL" localSheetId="5" hidden="1">{"'용역비'!$A$4:$C$8"}</definedName>
    <definedName name="OIL" localSheetId="6" hidden="1">{"'용역비'!$A$4:$C$8"}</definedName>
    <definedName name="OIL" localSheetId="7" hidden="1">{"'용역비'!$A$4:$C$8"}</definedName>
    <definedName name="OIL" localSheetId="1" hidden="1">{"'용역비'!$A$4:$C$8"}</definedName>
    <definedName name="OIL" localSheetId="0" hidden="1">{"'용역비'!$A$4:$C$8"}</definedName>
    <definedName name="OIL" hidden="1">{"'용역비'!$A$4:$C$8"}</definedName>
    <definedName name="OOO"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OP" hidden="1">[20]수량산출!#REF!</definedName>
    <definedName name="OPP" localSheetId="5" hidden="1">#REF!</definedName>
    <definedName name="OPP" localSheetId="1" hidden="1">#REF!</definedName>
    <definedName name="OPP" localSheetId="0" hidden="1">#REF!</definedName>
    <definedName name="OPP" hidden="1">#REF!</definedName>
    <definedName name="OPPP" hidden="1">[16]수량산출!$A$3:$H$8539</definedName>
    <definedName name="PERT" localSheetId="3" hidden="1">{#N/A,#N/A,FALSE,"ALM-ASISC"}</definedName>
    <definedName name="PERT" localSheetId="4" hidden="1">{#N/A,#N/A,FALSE,"ALM-ASISC"}</definedName>
    <definedName name="PERT" localSheetId="5" hidden="1">{#N/A,#N/A,FALSE,"ALM-ASISC"}</definedName>
    <definedName name="PERT" localSheetId="6" hidden="1">{#N/A,#N/A,FALSE,"ALM-ASISC"}</definedName>
    <definedName name="PERT" localSheetId="1" hidden="1">{#N/A,#N/A,FALSE,"ALM-ASISC"}</definedName>
    <definedName name="PERT" hidden="1">{#N/A,#N/A,FALSE,"ALM-ASISC"}</definedName>
    <definedName name="PP" localSheetId="3" hidden="1">{#N/A,#N/A,TRUE,"토적및재료집계";#N/A,#N/A,TRUE,"토적및재료집계";#N/A,#N/A,TRUE,"단위량"}</definedName>
    <definedName name="PP" localSheetId="4" hidden="1">{#N/A,#N/A,TRUE,"토적및재료집계";#N/A,#N/A,TRUE,"토적및재료집계";#N/A,#N/A,TRUE,"단위량"}</definedName>
    <definedName name="PP" localSheetId="5" hidden="1">{#N/A,#N/A,TRUE,"토적및재료집계";#N/A,#N/A,TRUE,"토적및재료집계";#N/A,#N/A,TRUE,"단위량"}</definedName>
    <definedName name="PP" localSheetId="6" hidden="1">{#N/A,#N/A,TRUE,"토적및재료집계";#N/A,#N/A,TRUE,"토적및재료집계";#N/A,#N/A,TRUE,"단위량"}</definedName>
    <definedName name="PP" localSheetId="7" hidden="1">{#N/A,#N/A,TRUE,"토적및재료집계";#N/A,#N/A,TRUE,"토적및재료집계";#N/A,#N/A,TRUE,"단위량"}</definedName>
    <definedName name="PP" localSheetId="1" hidden="1">{#N/A,#N/A,TRUE,"토적및재료집계";#N/A,#N/A,TRUE,"토적및재료집계";#N/A,#N/A,TRUE,"단위량"}</definedName>
    <definedName name="PP" localSheetId="0" hidden="1">{#N/A,#N/A,TRUE,"토적및재료집계";#N/A,#N/A,TRUE,"토적및재료집계";#N/A,#N/A,TRUE,"단위량"}</definedName>
    <definedName name="PP" hidden="1">{#N/A,#N/A,TRUE,"토적및재료집계";#N/A,#N/A,TRUE,"토적및재료집계";#N/A,#N/A,TRUE,"단위량"}</definedName>
    <definedName name="PPP" hidden="1">#REF!</definedName>
    <definedName name="_xlnm.Print_Area" localSheetId="9">'1-1.클라우드 FP'!$A$1:$P$105</definedName>
    <definedName name="_xlnm.Print_Area" localSheetId="10">'2-1.데이터관리체계 FP'!$A$1:$P$256</definedName>
    <definedName name="_xlnm.Print_Area" localSheetId="11">'3-1.통합 개발환경 FP'!$A$1:$P$63</definedName>
    <definedName name="_xlnm.Print_Area" localSheetId="2">'4.아키텍쳐 및 개발환경'!$A$1:$Y$35</definedName>
    <definedName name="_xlnm.Print_Area" localSheetId="12">'4-1.지자체 플랫폼 통합 FP'!$A$1:$P$334</definedName>
    <definedName name="_xlnm.Print_Area" localSheetId="3">'5.인프라'!$A$1:$Y$18</definedName>
    <definedName name="_xlnm.Print_Area" localSheetId="13">'5-1.데이터서비스 FP'!$A$1:$Q$420</definedName>
    <definedName name="_xlnm.Print_Area" localSheetId="4">'6.3D 기능 고도화'!$A$1:$Y$43</definedName>
    <definedName name="_xlnm.Print_Area" localSheetId="14">'6-1.가시화시뮬 FP'!$A$1:$P$142</definedName>
    <definedName name="_xlnm.Print_Area" localSheetId="5">'7.2D 기능 고도화'!$A$1:$Y$23</definedName>
    <definedName name="_xlnm.Print_Area" localSheetId="6">'8.데이터 고도화'!$A$1:$Y$39</definedName>
    <definedName name="_xlnm.Print_Area" localSheetId="7">'9.비기능'!$A$1:$X$16</definedName>
    <definedName name="_xlnm.Print_Area" localSheetId="0">표지!$A$1:$N$40</definedName>
    <definedName name="_xlnm.Print_Titles" localSheetId="9">'1-1.클라우드 FP'!$4:$5</definedName>
    <definedName name="_xlnm.Print_Titles" localSheetId="10">'2-1.데이터관리체계 FP'!$4:$5</definedName>
    <definedName name="_xlnm.Print_Titles" localSheetId="11">'3-1.통합 개발환경 FP'!$4:$5</definedName>
    <definedName name="_xlnm.Print_Titles" localSheetId="2">'4.아키텍쳐 및 개발환경'!$1:$6</definedName>
    <definedName name="_xlnm.Print_Titles" localSheetId="12">'4-1.지자체 플랫폼 통합 FP'!$4:$5</definedName>
    <definedName name="_xlnm.Print_Titles" localSheetId="3">'5.인프라'!$1:$6</definedName>
    <definedName name="_xlnm.Print_Titles" localSheetId="13">'5-1.데이터서비스 FP'!$4:$5</definedName>
    <definedName name="_xlnm.Print_Titles" localSheetId="4">'6.3D 기능 고도화'!$1:$6</definedName>
    <definedName name="_xlnm.Print_Titles" localSheetId="14">'6-1.가시화시뮬 FP'!$4:$5</definedName>
    <definedName name="_xlnm.Print_Titles" localSheetId="5">'7.2D 기능 고도화'!$1:$6</definedName>
    <definedName name="_xlnm.Print_Titles" localSheetId="6">'8.데이터 고도화'!$1:$6</definedName>
    <definedName name="_xlnm.Print_Titles" localSheetId="7">'9.비기능'!$1:$6</definedName>
    <definedName name="Q" localSheetId="1" hidden="1">#REF!</definedName>
    <definedName name="Q" localSheetId="0" hidden="1">#REF!</definedName>
    <definedName name="Q" hidden="1">#REF!</definedName>
    <definedName name="q234562456" localSheetId="3" hidden="1">{"'용역비'!$A$4:$C$8"}</definedName>
    <definedName name="q234562456" localSheetId="4" hidden="1">{"'용역비'!$A$4:$C$8"}</definedName>
    <definedName name="q234562456" localSheetId="5" hidden="1">{"'용역비'!$A$4:$C$8"}</definedName>
    <definedName name="q234562456" localSheetId="6" hidden="1">{"'용역비'!$A$4:$C$8"}</definedName>
    <definedName name="q234562456" localSheetId="7" hidden="1">{"'용역비'!$A$4:$C$8"}</definedName>
    <definedName name="q234562456" localSheetId="1" hidden="1">{"'용역비'!$A$4:$C$8"}</definedName>
    <definedName name="q234562456" localSheetId="0" hidden="1">{"'용역비'!$A$4:$C$8"}</definedName>
    <definedName name="q234562456" hidden="1">{"'용역비'!$A$4:$C$8"}</definedName>
    <definedName name="QFQF" hidden="1">#REF!</definedName>
    <definedName name="qhsan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or" hidden="1">[21]실행철강하도!$A$1:$A$4</definedName>
    <definedName name="qq" localSheetId="3" hidden="1">{#N/A,#N/A,FALSE,"정공"}</definedName>
    <definedName name="qq" localSheetId="4" hidden="1">{#N/A,#N/A,FALSE,"정공"}</definedName>
    <definedName name="qq" localSheetId="5" hidden="1">{#N/A,#N/A,FALSE,"정공"}</definedName>
    <definedName name="qq" localSheetId="6" hidden="1">{#N/A,#N/A,FALSE,"정공"}</definedName>
    <definedName name="qq" localSheetId="7" hidden="1">{#N/A,#N/A,FALSE,"정공"}</definedName>
    <definedName name="QQ" localSheetId="1" hidden="1">{#N/A,#N/A,FALSE,"3가";#N/A,#N/A,FALSE,"3나";#N/A,#N/A,FALSE,"3다"}</definedName>
    <definedName name="QQ" localSheetId="0" hidden="1">{#N/A,#N/A,FALSE,"3가";#N/A,#N/A,FALSE,"3나";#N/A,#N/A,FALSE,"3다"}</definedName>
    <definedName name="qq" hidden="1">{#N/A,#N/A,FALSE,"정공"}</definedName>
    <definedName name="qqqqaaaa" localSheetId="3" hidden="1">{#N/A,#N/A,FALSE,"부대2"}</definedName>
    <definedName name="qqqqaaaa" localSheetId="4" hidden="1">{#N/A,#N/A,FALSE,"부대2"}</definedName>
    <definedName name="qqqqaaaa" localSheetId="5" hidden="1">{#N/A,#N/A,FALSE,"부대2"}</definedName>
    <definedName name="qqqqaaaa" localSheetId="6" hidden="1">{#N/A,#N/A,FALSE,"부대2"}</definedName>
    <definedName name="qqqqaaaa" localSheetId="7" hidden="1">{#N/A,#N/A,FALSE,"부대2"}</definedName>
    <definedName name="qqqqaaaa" localSheetId="1" hidden="1">{#N/A,#N/A,FALSE,"부대2"}</definedName>
    <definedName name="qqqqaaaa" localSheetId="0" hidden="1">{#N/A,#N/A,FALSE,"부대2"}</definedName>
    <definedName name="qqqqaaaa" hidden="1">{#N/A,#N/A,FALSE,"부대2"}</definedName>
    <definedName name="qqqqq" hidden="1">[14]수량산출!#REF!</definedName>
    <definedName name="qw" localSheetId="3" hidden="1">{#N/A,#N/A,FALSE,"단가표지"}</definedName>
    <definedName name="qw" localSheetId="4" hidden="1">{#N/A,#N/A,FALSE,"단가표지"}</definedName>
    <definedName name="qw" localSheetId="5" hidden="1">{#N/A,#N/A,FALSE,"단가표지"}</definedName>
    <definedName name="qw" localSheetId="6" hidden="1">{#N/A,#N/A,FALSE,"단가표지"}</definedName>
    <definedName name="qw" localSheetId="7" hidden="1">{#N/A,#N/A,FALSE,"단가표지"}</definedName>
    <definedName name="qw" localSheetId="1" hidden="1">{#N/A,#N/A,FALSE,"단가표지"}</definedName>
    <definedName name="qw" localSheetId="0" hidden="1">{#N/A,#N/A,FALSE,"단가표지"}</definedName>
    <definedName name="qw" hidden="1">{#N/A,#N/A,FALSE,"단가표지"}</definedName>
    <definedName name="QWE" hidden="1">#REF!</definedName>
    <definedName name="qweqwe" localSheetId="1" hidden="1">#REF!</definedName>
    <definedName name="qweqwe" localSheetId="0" hidden="1">#REF!</definedName>
    <definedName name="qweqwe" hidden="1">#REF!</definedName>
    <definedName name="qweqweqwe" localSheetId="1" hidden="1">#REF!</definedName>
    <definedName name="qweqweqwe" localSheetId="0" hidden="1">#REF!</definedName>
    <definedName name="qweqweqwe" hidden="1">#REF!</definedName>
    <definedName name="qwreq" localSheetId="1" hidden="1">#REF!</definedName>
    <definedName name="qwreq" localSheetId="0" hidden="1">#REF!</definedName>
    <definedName name="qwreq" hidden="1">#REF!</definedName>
    <definedName name="QWS" localSheetId="1" hidden="1">#REF!</definedName>
    <definedName name="QWS" localSheetId="0" hidden="1">#REF!</definedName>
    <definedName name="QWS" hidden="1">#REF!</definedName>
    <definedName name="qyk" localSheetId="3" hidden="1">{"'용역비'!$A$4:$C$8"}</definedName>
    <definedName name="qyk" localSheetId="4" hidden="1">{"'용역비'!$A$4:$C$8"}</definedName>
    <definedName name="qyk" localSheetId="5" hidden="1">{"'용역비'!$A$4:$C$8"}</definedName>
    <definedName name="qyk" localSheetId="6" hidden="1">{"'용역비'!$A$4:$C$8"}</definedName>
    <definedName name="qyk" localSheetId="7" hidden="1">{"'용역비'!$A$4:$C$8"}</definedName>
    <definedName name="qyk" localSheetId="1" hidden="1">{"'용역비'!$A$4:$C$8"}</definedName>
    <definedName name="qyk" localSheetId="0" hidden="1">{"'용역비'!$A$4:$C$8"}</definedName>
    <definedName name="qyk" hidden="1">{"'용역비'!$A$4:$C$8"}</definedName>
    <definedName name="RH" localSheetId="3" hidden="1">{"'용역비'!$A$4:$C$8"}</definedName>
    <definedName name="RH" localSheetId="4" hidden="1">{"'용역비'!$A$4:$C$8"}</definedName>
    <definedName name="RH" localSheetId="5" hidden="1">{"'용역비'!$A$4:$C$8"}</definedName>
    <definedName name="RH" localSheetId="6" hidden="1">{"'용역비'!$A$4:$C$8"}</definedName>
    <definedName name="RH" localSheetId="7" hidden="1">{"'용역비'!$A$4:$C$8"}</definedName>
    <definedName name="RH" localSheetId="1" hidden="1">{"'용역비'!$A$4:$C$8"}</definedName>
    <definedName name="RH" localSheetId="0" hidden="1">{"'용역비'!$A$4:$C$8"}</definedName>
    <definedName name="RH" hidden="1">{"'용역비'!$A$4:$C$8"}</definedName>
    <definedName name="RK" hidden="1">[14]수량산출!#REF!</definedName>
    <definedName name="rkdkd" localSheetId="3" hidden="1">{#N/A,#N/A,FALSE,"2~8번"}</definedName>
    <definedName name="rkdkd" localSheetId="4" hidden="1">{#N/A,#N/A,FALSE,"2~8번"}</definedName>
    <definedName name="rkdkd" localSheetId="5" hidden="1">{#N/A,#N/A,FALSE,"2~8번"}</definedName>
    <definedName name="rkdkd" localSheetId="6" hidden="1">{#N/A,#N/A,FALSE,"2~8번"}</definedName>
    <definedName name="rkdkd" localSheetId="7" hidden="1">{#N/A,#N/A,FALSE,"2~8번"}</definedName>
    <definedName name="rkdkd" localSheetId="1" hidden="1">{#N/A,#N/A,FALSE,"2~8번"}</definedName>
    <definedName name="rkdkd" localSheetId="0" hidden="1">{#N/A,#N/A,FALSE,"2~8번"}</definedName>
    <definedName name="rkdkd" hidden="1">{#N/A,#N/A,FALSE,"2~8번"}</definedName>
    <definedName name="rpt_date">'[10]1.요약'!$C$4</definedName>
    <definedName name="rr" localSheetId="5" hidden="1">#REF!</definedName>
    <definedName name="rr" hidden="1">#REF!</definedName>
    <definedName name="RRR"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 hidden="1">#REF!</definedName>
    <definedName name="RRR" localSheetId="0" hidden="1">#REF!</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 localSheetId="3" hidden="1">{"'용역비'!$A$4:$C$8"}</definedName>
    <definedName name="RT" localSheetId="4" hidden="1">{"'용역비'!$A$4:$C$8"}</definedName>
    <definedName name="RT" localSheetId="5" hidden="1">{"'용역비'!$A$4:$C$8"}</definedName>
    <definedName name="RT" localSheetId="6" hidden="1">{"'용역비'!$A$4:$C$8"}</definedName>
    <definedName name="RT" localSheetId="7" hidden="1">{"'용역비'!$A$4:$C$8"}</definedName>
    <definedName name="RT" localSheetId="1" hidden="1">{"'용역비'!$A$4:$C$8"}</definedName>
    <definedName name="RT" localSheetId="0" hidden="1">{"'용역비'!$A$4:$C$8"}</definedName>
    <definedName name="RT" hidden="1">{"'용역비'!$A$4:$C$8"}</definedName>
    <definedName name="RTGH" localSheetId="3" hidden="1">{"'용역비'!$A$4:$C$8"}</definedName>
    <definedName name="RTGH" localSheetId="4" hidden="1">{"'용역비'!$A$4:$C$8"}</definedName>
    <definedName name="RTGH" localSheetId="5" hidden="1">{"'용역비'!$A$4:$C$8"}</definedName>
    <definedName name="RTGH" localSheetId="6" hidden="1">{"'용역비'!$A$4:$C$8"}</definedName>
    <definedName name="RTGH" localSheetId="7" hidden="1">{"'용역비'!$A$4:$C$8"}</definedName>
    <definedName name="RTGH" localSheetId="1" hidden="1">{"'용역비'!$A$4:$C$8"}</definedName>
    <definedName name="RTGH" localSheetId="0" hidden="1">{"'용역비'!$A$4:$C$8"}</definedName>
    <definedName name="RTGH" hidden="1">{"'용역비'!$A$4:$C$8"}</definedName>
    <definedName name="rth" localSheetId="3" hidden="1">{"'용역비'!$A$4:$C$8"}</definedName>
    <definedName name="rth" localSheetId="4" hidden="1">{"'용역비'!$A$4:$C$8"}</definedName>
    <definedName name="rth" localSheetId="5" hidden="1">{"'용역비'!$A$4:$C$8"}</definedName>
    <definedName name="rth" localSheetId="6" hidden="1">{"'용역비'!$A$4:$C$8"}</definedName>
    <definedName name="rth" localSheetId="7" hidden="1">{"'용역비'!$A$4:$C$8"}</definedName>
    <definedName name="rth" localSheetId="1" hidden="1">{"'용역비'!$A$4:$C$8"}</definedName>
    <definedName name="rth" localSheetId="0" hidden="1">{"'용역비'!$A$4:$C$8"}</definedName>
    <definedName name="rth" hidden="1">{"'용역비'!$A$4:$C$8"}</definedName>
    <definedName name="rty" localSheetId="3" hidden="1">{"'용역비'!$A$4:$C$8"}</definedName>
    <definedName name="rty" localSheetId="4" hidden="1">{"'용역비'!$A$4:$C$8"}</definedName>
    <definedName name="rty" localSheetId="5" hidden="1">{"'용역비'!$A$4:$C$8"}</definedName>
    <definedName name="rty" localSheetId="6" hidden="1">{"'용역비'!$A$4:$C$8"}</definedName>
    <definedName name="rty" localSheetId="7" hidden="1">{"'용역비'!$A$4:$C$8"}</definedName>
    <definedName name="rty" localSheetId="1" hidden="1">{"'용역비'!$A$4:$C$8"}</definedName>
    <definedName name="rty" localSheetId="0" hidden="1">{"'용역비'!$A$4:$C$8"}</definedName>
    <definedName name="rty" hidden="1">{"'용역비'!$A$4:$C$8"}</definedName>
    <definedName name="RYUIRYU" localSheetId="3" hidden="1">{"'용역비'!$A$4:$C$8"}</definedName>
    <definedName name="RYUIRYU" localSheetId="4" hidden="1">{"'용역비'!$A$4:$C$8"}</definedName>
    <definedName name="RYUIRYU" localSheetId="5" hidden="1">{"'용역비'!$A$4:$C$8"}</definedName>
    <definedName name="RYUIRYU" localSheetId="6" hidden="1">{"'용역비'!$A$4:$C$8"}</definedName>
    <definedName name="RYUIRYU" localSheetId="7" hidden="1">{"'용역비'!$A$4:$C$8"}</definedName>
    <definedName name="RYUIRYU" localSheetId="1" hidden="1">{"'용역비'!$A$4:$C$8"}</definedName>
    <definedName name="RYUIRYU" localSheetId="0" hidden="1">{"'용역비'!$A$4:$C$8"}</definedName>
    <definedName name="RYUIRYU" hidden="1">{"'용역비'!$A$4:$C$8"}</definedName>
    <definedName name="ryuk" localSheetId="3" hidden="1">{"'용역비'!$A$4:$C$8"}</definedName>
    <definedName name="ryuk" localSheetId="4" hidden="1">{"'용역비'!$A$4:$C$8"}</definedName>
    <definedName name="ryuk" localSheetId="5" hidden="1">{"'용역비'!$A$4:$C$8"}</definedName>
    <definedName name="ryuk" localSheetId="6" hidden="1">{"'용역비'!$A$4:$C$8"}</definedName>
    <definedName name="ryuk" localSheetId="7" hidden="1">{"'용역비'!$A$4:$C$8"}</definedName>
    <definedName name="ryuk" localSheetId="1" hidden="1">{"'용역비'!$A$4:$C$8"}</definedName>
    <definedName name="ryuk" localSheetId="0" hidden="1">{"'용역비'!$A$4:$C$8"}</definedName>
    <definedName name="ryuk" hidden="1">{"'용역비'!$A$4:$C$8"}</definedName>
    <definedName name="S" hidden="1">#REF!</definedName>
    <definedName name="SD" localSheetId="3" hidden="1">{"'용역비'!$A$4:$C$8"}</definedName>
    <definedName name="SD" localSheetId="4" hidden="1">{"'용역비'!$A$4:$C$8"}</definedName>
    <definedName name="SD" localSheetId="5" hidden="1">{"'용역비'!$A$4:$C$8"}</definedName>
    <definedName name="SD" localSheetId="6" hidden="1">{"'용역비'!$A$4:$C$8"}</definedName>
    <definedName name="SD" localSheetId="7" hidden="1">{"'용역비'!$A$4:$C$8"}</definedName>
    <definedName name="SD" localSheetId="1" hidden="1">{"'용역비'!$A$4:$C$8"}</definedName>
    <definedName name="SD" localSheetId="0" hidden="1">{"'용역비'!$A$4:$C$8"}</definedName>
    <definedName name="SD" hidden="1">{"'용역비'!$A$4:$C$8"}</definedName>
    <definedName name="sdg" hidden="1">#REF!</definedName>
    <definedName name="sdryhj" localSheetId="3" hidden="1">{"'용역비'!$A$4:$C$8"}</definedName>
    <definedName name="sdryhj" localSheetId="4" hidden="1">{"'용역비'!$A$4:$C$8"}</definedName>
    <definedName name="sdryhj" localSheetId="5" hidden="1">{"'용역비'!$A$4:$C$8"}</definedName>
    <definedName name="sdryhj" localSheetId="6" hidden="1">{"'용역비'!$A$4:$C$8"}</definedName>
    <definedName name="sdryhj" localSheetId="7" hidden="1">{"'용역비'!$A$4:$C$8"}</definedName>
    <definedName name="sdryhj" localSheetId="1" hidden="1">{"'용역비'!$A$4:$C$8"}</definedName>
    <definedName name="sdryhj" localSheetId="0" hidden="1">{"'용역비'!$A$4:$C$8"}</definedName>
    <definedName name="sdryhj" hidden="1">{"'용역비'!$A$4:$C$8"}</definedName>
    <definedName name="SE" localSheetId="3" hidden="1">{"'용역비'!$A$4:$C$8"}</definedName>
    <definedName name="SE" localSheetId="4" hidden="1">{"'용역비'!$A$4:$C$8"}</definedName>
    <definedName name="SE" localSheetId="5" hidden="1">{"'용역비'!$A$4:$C$8"}</definedName>
    <definedName name="SE" localSheetId="6" hidden="1">{"'용역비'!$A$4:$C$8"}</definedName>
    <definedName name="SE" localSheetId="7" hidden="1">{"'용역비'!$A$4:$C$8"}</definedName>
    <definedName name="SE" localSheetId="1" hidden="1">{"'용역비'!$A$4:$C$8"}</definedName>
    <definedName name="SE" localSheetId="0" hidden="1">{"'용역비'!$A$4:$C$8"}</definedName>
    <definedName name="SE" hidden="1">{"'용역비'!$A$4:$C$8"}</definedName>
    <definedName name="sfdgsd" hidden="1">#REF!</definedName>
    <definedName name="sfgsdfd" localSheetId="1" hidden="1">#REF!</definedName>
    <definedName name="sfgsdfd" localSheetId="0" hidden="1">#REF!</definedName>
    <definedName name="sfgsdfd" hidden="1">#REF!</definedName>
    <definedName name="SGARETER" localSheetId="1" hidden="1">#REF!</definedName>
    <definedName name="SGARETER" localSheetId="0" hidden="1">#REF!</definedName>
    <definedName name="SGARETER" hidden="1">#REF!</definedName>
    <definedName name="srth" localSheetId="3" hidden="1">{"'용역비'!$A$4:$C$8"}</definedName>
    <definedName name="srth" localSheetId="4" hidden="1">{"'용역비'!$A$4:$C$8"}</definedName>
    <definedName name="srth" localSheetId="5" hidden="1">{"'용역비'!$A$4:$C$8"}</definedName>
    <definedName name="srth" localSheetId="6" hidden="1">{"'용역비'!$A$4:$C$8"}</definedName>
    <definedName name="srth" localSheetId="7" hidden="1">{"'용역비'!$A$4:$C$8"}</definedName>
    <definedName name="srth" localSheetId="1" hidden="1">{"'용역비'!$A$4:$C$8"}</definedName>
    <definedName name="srth" localSheetId="0" hidden="1">{"'용역비'!$A$4:$C$8"}</definedName>
    <definedName name="srth" hidden="1">{"'용역비'!$A$4:$C$8"}</definedName>
    <definedName name="sss" hidden="1">#REF!</definedName>
    <definedName name="SSSS" localSheetId="3" hidden="1">{#N/A,#N/A,FALSE,"전력간선"}</definedName>
    <definedName name="SSSS" localSheetId="4" hidden="1">{#N/A,#N/A,FALSE,"전력간선"}</definedName>
    <definedName name="SSSS" localSheetId="5" hidden="1">{#N/A,#N/A,FALSE,"전력간선"}</definedName>
    <definedName name="SSSS" localSheetId="6" hidden="1">{#N/A,#N/A,FALSE,"전력간선"}</definedName>
    <definedName name="SSSS" localSheetId="7" hidden="1">{#N/A,#N/A,FALSE,"전력간선"}</definedName>
    <definedName name="SSSS" localSheetId="1" hidden="1">{#N/A,#N/A,FALSE,"전력간선"}</definedName>
    <definedName name="SSSS" localSheetId="0" hidden="1">{#N/A,#N/A,FALSE,"전력간선"}</definedName>
    <definedName name="SSSS" hidden="1">{#N/A,#N/A,FALSE,"전력간선"}</definedName>
    <definedName name="STS" localSheetId="3" hidden="1">{"'용역비'!$A$4:$C$8"}</definedName>
    <definedName name="STS" localSheetId="4" hidden="1">{"'용역비'!$A$4:$C$8"}</definedName>
    <definedName name="STS" localSheetId="5" hidden="1">{"'용역비'!$A$4:$C$8"}</definedName>
    <definedName name="STS" localSheetId="6" hidden="1">{"'용역비'!$A$4:$C$8"}</definedName>
    <definedName name="STS" localSheetId="7" hidden="1">{"'용역비'!$A$4:$C$8"}</definedName>
    <definedName name="STS" localSheetId="1" hidden="1">{"'용역비'!$A$4:$C$8"}</definedName>
    <definedName name="STS" localSheetId="0" hidden="1">{"'용역비'!$A$4:$C$8"}</definedName>
    <definedName name="STS" hidden="1">{"'용역비'!$A$4:$C$8"}</definedName>
    <definedName name="t5t5t5" localSheetId="3" hidden="1">{#N/A,#N/A,FALSE,"구조1"}</definedName>
    <definedName name="t5t5t5" localSheetId="4" hidden="1">{#N/A,#N/A,FALSE,"구조1"}</definedName>
    <definedName name="t5t5t5" localSheetId="5" hidden="1">{#N/A,#N/A,FALSE,"구조1"}</definedName>
    <definedName name="t5t5t5" localSheetId="6" hidden="1">{#N/A,#N/A,FALSE,"구조1"}</definedName>
    <definedName name="t5t5t5" localSheetId="7" hidden="1">{#N/A,#N/A,FALSE,"구조1"}</definedName>
    <definedName name="t5t5t5" localSheetId="1" hidden="1">{#N/A,#N/A,FALSE,"구조1"}</definedName>
    <definedName name="t5t5t5" localSheetId="0" hidden="1">{#N/A,#N/A,FALSE,"구조1"}</definedName>
    <definedName name="t5t5t5" hidden="1">{#N/A,#N/A,FALSE,"구조1"}</definedName>
    <definedName name="test" hidden="1">#REF!</definedName>
    <definedName name="TEYJ" localSheetId="3" hidden="1">{"'용역비'!$A$4:$C$8"}</definedName>
    <definedName name="TEYJ" localSheetId="4" hidden="1">{"'용역비'!$A$4:$C$8"}</definedName>
    <definedName name="TEYJ" localSheetId="5" hidden="1">{"'용역비'!$A$4:$C$8"}</definedName>
    <definedName name="TEYJ" localSheetId="6" hidden="1">{"'용역비'!$A$4:$C$8"}</definedName>
    <definedName name="TEYJ" localSheetId="7" hidden="1">{"'용역비'!$A$4:$C$8"}</definedName>
    <definedName name="TEYJ" localSheetId="1" hidden="1">{"'용역비'!$A$4:$C$8"}</definedName>
    <definedName name="TEYJ" localSheetId="0" hidden="1">{"'용역비'!$A$4:$C$8"}</definedName>
    <definedName name="TEYJ" hidden="1">{"'용역비'!$A$4:$C$8"}</definedName>
    <definedName name="TFUI" localSheetId="3" hidden="1">{"'용역비'!$A$4:$C$8"}</definedName>
    <definedName name="TFUI" localSheetId="4" hidden="1">{"'용역비'!$A$4:$C$8"}</definedName>
    <definedName name="TFUI" localSheetId="5" hidden="1">{"'용역비'!$A$4:$C$8"}</definedName>
    <definedName name="TFUI" localSheetId="6" hidden="1">{"'용역비'!$A$4:$C$8"}</definedName>
    <definedName name="TFUI" localSheetId="7" hidden="1">{"'용역비'!$A$4:$C$8"}</definedName>
    <definedName name="TFUI" localSheetId="1" hidden="1">{"'용역비'!$A$4:$C$8"}</definedName>
    <definedName name="TFUI" localSheetId="0" hidden="1">{"'용역비'!$A$4:$C$8"}</definedName>
    <definedName name="TFUI" hidden="1">{"'용역비'!$A$4:$C$8"}</definedName>
    <definedName name="tol">'[10]4.1공수분석_개발'!$J$6</definedName>
    <definedName name="tr" localSheetId="5" hidden="1">#REF!</definedName>
    <definedName name="tr" hidden="1">#REF!</definedName>
    <definedName name="Trans_Func" localSheetId="1">#REF!</definedName>
    <definedName name="Trans_Func" localSheetId="0">#REF!</definedName>
    <definedName name="Trans_Func">#REF!</definedName>
    <definedName name="tt" hidden="1">#REF!</definedName>
    <definedName name="tttt" localSheetId="1" hidden="1">#REF!</definedName>
    <definedName name="tttt" localSheetId="0" hidden="1">#REF!</definedName>
    <definedName name="tttt" hidden="1">#REF!</definedName>
    <definedName name="ttttt" localSheetId="1" hidden="1">#REF!</definedName>
    <definedName name="ttttt" localSheetId="0" hidden="1">#REF!</definedName>
    <definedName name="ttttt" hidden="1">#REF!</definedName>
    <definedName name="tu" localSheetId="3" hidden="1">{"'용역비'!$A$4:$C$8"}</definedName>
    <definedName name="tu" localSheetId="4" hidden="1">{"'용역비'!$A$4:$C$8"}</definedName>
    <definedName name="tu" localSheetId="5" hidden="1">{"'용역비'!$A$4:$C$8"}</definedName>
    <definedName name="tu" localSheetId="6" hidden="1">{"'용역비'!$A$4:$C$8"}</definedName>
    <definedName name="tu" localSheetId="7" hidden="1">{"'용역비'!$A$4:$C$8"}</definedName>
    <definedName name="tu" localSheetId="1" hidden="1">{"'용역비'!$A$4:$C$8"}</definedName>
    <definedName name="tu" localSheetId="0" hidden="1">{"'용역비'!$A$4:$C$8"}</definedName>
    <definedName name="tu" hidden="1">{"'용역비'!$A$4:$C$8"}</definedName>
    <definedName name="tuilol" localSheetId="3" hidden="1">{"'용역비'!$A$4:$C$8"}</definedName>
    <definedName name="tuilol" localSheetId="4" hidden="1">{"'용역비'!$A$4:$C$8"}</definedName>
    <definedName name="tuilol" localSheetId="5" hidden="1">{"'용역비'!$A$4:$C$8"}</definedName>
    <definedName name="tuilol" localSheetId="6" hidden="1">{"'용역비'!$A$4:$C$8"}</definedName>
    <definedName name="tuilol" localSheetId="7" hidden="1">{"'용역비'!$A$4:$C$8"}</definedName>
    <definedName name="tuilol" localSheetId="1" hidden="1">{"'용역비'!$A$4:$C$8"}</definedName>
    <definedName name="tuilol" localSheetId="0" hidden="1">{"'용역비'!$A$4:$C$8"}</definedName>
    <definedName name="tuilol" hidden="1">{"'용역비'!$A$4:$C$8"}</definedName>
    <definedName name="TUIO" localSheetId="3" hidden="1">{"'용역비'!$A$4:$C$8"}</definedName>
    <definedName name="TUIO" localSheetId="4" hidden="1">{"'용역비'!$A$4:$C$8"}</definedName>
    <definedName name="TUIO" localSheetId="5" hidden="1">{"'용역비'!$A$4:$C$8"}</definedName>
    <definedName name="TUIO" localSheetId="6" hidden="1">{"'용역비'!$A$4:$C$8"}</definedName>
    <definedName name="TUIO" localSheetId="7" hidden="1">{"'용역비'!$A$4:$C$8"}</definedName>
    <definedName name="TUIO" localSheetId="1" hidden="1">{"'용역비'!$A$4:$C$8"}</definedName>
    <definedName name="TUIO" localSheetId="0" hidden="1">{"'용역비'!$A$4:$C$8"}</definedName>
    <definedName name="TUIO" hidden="1">{"'용역비'!$A$4:$C$8"}</definedName>
    <definedName name="TUIO.L" localSheetId="3" hidden="1">{"'용역비'!$A$4:$C$8"}</definedName>
    <definedName name="TUIO.L" localSheetId="4" hidden="1">{"'용역비'!$A$4:$C$8"}</definedName>
    <definedName name="TUIO.L" localSheetId="5" hidden="1">{"'용역비'!$A$4:$C$8"}</definedName>
    <definedName name="TUIO.L" localSheetId="6" hidden="1">{"'용역비'!$A$4:$C$8"}</definedName>
    <definedName name="TUIO.L" localSheetId="7" hidden="1">{"'용역비'!$A$4:$C$8"}</definedName>
    <definedName name="TUIO.L" localSheetId="1" hidden="1">{"'용역비'!$A$4:$C$8"}</definedName>
    <definedName name="TUIO.L" localSheetId="0" hidden="1">{"'용역비'!$A$4:$C$8"}</definedName>
    <definedName name="TUIO.L" hidden="1">{"'용역비'!$A$4:$C$8"}</definedName>
    <definedName name="TUIOTUI" localSheetId="3" hidden="1">{"'용역비'!$A$4:$C$8"}</definedName>
    <definedName name="TUIOTUI" localSheetId="4" hidden="1">{"'용역비'!$A$4:$C$8"}</definedName>
    <definedName name="TUIOTUI" localSheetId="5" hidden="1">{"'용역비'!$A$4:$C$8"}</definedName>
    <definedName name="TUIOTUI" localSheetId="6" hidden="1">{"'용역비'!$A$4:$C$8"}</definedName>
    <definedName name="TUIOTUI" localSheetId="7" hidden="1">{"'용역비'!$A$4:$C$8"}</definedName>
    <definedName name="TUIOTUI" localSheetId="1" hidden="1">{"'용역비'!$A$4:$C$8"}</definedName>
    <definedName name="TUIOTUI" localSheetId="0" hidden="1">{"'용역비'!$A$4:$C$8"}</definedName>
    <definedName name="TUIOTUI" hidden="1">{"'용역비'!$A$4:$C$8"}</definedName>
    <definedName name="tye" hidden="1">#REF!</definedName>
    <definedName name="TYJ" localSheetId="3" hidden="1">{"'용역비'!$A$4:$C$8"}</definedName>
    <definedName name="TYJ" localSheetId="4" hidden="1">{"'용역비'!$A$4:$C$8"}</definedName>
    <definedName name="TYJ" localSheetId="5" hidden="1">{"'용역비'!$A$4:$C$8"}</definedName>
    <definedName name="TYJ" localSheetId="6" hidden="1">{"'용역비'!$A$4:$C$8"}</definedName>
    <definedName name="TYJ" localSheetId="7" hidden="1">{"'용역비'!$A$4:$C$8"}</definedName>
    <definedName name="TYJ" localSheetId="1" hidden="1">{"'용역비'!$A$4:$C$8"}</definedName>
    <definedName name="TYJ" localSheetId="0" hidden="1">{"'용역비'!$A$4:$C$8"}</definedName>
    <definedName name="TYJ" hidden="1">{"'용역비'!$A$4:$C$8"}</definedName>
    <definedName name="tyje" localSheetId="3" hidden="1">{"'용역비'!$A$4:$C$8"}</definedName>
    <definedName name="tyje" localSheetId="4" hidden="1">{"'용역비'!$A$4:$C$8"}</definedName>
    <definedName name="tyje" localSheetId="5" hidden="1">{"'용역비'!$A$4:$C$8"}</definedName>
    <definedName name="tyje" localSheetId="6" hidden="1">{"'용역비'!$A$4:$C$8"}</definedName>
    <definedName name="tyje" localSheetId="7" hidden="1">{"'용역비'!$A$4:$C$8"}</definedName>
    <definedName name="tyje" localSheetId="1" hidden="1">{"'용역비'!$A$4:$C$8"}</definedName>
    <definedName name="tyje" localSheetId="0" hidden="1">{"'용역비'!$A$4:$C$8"}</definedName>
    <definedName name="tyje" hidden="1">{"'용역비'!$A$4:$C$8"}</definedName>
    <definedName name="tyjet" localSheetId="3" hidden="1">{"'용역비'!$A$4:$C$8"}</definedName>
    <definedName name="tyjet" localSheetId="4" hidden="1">{"'용역비'!$A$4:$C$8"}</definedName>
    <definedName name="tyjet" localSheetId="5" hidden="1">{"'용역비'!$A$4:$C$8"}</definedName>
    <definedName name="tyjet" localSheetId="6" hidden="1">{"'용역비'!$A$4:$C$8"}</definedName>
    <definedName name="tyjet" localSheetId="7" hidden="1">{"'용역비'!$A$4:$C$8"}</definedName>
    <definedName name="tyjet" localSheetId="1" hidden="1">{"'용역비'!$A$4:$C$8"}</definedName>
    <definedName name="tyjet" localSheetId="0" hidden="1">{"'용역비'!$A$4:$C$8"}</definedName>
    <definedName name="tyjet" hidden="1">{"'용역비'!$A$4:$C$8"}</definedName>
    <definedName name="tyu" localSheetId="3" hidden="1">{"'용역비'!$A$4:$C$8"}</definedName>
    <definedName name="tyu" localSheetId="4" hidden="1">{"'용역비'!$A$4:$C$8"}</definedName>
    <definedName name="tyu" localSheetId="5" hidden="1">{"'용역비'!$A$4:$C$8"}</definedName>
    <definedName name="tyu" localSheetId="6" hidden="1">{"'용역비'!$A$4:$C$8"}</definedName>
    <definedName name="tyu" localSheetId="7" hidden="1">{"'용역비'!$A$4:$C$8"}</definedName>
    <definedName name="tyu" localSheetId="1" hidden="1">{"'용역비'!$A$4:$C$8"}</definedName>
    <definedName name="tyu" localSheetId="0" hidden="1">{"'용역비'!$A$4:$C$8"}</definedName>
    <definedName name="tyu" hidden="1">{"'용역비'!$A$4:$C$8"}</definedName>
    <definedName name="U" localSheetId="3" hidden="1">{"'용역비'!$A$4:$C$8"}</definedName>
    <definedName name="U" localSheetId="4" hidden="1">{"'용역비'!$A$4:$C$8"}</definedName>
    <definedName name="U" localSheetId="5" hidden="1">{"'용역비'!$A$4:$C$8"}</definedName>
    <definedName name="U" localSheetId="6" hidden="1">{"'용역비'!$A$4:$C$8"}</definedName>
    <definedName name="U" localSheetId="7" hidden="1">{"'용역비'!$A$4:$C$8"}</definedName>
    <definedName name="U" localSheetId="1" hidden="1">{"'용역비'!$A$4:$C$8"}</definedName>
    <definedName name="U" localSheetId="0" hidden="1">{"'용역비'!$A$4:$C$8"}</definedName>
    <definedName name="U" hidden="1">{"'용역비'!$A$4:$C$8"}</definedName>
    <definedName name="ujdffdf" localSheetId="3" hidden="1">{#N/A,#N/A,FALSE,"단가표지"}</definedName>
    <definedName name="ujdffdf" localSheetId="4" hidden="1">{#N/A,#N/A,FALSE,"단가표지"}</definedName>
    <definedName name="ujdffdf" localSheetId="5" hidden="1">{#N/A,#N/A,FALSE,"단가표지"}</definedName>
    <definedName name="ujdffdf" localSheetId="6" hidden="1">{#N/A,#N/A,FALSE,"단가표지"}</definedName>
    <definedName name="ujdffdf" localSheetId="7" hidden="1">{#N/A,#N/A,FALSE,"단가표지"}</definedName>
    <definedName name="ujdffdf" localSheetId="1" hidden="1">{#N/A,#N/A,FALSE,"단가표지"}</definedName>
    <definedName name="ujdffdf" localSheetId="0" hidden="1">{#N/A,#N/A,FALSE,"단가표지"}</definedName>
    <definedName name="ujdffdf" hidden="1">{#N/A,#N/A,FALSE,"단가표지"}</definedName>
    <definedName name="ulo" localSheetId="3" hidden="1">{"'용역비'!$A$4:$C$8"}</definedName>
    <definedName name="ulo" localSheetId="4" hidden="1">{"'용역비'!$A$4:$C$8"}</definedName>
    <definedName name="ulo" localSheetId="5" hidden="1">{"'용역비'!$A$4:$C$8"}</definedName>
    <definedName name="ulo" localSheetId="6" hidden="1">{"'용역비'!$A$4:$C$8"}</definedName>
    <definedName name="ulo" localSheetId="7" hidden="1">{"'용역비'!$A$4:$C$8"}</definedName>
    <definedName name="ulo" localSheetId="1" hidden="1">{"'용역비'!$A$4:$C$8"}</definedName>
    <definedName name="ulo" localSheetId="0" hidden="1">{"'용역비'!$A$4:$C$8"}</definedName>
    <definedName name="ulo" hidden="1">{"'용역비'!$A$4:$C$8"}</definedName>
    <definedName name="UTI" localSheetId="3" hidden="1">{"'용역비'!$A$4:$C$8"}</definedName>
    <definedName name="UTI" localSheetId="4" hidden="1">{"'용역비'!$A$4:$C$8"}</definedName>
    <definedName name="UTI" localSheetId="5" hidden="1">{"'용역비'!$A$4:$C$8"}</definedName>
    <definedName name="UTI" localSheetId="6" hidden="1">{"'용역비'!$A$4:$C$8"}</definedName>
    <definedName name="UTI" localSheetId="7" hidden="1">{"'용역비'!$A$4:$C$8"}</definedName>
    <definedName name="UTI" localSheetId="1" hidden="1">{"'용역비'!$A$4:$C$8"}</definedName>
    <definedName name="UTI" localSheetId="0" hidden="1">{"'용역비'!$A$4:$C$8"}</definedName>
    <definedName name="UTI" hidden="1">{"'용역비'!$A$4:$C$8"}</definedName>
    <definedName name="UTIOL" localSheetId="3" hidden="1">{"'용역비'!$A$4:$C$8"}</definedName>
    <definedName name="UTIOL" localSheetId="4" hidden="1">{"'용역비'!$A$4:$C$8"}</definedName>
    <definedName name="UTIOL" localSheetId="5" hidden="1">{"'용역비'!$A$4:$C$8"}</definedName>
    <definedName name="UTIOL" localSheetId="6" hidden="1">{"'용역비'!$A$4:$C$8"}</definedName>
    <definedName name="UTIOL" localSheetId="7" hidden="1">{"'용역비'!$A$4:$C$8"}</definedName>
    <definedName name="UTIOL" localSheetId="1" hidden="1">{"'용역비'!$A$4:$C$8"}</definedName>
    <definedName name="UTIOL" localSheetId="0" hidden="1">{"'용역비'!$A$4:$C$8"}</definedName>
    <definedName name="UTIOL" hidden="1">{"'용역비'!$A$4:$C$8"}</definedName>
    <definedName name="uu" localSheetId="3" hidden="1">{"'용역비'!$A$4:$C$8"}</definedName>
    <definedName name="uu" localSheetId="4" hidden="1">{"'용역비'!$A$4:$C$8"}</definedName>
    <definedName name="uu" localSheetId="5" hidden="1">{"'용역비'!$A$4:$C$8"}</definedName>
    <definedName name="uu" localSheetId="6" hidden="1">{"'용역비'!$A$4:$C$8"}</definedName>
    <definedName name="uu" localSheetId="7" hidden="1">{"'용역비'!$A$4:$C$8"}</definedName>
    <definedName name="uu" localSheetId="1" hidden="1">{"'용역비'!$A$4:$C$8"}</definedName>
    <definedName name="uu" localSheetId="0" hidden="1">{"'용역비'!$A$4:$C$8"}</definedName>
    <definedName name="uu" hidden="1">{"'용역비'!$A$4:$C$8"}</definedName>
    <definedName name="vbkjwhe" localSheetId="3" hidden="1">{#N/A,#N/A,FALSE,"ALM-ASISC"}</definedName>
    <definedName name="vbkjwhe" localSheetId="4" hidden="1">{#N/A,#N/A,FALSE,"ALM-ASISC"}</definedName>
    <definedName name="vbkjwhe" localSheetId="5" hidden="1">{#N/A,#N/A,FALSE,"ALM-ASISC"}</definedName>
    <definedName name="vbkjwhe" localSheetId="6" hidden="1">{#N/A,#N/A,FALSE,"ALM-ASISC"}</definedName>
    <definedName name="vbkjwhe" localSheetId="1" hidden="1">{#N/A,#N/A,FALSE,"ALM-ASISC"}</definedName>
    <definedName name="vbkjwhe" hidden="1">{#N/A,#N/A,FALSE,"ALM-ASISC"}</definedName>
    <definedName name="vcnf" hidden="1">'[22]N賃率-職'!$I$5:$I$30</definedName>
    <definedName name="vdwf" localSheetId="3" hidden="1">{#N/A,#N/A,FALSE,"ALM-ASISC"}</definedName>
    <definedName name="vdwf" localSheetId="4" hidden="1">{#N/A,#N/A,FALSE,"ALM-ASISC"}</definedName>
    <definedName name="vdwf" localSheetId="5" hidden="1">{#N/A,#N/A,FALSE,"ALM-ASISC"}</definedName>
    <definedName name="vdwf" localSheetId="6" hidden="1">{#N/A,#N/A,FALSE,"ALM-ASISC"}</definedName>
    <definedName name="vdwf" localSheetId="1" hidden="1">{#N/A,#N/A,FALSE,"ALM-ASISC"}</definedName>
    <definedName name="vdwf" hidden="1">{#N/A,#N/A,FALSE,"ALM-ASISC"}</definedName>
    <definedName name="vewtf" localSheetId="3" hidden="1">{#N/A,#N/A,FALSE,"ALM-ASISC"}</definedName>
    <definedName name="vewtf" localSheetId="4" hidden="1">{#N/A,#N/A,FALSE,"ALM-ASISC"}</definedName>
    <definedName name="vewtf" localSheetId="5" hidden="1">{#N/A,#N/A,FALSE,"ALM-ASISC"}</definedName>
    <definedName name="vewtf" localSheetId="6" hidden="1">{#N/A,#N/A,FALSE,"ALM-ASISC"}</definedName>
    <definedName name="vewtf" localSheetId="1" hidden="1">{#N/A,#N/A,FALSE,"ALM-ASISC"}</definedName>
    <definedName name="vewtf" hidden="1">{#N/A,#N/A,FALSE,"ALM-ASISC"}</definedName>
    <definedName name="vhjkwghe" localSheetId="3" hidden="1">{#N/A,#N/A,FALSE,"ALM-ASISC"}</definedName>
    <definedName name="vhjkwghe" localSheetId="4" hidden="1">{#N/A,#N/A,FALSE,"ALM-ASISC"}</definedName>
    <definedName name="vhjkwghe" localSheetId="5" hidden="1">{#N/A,#N/A,FALSE,"ALM-ASISC"}</definedName>
    <definedName name="vhjkwghe" localSheetId="6" hidden="1">{#N/A,#N/A,FALSE,"ALM-ASISC"}</definedName>
    <definedName name="vhjkwghe" localSheetId="1" hidden="1">{#N/A,#N/A,FALSE,"ALM-ASISC"}</definedName>
    <definedName name="vhjkwghe" hidden="1">{#N/A,#N/A,FALSE,"ALM-ASISC"}</definedName>
    <definedName name="vhjkwhe" localSheetId="3" hidden="1">{#N/A,#N/A,FALSE,"ALM-ASISC"}</definedName>
    <definedName name="vhjkwhe" localSheetId="4" hidden="1">{#N/A,#N/A,FALSE,"ALM-ASISC"}</definedName>
    <definedName name="vhjkwhe" localSheetId="5" hidden="1">{#N/A,#N/A,FALSE,"ALM-ASISC"}</definedName>
    <definedName name="vhjkwhe" localSheetId="6" hidden="1">{#N/A,#N/A,FALSE,"ALM-ASISC"}</definedName>
    <definedName name="vhjkwhe" localSheetId="1" hidden="1">{#N/A,#N/A,FALSE,"ALM-ASISC"}</definedName>
    <definedName name="vhjkwhe" hidden="1">{#N/A,#N/A,FALSE,"ALM-ASISC"}</definedName>
    <definedName name="vhjkwlejh" localSheetId="3" hidden="1">{#N/A,#N/A,FALSE,"ALM-ASISC"}</definedName>
    <definedName name="vhjkwlejh" localSheetId="4" hidden="1">{#N/A,#N/A,FALSE,"ALM-ASISC"}</definedName>
    <definedName name="vhjkwlejh" localSheetId="5" hidden="1">{#N/A,#N/A,FALSE,"ALM-ASISC"}</definedName>
    <definedName name="vhjkwlejh" localSheetId="6" hidden="1">{#N/A,#N/A,FALSE,"ALM-ASISC"}</definedName>
    <definedName name="vhjkwlejh" localSheetId="1" hidden="1">{#N/A,#N/A,FALSE,"ALM-ASISC"}</definedName>
    <definedName name="vhjkwlejh" hidden="1">{#N/A,#N/A,FALSE,"ALM-ASISC"}</definedName>
    <definedName name="vhjweklh" localSheetId="3" hidden="1">{#N/A,#N/A,FALSE,"ALM-ASISC"}</definedName>
    <definedName name="vhjweklh" localSheetId="4" hidden="1">{#N/A,#N/A,FALSE,"ALM-ASISC"}</definedName>
    <definedName name="vhjweklh" localSheetId="5" hidden="1">{#N/A,#N/A,FALSE,"ALM-ASISC"}</definedName>
    <definedName name="vhjweklh" localSheetId="6" hidden="1">{#N/A,#N/A,FALSE,"ALM-ASISC"}</definedName>
    <definedName name="vhjweklh" localSheetId="1" hidden="1">{#N/A,#N/A,FALSE,"ALM-ASISC"}</definedName>
    <definedName name="vhjweklh" hidden="1">{#N/A,#N/A,FALSE,"ALM-ASISC"}</definedName>
    <definedName name="vhjwkhe" localSheetId="3" hidden="1">{#N/A,#N/A,FALSE,"ALM-ASISC"}</definedName>
    <definedName name="vhjwkhe" localSheetId="4" hidden="1">{#N/A,#N/A,FALSE,"ALM-ASISC"}</definedName>
    <definedName name="vhjwkhe" localSheetId="5" hidden="1">{#N/A,#N/A,FALSE,"ALM-ASISC"}</definedName>
    <definedName name="vhjwkhe" localSheetId="6" hidden="1">{#N/A,#N/A,FALSE,"ALM-ASISC"}</definedName>
    <definedName name="vhjwkhe" localSheetId="1" hidden="1">{#N/A,#N/A,FALSE,"ALM-ASISC"}</definedName>
    <definedName name="vhjwkhe" hidden="1">{#N/A,#N/A,FALSE,"ALM-ASISC"}</definedName>
    <definedName name="vhjwoe" localSheetId="3" hidden="1">{#N/A,#N/A,FALSE,"ALM-ASISC"}</definedName>
    <definedName name="vhjwoe" localSheetId="4" hidden="1">{#N/A,#N/A,FALSE,"ALM-ASISC"}</definedName>
    <definedName name="vhjwoe" localSheetId="5" hidden="1">{#N/A,#N/A,FALSE,"ALM-ASISC"}</definedName>
    <definedName name="vhjwoe" localSheetId="6" hidden="1">{#N/A,#N/A,FALSE,"ALM-ASISC"}</definedName>
    <definedName name="vhjwoe" localSheetId="1" hidden="1">{#N/A,#N/A,FALSE,"ALM-ASISC"}</definedName>
    <definedName name="vhjwoe" hidden="1">{#N/A,#N/A,FALSE,"ALM-ASISC"}</definedName>
    <definedName name="vhjwole" localSheetId="3" hidden="1">{#N/A,#N/A,FALSE,"ALM-ASISC"}</definedName>
    <definedName name="vhjwole" localSheetId="4" hidden="1">{#N/A,#N/A,FALSE,"ALM-ASISC"}</definedName>
    <definedName name="vhjwole" localSheetId="5" hidden="1">{#N/A,#N/A,FALSE,"ALM-ASISC"}</definedName>
    <definedName name="vhjwole" localSheetId="6" hidden="1">{#N/A,#N/A,FALSE,"ALM-ASISC"}</definedName>
    <definedName name="vhjwole" localSheetId="1" hidden="1">{#N/A,#N/A,FALSE,"ALM-ASISC"}</definedName>
    <definedName name="vhjwole" hidden="1">{#N/A,#N/A,FALSE,"ALM-ASISC"}</definedName>
    <definedName name="vhlkjw" localSheetId="3" hidden="1">{#N/A,#N/A,FALSE,"ALM-ASISC"}</definedName>
    <definedName name="vhlkjw" localSheetId="4" hidden="1">{#N/A,#N/A,FALSE,"ALM-ASISC"}</definedName>
    <definedName name="vhlkjw" localSheetId="5" hidden="1">{#N/A,#N/A,FALSE,"ALM-ASISC"}</definedName>
    <definedName name="vhlkjw" localSheetId="6" hidden="1">{#N/A,#N/A,FALSE,"ALM-ASISC"}</definedName>
    <definedName name="vhlkjw" localSheetId="1" hidden="1">{#N/A,#N/A,FALSE,"ALM-ASISC"}</definedName>
    <definedName name="vhlkjw" hidden="1">{#N/A,#N/A,FALSE,"ALM-ASISC"}</definedName>
    <definedName name="vhwjkeh" localSheetId="3" hidden="1">{#N/A,#N/A,FALSE,"ALM-ASISC"}</definedName>
    <definedName name="vhwjkeh" localSheetId="4" hidden="1">{#N/A,#N/A,FALSE,"ALM-ASISC"}</definedName>
    <definedName name="vhwjkeh" localSheetId="5" hidden="1">{#N/A,#N/A,FALSE,"ALM-ASISC"}</definedName>
    <definedName name="vhwjkeh" localSheetId="6" hidden="1">{#N/A,#N/A,FALSE,"ALM-ASISC"}</definedName>
    <definedName name="vhwjkeh" localSheetId="1" hidden="1">{#N/A,#N/A,FALSE,"ALM-ASISC"}</definedName>
    <definedName name="vhwjkeh" hidden="1">{#N/A,#N/A,FALSE,"ALM-ASISC"}</definedName>
    <definedName name="vjhkldw" localSheetId="3" hidden="1">{#N/A,#N/A,FALSE,"ALM-ASISC"}</definedName>
    <definedName name="vjhkldw" localSheetId="4" hidden="1">{#N/A,#N/A,FALSE,"ALM-ASISC"}</definedName>
    <definedName name="vjhkldw" localSheetId="5" hidden="1">{#N/A,#N/A,FALSE,"ALM-ASISC"}</definedName>
    <definedName name="vjhkldw" localSheetId="6" hidden="1">{#N/A,#N/A,FALSE,"ALM-ASISC"}</definedName>
    <definedName name="vjhkldw" localSheetId="1" hidden="1">{#N/A,#N/A,FALSE,"ALM-ASISC"}</definedName>
    <definedName name="vjhkldw" hidden="1">{#N/A,#N/A,FALSE,"ALM-ASISC"}</definedName>
    <definedName name="vjkldw" localSheetId="3" hidden="1">{#N/A,#N/A,FALSE,"ALM-ASISC"}</definedName>
    <definedName name="vjkldw" localSheetId="4" hidden="1">{#N/A,#N/A,FALSE,"ALM-ASISC"}</definedName>
    <definedName name="vjkldw" localSheetId="5" hidden="1">{#N/A,#N/A,FALSE,"ALM-ASISC"}</definedName>
    <definedName name="vjkldw" localSheetId="6" hidden="1">{#N/A,#N/A,FALSE,"ALM-ASISC"}</definedName>
    <definedName name="vjkldw" localSheetId="1" hidden="1">{#N/A,#N/A,FALSE,"ALM-ASISC"}</definedName>
    <definedName name="vjkldw" hidden="1">{#N/A,#N/A,FALSE,"ALM-ASISC"}</definedName>
    <definedName name="vjklf" localSheetId="3" hidden="1">{#N/A,#N/A,FALSE,"ALM-ASISC"}</definedName>
    <definedName name="vjklf" localSheetId="4" hidden="1">{#N/A,#N/A,FALSE,"ALM-ASISC"}</definedName>
    <definedName name="vjklf" localSheetId="5" hidden="1">{#N/A,#N/A,FALSE,"ALM-ASISC"}</definedName>
    <definedName name="vjklf" localSheetId="6" hidden="1">{#N/A,#N/A,FALSE,"ALM-ASISC"}</definedName>
    <definedName name="vjklf" localSheetId="1" hidden="1">{#N/A,#N/A,FALSE,"ALM-ASISC"}</definedName>
    <definedName name="vjklf" hidden="1">{#N/A,#N/A,FALSE,"ALM-ASISC"}</definedName>
    <definedName name="vjkls" localSheetId="3" hidden="1">{#N/A,#N/A,FALSE,"ALM-ASISC"}</definedName>
    <definedName name="vjkls" localSheetId="4" hidden="1">{#N/A,#N/A,FALSE,"ALM-ASISC"}</definedName>
    <definedName name="vjkls" localSheetId="5" hidden="1">{#N/A,#N/A,FALSE,"ALM-ASISC"}</definedName>
    <definedName name="vjkls" localSheetId="6" hidden="1">{#N/A,#N/A,FALSE,"ALM-ASISC"}</definedName>
    <definedName name="vjkls" localSheetId="1" hidden="1">{#N/A,#N/A,FALSE,"ALM-ASISC"}</definedName>
    <definedName name="vjkls" hidden="1">{#N/A,#N/A,FALSE,"ALM-ASISC"}</definedName>
    <definedName name="vjkwhe" localSheetId="3" hidden="1">{#N/A,#N/A,FALSE,"ALM-ASISC"}</definedName>
    <definedName name="vjkwhe" localSheetId="4" hidden="1">{#N/A,#N/A,FALSE,"ALM-ASISC"}</definedName>
    <definedName name="vjkwhe" localSheetId="5" hidden="1">{#N/A,#N/A,FALSE,"ALM-ASISC"}</definedName>
    <definedName name="vjkwhe" localSheetId="6" hidden="1">{#N/A,#N/A,FALSE,"ALM-ASISC"}</definedName>
    <definedName name="vjkwhe" localSheetId="1" hidden="1">{#N/A,#N/A,FALSE,"ALM-ASISC"}</definedName>
    <definedName name="vjkwhe" hidden="1">{#N/A,#N/A,FALSE,"ALM-ASISC"}</definedName>
    <definedName name="vjkwhgekj" localSheetId="3" hidden="1">{#N/A,#N/A,FALSE,"ALM-ASISC"}</definedName>
    <definedName name="vjkwhgekj" localSheetId="4" hidden="1">{#N/A,#N/A,FALSE,"ALM-ASISC"}</definedName>
    <definedName name="vjkwhgekj" localSheetId="5" hidden="1">{#N/A,#N/A,FALSE,"ALM-ASISC"}</definedName>
    <definedName name="vjkwhgekj" localSheetId="6" hidden="1">{#N/A,#N/A,FALSE,"ALM-ASISC"}</definedName>
    <definedName name="vjkwhgekj" localSheetId="1" hidden="1">{#N/A,#N/A,FALSE,"ALM-ASISC"}</definedName>
    <definedName name="vjkwhgekj" hidden="1">{#N/A,#N/A,FALSE,"ALM-ASISC"}</definedName>
    <definedName name="vjpowei" localSheetId="3" hidden="1">{#N/A,#N/A,FALSE,"ALM-ASISC"}</definedName>
    <definedName name="vjpowei" localSheetId="4" hidden="1">{#N/A,#N/A,FALSE,"ALM-ASISC"}</definedName>
    <definedName name="vjpowei" localSheetId="5" hidden="1">{#N/A,#N/A,FALSE,"ALM-ASISC"}</definedName>
    <definedName name="vjpowei" localSheetId="6" hidden="1">{#N/A,#N/A,FALSE,"ALM-ASISC"}</definedName>
    <definedName name="vjpowei" localSheetId="1" hidden="1">{#N/A,#N/A,FALSE,"ALM-ASISC"}</definedName>
    <definedName name="vjpowei" hidden="1">{#N/A,#N/A,FALSE,"ALM-ASISC"}</definedName>
    <definedName name="vjwke" localSheetId="3" hidden="1">{#N/A,#N/A,FALSE,"ALM-ASISC"}</definedName>
    <definedName name="vjwke" localSheetId="4" hidden="1">{#N/A,#N/A,FALSE,"ALM-ASISC"}</definedName>
    <definedName name="vjwke" localSheetId="5" hidden="1">{#N/A,#N/A,FALSE,"ALM-ASISC"}</definedName>
    <definedName name="vjwke" localSheetId="6" hidden="1">{#N/A,#N/A,FALSE,"ALM-ASISC"}</definedName>
    <definedName name="vjwke" localSheetId="1" hidden="1">{#N/A,#N/A,FALSE,"ALM-ASISC"}</definedName>
    <definedName name="vjwke" hidden="1">{#N/A,#N/A,FALSE,"ALM-ASISC"}</definedName>
    <definedName name="vjwkhekl" localSheetId="3" hidden="1">{#N/A,#N/A,FALSE,"ALM-ASISC"}</definedName>
    <definedName name="vjwkhekl" localSheetId="4" hidden="1">{#N/A,#N/A,FALSE,"ALM-ASISC"}</definedName>
    <definedName name="vjwkhekl" localSheetId="5" hidden="1">{#N/A,#N/A,FALSE,"ALM-ASISC"}</definedName>
    <definedName name="vjwkhekl" localSheetId="6" hidden="1">{#N/A,#N/A,FALSE,"ALM-ASISC"}</definedName>
    <definedName name="vjwkhekl" localSheetId="1" hidden="1">{#N/A,#N/A,FALSE,"ALM-ASISC"}</definedName>
    <definedName name="vjwkhekl" hidden="1">{#N/A,#N/A,FALSE,"ALM-ASISC"}</definedName>
    <definedName name="vjwoiei" localSheetId="3" hidden="1">{#N/A,#N/A,FALSE,"ALM-ASISC"}</definedName>
    <definedName name="vjwoiei" localSheetId="4" hidden="1">{#N/A,#N/A,FALSE,"ALM-ASISC"}</definedName>
    <definedName name="vjwoiei" localSheetId="5" hidden="1">{#N/A,#N/A,FALSE,"ALM-ASISC"}</definedName>
    <definedName name="vjwoiei" localSheetId="6" hidden="1">{#N/A,#N/A,FALSE,"ALM-ASISC"}</definedName>
    <definedName name="vjwoiei" localSheetId="1" hidden="1">{#N/A,#N/A,FALSE,"ALM-ASISC"}</definedName>
    <definedName name="vjwoiei" hidden="1">{#N/A,#N/A,FALSE,"ALM-ASISC"}</definedName>
    <definedName name="vjwoieuhj" localSheetId="3" hidden="1">{#N/A,#N/A,FALSE,"ALM-ASISC"}</definedName>
    <definedName name="vjwoieuhj" localSheetId="4" hidden="1">{#N/A,#N/A,FALSE,"ALM-ASISC"}</definedName>
    <definedName name="vjwoieuhj" localSheetId="5" hidden="1">{#N/A,#N/A,FALSE,"ALM-ASISC"}</definedName>
    <definedName name="vjwoieuhj" localSheetId="6" hidden="1">{#N/A,#N/A,FALSE,"ALM-ASISC"}</definedName>
    <definedName name="vjwoieuhj" localSheetId="1" hidden="1">{#N/A,#N/A,FALSE,"ALM-ASISC"}</definedName>
    <definedName name="vjwoieuhj" hidden="1">{#N/A,#N/A,FALSE,"ALM-ASISC"}</definedName>
    <definedName name="vkwle" localSheetId="3" hidden="1">{#N/A,#N/A,FALSE,"ALM-ASISC"}</definedName>
    <definedName name="vkwle" localSheetId="4" hidden="1">{#N/A,#N/A,FALSE,"ALM-ASISC"}</definedName>
    <definedName name="vkwle" localSheetId="5" hidden="1">{#N/A,#N/A,FALSE,"ALM-ASISC"}</definedName>
    <definedName name="vkwle" localSheetId="6" hidden="1">{#N/A,#N/A,FALSE,"ALM-ASISC"}</definedName>
    <definedName name="vkwle" localSheetId="1" hidden="1">{#N/A,#N/A,FALSE,"ALM-ASISC"}</definedName>
    <definedName name="vkwle" hidden="1">{#N/A,#N/A,FALSE,"ALM-ASISC"}</definedName>
    <definedName name="vpowoie" localSheetId="3" hidden="1">{#N/A,#N/A,FALSE,"ALM-ASISC"}</definedName>
    <definedName name="vpowoie" localSheetId="4" hidden="1">{#N/A,#N/A,FALSE,"ALM-ASISC"}</definedName>
    <definedName name="vpowoie" localSheetId="5" hidden="1">{#N/A,#N/A,FALSE,"ALM-ASISC"}</definedName>
    <definedName name="vpowoie" localSheetId="6" hidden="1">{#N/A,#N/A,FALSE,"ALM-ASISC"}</definedName>
    <definedName name="vpowoie" localSheetId="1" hidden="1">{#N/A,#N/A,FALSE,"ALM-ASISC"}</definedName>
    <definedName name="vpowoie" hidden="1">{#N/A,#N/A,FALSE,"ALM-ASISC"}</definedName>
    <definedName name="vw" localSheetId="3" hidden="1">{#N/A,#N/A,FALSE,"ALM-ASISC"}</definedName>
    <definedName name="vw" localSheetId="4" hidden="1">{#N/A,#N/A,FALSE,"ALM-ASISC"}</definedName>
    <definedName name="vw" localSheetId="5" hidden="1">{#N/A,#N/A,FALSE,"ALM-ASISC"}</definedName>
    <definedName name="vw" localSheetId="6" hidden="1">{#N/A,#N/A,FALSE,"ALM-ASISC"}</definedName>
    <definedName name="vw" localSheetId="1" hidden="1">{#N/A,#N/A,FALSE,"ALM-ASISC"}</definedName>
    <definedName name="vw" hidden="1">{#N/A,#N/A,FALSE,"ALM-ASISC"}</definedName>
    <definedName name="vwdfw" localSheetId="3" hidden="1">{#N/A,#N/A,FALSE,"ALM-ASISC"}</definedName>
    <definedName name="vwdfw" localSheetId="4" hidden="1">{#N/A,#N/A,FALSE,"ALM-ASISC"}</definedName>
    <definedName name="vwdfw" localSheetId="5" hidden="1">{#N/A,#N/A,FALSE,"ALM-ASISC"}</definedName>
    <definedName name="vwdfw" localSheetId="6" hidden="1">{#N/A,#N/A,FALSE,"ALM-ASISC"}</definedName>
    <definedName name="vwdfw" localSheetId="1" hidden="1">{#N/A,#N/A,FALSE,"ALM-ASISC"}</definedName>
    <definedName name="vwdfw" hidden="1">{#N/A,#N/A,FALSE,"ALM-ASISC"}</definedName>
    <definedName name="vwdfwe" localSheetId="3" hidden="1">{#N/A,#N/A,FALSE,"ALM-ASISC"}</definedName>
    <definedName name="vwdfwe" localSheetId="4" hidden="1">{#N/A,#N/A,FALSE,"ALM-ASISC"}</definedName>
    <definedName name="vwdfwe" localSheetId="5" hidden="1">{#N/A,#N/A,FALSE,"ALM-ASISC"}</definedName>
    <definedName name="vwdfwe" localSheetId="6" hidden="1">{#N/A,#N/A,FALSE,"ALM-ASISC"}</definedName>
    <definedName name="vwdfwe" localSheetId="1" hidden="1">{#N/A,#N/A,FALSE,"ALM-ASISC"}</definedName>
    <definedName name="vwdfwe" hidden="1">{#N/A,#N/A,FALSE,"ALM-ASISC"}</definedName>
    <definedName name="vwe" localSheetId="3" hidden="1">{#N/A,#N/A,FALSE,"ALM-ASISC"}</definedName>
    <definedName name="vwe" localSheetId="4" hidden="1">{#N/A,#N/A,FALSE,"ALM-ASISC"}</definedName>
    <definedName name="vwe" localSheetId="5" hidden="1">{#N/A,#N/A,FALSE,"ALM-ASISC"}</definedName>
    <definedName name="vwe" localSheetId="6" hidden="1">{#N/A,#N/A,FALSE,"ALM-ASISC"}</definedName>
    <definedName name="vwe" localSheetId="1" hidden="1">{#N/A,#N/A,FALSE,"ALM-ASISC"}</definedName>
    <definedName name="vwe" hidden="1">{#N/A,#N/A,FALSE,"ALM-ASISC"}</definedName>
    <definedName name="vwef" localSheetId="3" hidden="1">{#N/A,#N/A,FALSE,"ALM-ASISC"}</definedName>
    <definedName name="vwef" localSheetId="4" hidden="1">{#N/A,#N/A,FALSE,"ALM-ASISC"}</definedName>
    <definedName name="vwef" localSheetId="5" hidden="1">{#N/A,#N/A,FALSE,"ALM-ASISC"}</definedName>
    <definedName name="vwef" localSheetId="6" hidden="1">{#N/A,#N/A,FALSE,"ALM-ASISC"}</definedName>
    <definedName name="vwef" localSheetId="1" hidden="1">{#N/A,#N/A,FALSE,"ALM-ASISC"}</definedName>
    <definedName name="vwef" hidden="1">{#N/A,#N/A,FALSE,"ALM-ASISC"}</definedName>
    <definedName name="vwefg" localSheetId="3" hidden="1">{#N/A,#N/A,FALSE,"ALM-ASISC"}</definedName>
    <definedName name="vwefg" localSheetId="4" hidden="1">{#N/A,#N/A,FALSE,"ALM-ASISC"}</definedName>
    <definedName name="vwefg" localSheetId="5" hidden="1">{#N/A,#N/A,FALSE,"ALM-ASISC"}</definedName>
    <definedName name="vwefg" localSheetId="6" hidden="1">{#N/A,#N/A,FALSE,"ALM-ASISC"}</definedName>
    <definedName name="vwefg" localSheetId="1" hidden="1">{#N/A,#N/A,FALSE,"ALM-ASISC"}</definedName>
    <definedName name="vwefg" hidden="1">{#N/A,#N/A,FALSE,"ALM-ASISC"}</definedName>
    <definedName name="vwer" localSheetId="3" hidden="1">{#N/A,#N/A,FALSE,"ALM-ASISC"}</definedName>
    <definedName name="vwer" localSheetId="4" hidden="1">{#N/A,#N/A,FALSE,"ALM-ASISC"}</definedName>
    <definedName name="vwer" localSheetId="5" hidden="1">{#N/A,#N/A,FALSE,"ALM-ASISC"}</definedName>
    <definedName name="vwer" localSheetId="6" hidden="1">{#N/A,#N/A,FALSE,"ALM-ASISC"}</definedName>
    <definedName name="vwer" localSheetId="1" hidden="1">{#N/A,#N/A,FALSE,"ALM-ASISC"}</definedName>
    <definedName name="vwer" hidden="1">{#N/A,#N/A,FALSE,"ALM-ASISC"}</definedName>
    <definedName name="vwvw" localSheetId="3" hidden="1">{#N/A,#N/A,FALSE,"ALM-ASISC"}</definedName>
    <definedName name="vwvw" localSheetId="4" hidden="1">{#N/A,#N/A,FALSE,"ALM-ASISC"}</definedName>
    <definedName name="vwvw" localSheetId="5" hidden="1">{#N/A,#N/A,FALSE,"ALM-ASISC"}</definedName>
    <definedName name="vwvw" localSheetId="6" hidden="1">{#N/A,#N/A,FALSE,"ALM-ASISC"}</definedName>
    <definedName name="vwvw" localSheetId="1" hidden="1">{#N/A,#N/A,FALSE,"ALM-ASISC"}</definedName>
    <definedName name="vwvw" hidden="1">{#N/A,#N/A,FALSE,"ALM-ASISC"}</definedName>
    <definedName name="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d" localSheetId="3" hidden="1">{#N/A,#N/A,FALSE,"ALM-ASISC"}</definedName>
    <definedName name="wd" localSheetId="4" hidden="1">{#N/A,#N/A,FALSE,"ALM-ASISC"}</definedName>
    <definedName name="wd" localSheetId="5" hidden="1">{#N/A,#N/A,FALSE,"ALM-ASISC"}</definedName>
    <definedName name="wd" localSheetId="6" hidden="1">{#N/A,#N/A,FALSE,"ALM-ASISC"}</definedName>
    <definedName name="wd" localSheetId="1" hidden="1">{#N/A,#N/A,FALSE,"ALM-ASISC"}</definedName>
    <definedName name="wd" hidden="1">{#N/A,#N/A,FALSE,"ALM-ASISC"}</definedName>
    <definedName name="wererr" localSheetId="3" hidden="1">{#N/A,#N/A,FALSE,"운반시간"}</definedName>
    <definedName name="wererr" localSheetId="4" hidden="1">{#N/A,#N/A,FALSE,"운반시간"}</definedName>
    <definedName name="wererr" localSheetId="5" hidden="1">{#N/A,#N/A,FALSE,"운반시간"}</definedName>
    <definedName name="wererr" localSheetId="6" hidden="1">{#N/A,#N/A,FALSE,"운반시간"}</definedName>
    <definedName name="wererr" localSheetId="7" hidden="1">{#N/A,#N/A,FALSE,"운반시간"}</definedName>
    <definedName name="wererr" localSheetId="1" hidden="1">{#N/A,#N/A,FALSE,"운반시간"}</definedName>
    <definedName name="wererr" localSheetId="0" hidden="1">{#N/A,#N/A,FALSE,"운반시간"}</definedName>
    <definedName name="wererr" hidden="1">{#N/A,#N/A,FALSE,"운반시간"}</definedName>
    <definedName name="werewr" localSheetId="3" hidden="1">{#N/A,#N/A,FALSE,"골재소요량";#N/A,#N/A,FALSE,"골재소요량"}</definedName>
    <definedName name="werewr" localSheetId="4" hidden="1">{#N/A,#N/A,FALSE,"골재소요량";#N/A,#N/A,FALSE,"골재소요량"}</definedName>
    <definedName name="werewr" localSheetId="5" hidden="1">{#N/A,#N/A,FALSE,"골재소요량";#N/A,#N/A,FALSE,"골재소요량"}</definedName>
    <definedName name="werewr" localSheetId="6" hidden="1">{#N/A,#N/A,FALSE,"골재소요량";#N/A,#N/A,FALSE,"골재소요량"}</definedName>
    <definedName name="werewr" localSheetId="7" hidden="1">{#N/A,#N/A,FALSE,"골재소요량";#N/A,#N/A,FALSE,"골재소요량"}</definedName>
    <definedName name="werewr" localSheetId="1" hidden="1">{#N/A,#N/A,FALSE,"골재소요량";#N/A,#N/A,FALSE,"골재소요량"}</definedName>
    <definedName name="werewr" localSheetId="0" hidden="1">{#N/A,#N/A,FALSE,"골재소요량";#N/A,#N/A,FALSE,"골재소요량"}</definedName>
    <definedName name="werewr" hidden="1">{#N/A,#N/A,FALSE,"골재소요량";#N/A,#N/A,FALSE,"골재소요량"}</definedName>
    <definedName name="werwe" localSheetId="3" hidden="1">{#N/A,#N/A,FALSE,"ALM-ASISC"}</definedName>
    <definedName name="werwe" localSheetId="4" hidden="1">{#N/A,#N/A,FALSE,"ALM-ASISC"}</definedName>
    <definedName name="werwe" localSheetId="5" hidden="1">{#N/A,#N/A,FALSE,"ALM-ASISC"}</definedName>
    <definedName name="werwe" localSheetId="6" hidden="1">{#N/A,#N/A,FALSE,"ALM-ASISC"}</definedName>
    <definedName name="werwe" localSheetId="1" hidden="1">{#N/A,#N/A,FALSE,"ALM-ASISC"}</definedName>
    <definedName name="werwe" hidden="1">{#N/A,#N/A,FALSE,"ALM-ASISC"}</definedName>
    <definedName name="wkeljd" localSheetId="3" hidden="1">{#N/A,#N/A,FALSE,"ALM-ASISC"}</definedName>
    <definedName name="wkeljd" localSheetId="4" hidden="1">{#N/A,#N/A,FALSE,"ALM-ASISC"}</definedName>
    <definedName name="wkeljd" localSheetId="5" hidden="1">{#N/A,#N/A,FALSE,"ALM-ASISC"}</definedName>
    <definedName name="wkeljd" localSheetId="6" hidden="1">{#N/A,#N/A,FALSE,"ALM-ASISC"}</definedName>
    <definedName name="wkeljd" localSheetId="1" hidden="1">{#N/A,#N/A,FALSE,"ALM-ASISC"}</definedName>
    <definedName name="wkeljd" hidden="1">{#N/A,#N/A,FALSE,"ALM-ASISC"}</definedName>
    <definedName name="wm.조골재1" localSheetId="3" hidden="1">{#N/A,#N/A,FALSE,"조골재"}</definedName>
    <definedName name="wm.조골재1" localSheetId="4" hidden="1">{#N/A,#N/A,FALSE,"조골재"}</definedName>
    <definedName name="wm.조골재1" localSheetId="5" hidden="1">{#N/A,#N/A,FALSE,"조골재"}</definedName>
    <definedName name="wm.조골재1" localSheetId="6" hidden="1">{#N/A,#N/A,FALSE,"조골재"}</definedName>
    <definedName name="wm.조골재1" localSheetId="7" hidden="1">{#N/A,#N/A,FALSE,"조골재"}</definedName>
    <definedName name="wm.조골재1" localSheetId="1" hidden="1">{#N/A,#N/A,FALSE,"조골재"}</definedName>
    <definedName name="wm.조골재1" localSheetId="0" hidden="1">{#N/A,#N/A,FALSE,"조골재"}</definedName>
    <definedName name="wm.조골재1" hidden="1">{#N/A,#N/A,FALSE,"조골재"}</definedName>
    <definedName name="wqewqe" localSheetId="3" hidden="1">{#N/A,#N/A,FALSE,"ALM-ASISC"}</definedName>
    <definedName name="wqewqe" localSheetId="4" hidden="1">{#N/A,#N/A,FALSE,"ALM-ASISC"}</definedName>
    <definedName name="wqewqe" localSheetId="5" hidden="1">{#N/A,#N/A,FALSE,"ALM-ASISC"}</definedName>
    <definedName name="wqewqe" localSheetId="6" hidden="1">{#N/A,#N/A,FALSE,"ALM-ASISC"}</definedName>
    <definedName name="wqewqe" localSheetId="1" hidden="1">{#N/A,#N/A,FALSE,"ALM-ASISC"}</definedName>
    <definedName name="wqewqe" hidden="1">{#N/A,#N/A,FALSE,"ALM-ASISC"}</definedName>
    <definedName name="wrn.2번." localSheetId="3" hidden="1">{#N/A,#N/A,FALSE,"2~8번"}</definedName>
    <definedName name="wrn.2번." localSheetId="4" hidden="1">{#N/A,#N/A,FALSE,"2~8번"}</definedName>
    <definedName name="wrn.2번." localSheetId="5" hidden="1">{#N/A,#N/A,FALSE,"2~8번"}</definedName>
    <definedName name="wrn.2번." localSheetId="6" hidden="1">{#N/A,#N/A,FALSE,"2~8번"}</definedName>
    <definedName name="wrn.2번." localSheetId="7" hidden="1">{#N/A,#N/A,FALSE,"2~8번"}</definedName>
    <definedName name="wrn.2번." localSheetId="1" hidden="1">{#N/A,#N/A,FALSE,"2~8번"}</definedName>
    <definedName name="wrn.2번." localSheetId="0" hidden="1">{#N/A,#N/A,FALSE,"2~8번"}</definedName>
    <definedName name="wrn.2번." hidden="1">{#N/A,#N/A,FALSE,"2~8번"}</definedName>
    <definedName name="wrn.aaa." localSheetId="3" hidden="1">{#N/A,#N/A,FALSE,"ALM-ASISC"}</definedName>
    <definedName name="wrn.aaa." localSheetId="4" hidden="1">{#N/A,#N/A,FALSE,"ALM-ASISC"}</definedName>
    <definedName name="wrn.aaa." localSheetId="5" hidden="1">{#N/A,#N/A,FALSE,"ALM-ASISC"}</definedName>
    <definedName name="wrn.aaa." localSheetId="6" hidden="1">{#N/A,#N/A,FALSE,"ALM-ASISC"}</definedName>
    <definedName name="wrn.aaa." localSheetId="1" hidden="1">{#N/A,#N/A,FALSE,"ALM-ASISC"}</definedName>
    <definedName name="wrn.aaa." hidden="1">{#N/A,#N/A,FALSE,"ALM-ASISC"}</definedName>
    <definedName name="wrn.COSA._.FS._.국문." localSheetId="3" hidden="1">{#N/A,#N/A,FALSE,"BS";#N/A,#N/A,FALSE,"PL";#N/A,#N/A,FALSE,"처분";#N/A,#N/A,FALSE,"현금";#N/A,#N/A,FALSE,"매출";#N/A,#N/A,FALSE,"원가";#N/A,#N/A,FALSE,"경영"}</definedName>
    <definedName name="wrn.COSA._.FS._.국문." localSheetId="4" hidden="1">{#N/A,#N/A,FALSE,"BS";#N/A,#N/A,FALSE,"PL";#N/A,#N/A,FALSE,"처분";#N/A,#N/A,FALSE,"현금";#N/A,#N/A,FALSE,"매출";#N/A,#N/A,FALSE,"원가";#N/A,#N/A,FALSE,"경영"}</definedName>
    <definedName name="wrn.COSA._.FS._.국문." localSheetId="5" hidden="1">{#N/A,#N/A,FALSE,"BS";#N/A,#N/A,FALSE,"PL";#N/A,#N/A,FALSE,"처분";#N/A,#N/A,FALSE,"현금";#N/A,#N/A,FALSE,"매출";#N/A,#N/A,FALSE,"원가";#N/A,#N/A,FALSE,"경영"}</definedName>
    <definedName name="wrn.COSA._.FS._.국문." localSheetId="6" hidden="1">{#N/A,#N/A,FALSE,"BS";#N/A,#N/A,FALSE,"PL";#N/A,#N/A,FALSE,"처분";#N/A,#N/A,FALSE,"현금";#N/A,#N/A,FALSE,"매출";#N/A,#N/A,FALSE,"원가";#N/A,#N/A,FALSE,"경영"}</definedName>
    <definedName name="wrn.COSA._.FS._.국문." localSheetId="7" hidden="1">{#N/A,#N/A,FALSE,"BS";#N/A,#N/A,FALSE,"PL";#N/A,#N/A,FALSE,"처분";#N/A,#N/A,FALSE,"현금";#N/A,#N/A,FALSE,"매출";#N/A,#N/A,FALSE,"원가";#N/A,#N/A,FALSE,"경영"}</definedName>
    <definedName name="wrn.COSA._.FS._.국문." localSheetId="1" hidden="1">{#N/A,#N/A,FALSE,"BS";#N/A,#N/A,FALSE,"PL";#N/A,#N/A,FALSE,"처분";#N/A,#N/A,FALSE,"현금";#N/A,#N/A,FALSE,"매출";#N/A,#N/A,FALSE,"원가";#N/A,#N/A,FALSE,"경영"}</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TEST." localSheetId="3" hidden="1">{#N/A,#N/A,FALSE,"3가";#N/A,#N/A,FALSE,"3나";#N/A,#N/A,FALSE,"3다"}</definedName>
    <definedName name="wrn.TEST." localSheetId="4" hidden="1">{#N/A,#N/A,FALSE,"3가";#N/A,#N/A,FALSE,"3나";#N/A,#N/A,FALSE,"3다"}</definedName>
    <definedName name="wrn.TEST." localSheetId="5" hidden="1">{#N/A,#N/A,FALSE,"3가";#N/A,#N/A,FALSE,"3나";#N/A,#N/A,FALSE,"3다"}</definedName>
    <definedName name="wrn.TEST." localSheetId="6" hidden="1">{#N/A,#N/A,FALSE,"3가";#N/A,#N/A,FALSE,"3나";#N/A,#N/A,FALSE,"3다"}</definedName>
    <definedName name="wrn.TEST." localSheetId="1" hidden="1">{#N/A,#N/A,FALSE,"3가";#N/A,#N/A,FALSE,"3나";#N/A,#N/A,FALSE,"3다"}</definedName>
    <definedName name="wrn.TEST." hidden="1">{#N/A,#N/A,FALSE,"3가";#N/A,#N/A,FALSE,"3나";#N/A,#N/A,FALSE,"3다"}</definedName>
    <definedName name="wrn.골재소요량." localSheetId="3" hidden="1">{#N/A,#N/A,FALSE,"골재소요량";#N/A,#N/A,FALSE,"골재소요량"}</definedName>
    <definedName name="wrn.골재소요량." localSheetId="4" hidden="1">{#N/A,#N/A,FALSE,"골재소요량";#N/A,#N/A,FALSE,"골재소요량"}</definedName>
    <definedName name="wrn.골재소요량." localSheetId="5" hidden="1">{#N/A,#N/A,FALSE,"골재소요량";#N/A,#N/A,FALSE,"골재소요량"}</definedName>
    <definedName name="wrn.골재소요량." localSheetId="6" hidden="1">{#N/A,#N/A,FALSE,"골재소요량";#N/A,#N/A,FALSE,"골재소요량"}</definedName>
    <definedName name="wrn.골재소요량." localSheetId="7" hidden="1">{#N/A,#N/A,FALSE,"골재소요량";#N/A,#N/A,FALSE,"골재소요량"}</definedName>
    <definedName name="wrn.골재소요량." localSheetId="1"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교육청." localSheetId="3" hidden="1">{#N/A,#N/A,FALSE,"전력간선"}</definedName>
    <definedName name="wrn.교육청." localSheetId="4" hidden="1">{#N/A,#N/A,FALSE,"전력간선"}</definedName>
    <definedName name="wrn.교육청." localSheetId="5" hidden="1">{#N/A,#N/A,FALSE,"전력간선"}</definedName>
    <definedName name="wrn.교육청." localSheetId="6" hidden="1">{#N/A,#N/A,FALSE,"전력간선"}</definedName>
    <definedName name="wrn.교육청." localSheetId="7" hidden="1">{#N/A,#N/A,FALSE,"전력간선"}</definedName>
    <definedName name="wrn.교육청." localSheetId="1" hidden="1">{#N/A,#N/A,FALSE,"전력간선"}</definedName>
    <definedName name="wrn.교육청." localSheetId="0"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localSheetId="5" hidden="1">{#N/A,#N/A,FALSE,"구조2"}</definedName>
    <definedName name="wrn.구조2." localSheetId="6" hidden="1">{#N/A,#N/A,FALSE,"구조2"}</definedName>
    <definedName name="wrn.구조2." localSheetId="7" hidden="1">{#N/A,#N/A,FALSE,"구조2"}</definedName>
    <definedName name="wrn.구조2." localSheetId="1" hidden="1">{#N/A,#N/A,FALSE,"구조2"}</definedName>
    <definedName name="wrn.구조2." localSheetId="0" hidden="1">{#N/A,#N/A,FALSE,"구조2"}</definedName>
    <definedName name="wrn.구조2." hidden="1">{#N/A,#N/A,FALSE,"구조2"}</definedName>
    <definedName name="wrn.단가표지." localSheetId="3" hidden="1">{#N/A,#N/A,FALSE,"단가표지"}</definedName>
    <definedName name="wrn.단가표지." localSheetId="4" hidden="1">{#N/A,#N/A,FALSE,"단가표지"}</definedName>
    <definedName name="wrn.단가표지." localSheetId="5" hidden="1">{#N/A,#N/A,FALSE,"단가표지"}</definedName>
    <definedName name="wrn.단가표지." localSheetId="6" hidden="1">{#N/A,#N/A,FALSE,"단가표지"}</definedName>
    <definedName name="wrn.단가표지." localSheetId="7" hidden="1">{#N/A,#N/A,FALSE,"단가표지"}</definedName>
    <definedName name="wrn.단가표지." localSheetId="1" hidden="1">{#N/A,#N/A,FALSE,"단가표지"}</definedName>
    <definedName name="wrn.단가표지." localSheetId="0"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localSheetId="5" hidden="1">{#N/A,#N/A,FALSE,"배수1"}</definedName>
    <definedName name="wrn.배수1." localSheetId="6" hidden="1">{#N/A,#N/A,FALSE,"배수1"}</definedName>
    <definedName name="wrn.배수1." localSheetId="7" hidden="1">{#N/A,#N/A,FALSE,"배수1"}</definedName>
    <definedName name="wrn.배수1." localSheetId="1" hidden="1">{#N/A,#N/A,FALSE,"배수1"}</definedName>
    <definedName name="wrn.배수1." localSheetId="0" hidden="1">{#N/A,#N/A,FALSE,"배수1"}</definedName>
    <definedName name="wrn.배수1." hidden="1">{#N/A,#N/A,FALSE,"배수1"}</definedName>
    <definedName name="wrn.배수2." localSheetId="3" hidden="1">{#N/A,#N/A,FALSE,"배수2"}</definedName>
    <definedName name="wrn.배수2." localSheetId="4" hidden="1">{#N/A,#N/A,FALSE,"배수2"}</definedName>
    <definedName name="wrn.배수2." localSheetId="5" hidden="1">{#N/A,#N/A,FALSE,"배수2"}</definedName>
    <definedName name="wrn.배수2." localSheetId="6" hidden="1">{#N/A,#N/A,FALSE,"배수2"}</definedName>
    <definedName name="wrn.배수2." localSheetId="7" hidden="1">{#N/A,#N/A,FALSE,"배수2"}</definedName>
    <definedName name="wrn.배수2." localSheetId="1" hidden="1">{#N/A,#N/A,FALSE,"배수2"}</definedName>
    <definedName name="wrn.배수2." localSheetId="0" hidden="1">{#N/A,#N/A,FALSE,"배수2"}</definedName>
    <definedName name="wrn.배수2." hidden="1">{#N/A,#N/A,FALSE,"배수2"}</definedName>
    <definedName name="wrn.부대1." localSheetId="3" hidden="1">{#N/A,#N/A,FALSE,"부대1"}</definedName>
    <definedName name="wrn.부대1." localSheetId="4" hidden="1">{#N/A,#N/A,FALSE,"부대1"}</definedName>
    <definedName name="wrn.부대1." localSheetId="5" hidden="1">{#N/A,#N/A,FALSE,"부대1"}</definedName>
    <definedName name="wrn.부대1." localSheetId="6" hidden="1">{#N/A,#N/A,FALSE,"부대1"}</definedName>
    <definedName name="wrn.부대1." localSheetId="7" hidden="1">{#N/A,#N/A,FALSE,"부대1"}</definedName>
    <definedName name="wrn.부대1." localSheetId="1" hidden="1">{#N/A,#N/A,FALSE,"부대1"}</definedName>
    <definedName name="wrn.부대1." localSheetId="0" hidden="1">{#N/A,#N/A,FALSE,"부대1"}</definedName>
    <definedName name="wrn.부대1." hidden="1">{#N/A,#N/A,FALSE,"부대1"}</definedName>
    <definedName name="wrn.부대2." localSheetId="3" hidden="1">{#N/A,#N/A,FALSE,"부대2"}</definedName>
    <definedName name="wrn.부대2." localSheetId="4" hidden="1">{#N/A,#N/A,FALSE,"부대2"}</definedName>
    <definedName name="wrn.부대2." localSheetId="5" hidden="1">{#N/A,#N/A,FALSE,"부대2"}</definedName>
    <definedName name="wrn.부대2." localSheetId="6" hidden="1">{#N/A,#N/A,FALSE,"부대2"}</definedName>
    <definedName name="wrn.부대2." localSheetId="7" hidden="1">{#N/A,#N/A,FALSE,"부대2"}</definedName>
    <definedName name="wrn.부대2." localSheetId="1" hidden="1">{#N/A,#N/A,FALSE,"부대2"}</definedName>
    <definedName name="wrn.부대2." localSheetId="0"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속도." localSheetId="4" hidden="1">{#N/A,#N/A,FALSE,"속도"}</definedName>
    <definedName name="wrn.속도." localSheetId="5" hidden="1">{#N/A,#N/A,FALSE,"속도"}</definedName>
    <definedName name="wrn.속도." localSheetId="6" hidden="1">{#N/A,#N/A,FALSE,"속도"}</definedName>
    <definedName name="wrn.속도." localSheetId="7" hidden="1">{#N/A,#N/A,FALSE,"속도"}</definedName>
    <definedName name="wrn.속도." localSheetId="1" hidden="1">{#N/A,#N/A,FALSE,"속도"}</definedName>
    <definedName name="wrn.속도." localSheetId="0" hidden="1">{#N/A,#N/A,FALSE,"속도"}</definedName>
    <definedName name="wrn.속도." hidden="1">{#N/A,#N/A,FALSE,"속도"}</definedName>
    <definedName name="wrn.송변전공종단가."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localSheetId="3" hidden="1">{#N/A,#N/A,TRUE,"토적및재료집계";#N/A,#N/A,TRUE,"토적및재료집계";#N/A,#N/A,TRUE,"단위량"}</definedName>
    <definedName name="wrn.신용찬." localSheetId="4" hidden="1">{#N/A,#N/A,TRUE,"토적및재료집계";#N/A,#N/A,TRUE,"토적및재료집계";#N/A,#N/A,TRUE,"단위량"}</definedName>
    <definedName name="wrn.신용찬." localSheetId="5" hidden="1">{#N/A,#N/A,TRUE,"토적및재료집계";#N/A,#N/A,TRUE,"토적및재료집계";#N/A,#N/A,TRUE,"단위량"}</definedName>
    <definedName name="wrn.신용찬." localSheetId="6" hidden="1">{#N/A,#N/A,TRUE,"토적및재료집계";#N/A,#N/A,TRUE,"토적및재료집계";#N/A,#N/A,TRUE,"단위량"}</definedName>
    <definedName name="wrn.신용찬." localSheetId="7" hidden="1">{#N/A,#N/A,TRUE,"토적및재료집계";#N/A,#N/A,TRUE,"토적및재료집계";#N/A,#N/A,TRUE,"단위량"}</definedName>
    <definedName name="wrn.신용찬." localSheetId="1" hidden="1">{#N/A,#N/A,TRUE,"토적및재료집계";#N/A,#N/A,TRUE,"토적및재료집계";#N/A,#N/A,TRUE,"단위량"}</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운반시간." localSheetId="3" hidden="1">{#N/A,#N/A,FALSE,"운반시간"}</definedName>
    <definedName name="wrn.운반시간." localSheetId="4" hidden="1">{#N/A,#N/A,FALSE,"운반시간"}</definedName>
    <definedName name="wrn.운반시간." localSheetId="5" hidden="1">{#N/A,#N/A,FALSE,"운반시간"}</definedName>
    <definedName name="wrn.운반시간." localSheetId="6" hidden="1">{#N/A,#N/A,FALSE,"운반시간"}</definedName>
    <definedName name="wrn.운반시간." localSheetId="7" hidden="1">{#N/A,#N/A,FALSE,"운반시간"}</definedName>
    <definedName name="wrn.운반시간." localSheetId="1" hidden="1">{#N/A,#N/A,FALSE,"운반시간"}</definedName>
    <definedName name="wrn.운반시간." localSheetId="0" hidden="1">{#N/A,#N/A,FALSE,"운반시간"}</definedName>
    <definedName name="wrn.운반시간." hidden="1">{#N/A,#N/A,FALSE,"운반시간"}</definedName>
    <definedName name="wrn.이정표." localSheetId="3" hidden="1">{#N/A,#N/A,FALSE,"이정표"}</definedName>
    <definedName name="wrn.이정표." localSheetId="4" hidden="1">{#N/A,#N/A,FALSE,"이정표"}</definedName>
    <definedName name="wrn.이정표." localSheetId="5" hidden="1">{#N/A,#N/A,FALSE,"이정표"}</definedName>
    <definedName name="wrn.이정표." localSheetId="6" hidden="1">{#N/A,#N/A,FALSE,"이정표"}</definedName>
    <definedName name="wrn.이정표." localSheetId="7" hidden="1">{#N/A,#N/A,FALSE,"이정표"}</definedName>
    <definedName name="wrn.이정표." localSheetId="1" hidden="1">{#N/A,#N/A,FALSE,"이정표"}</definedName>
    <definedName name="wrn.이정표." localSheetId="0" hidden="1">{#N/A,#N/A,FALSE,"이정표"}</definedName>
    <definedName name="wrn.이정표." hidden="1">{#N/A,#N/A,FALSE,"이정표"}</definedName>
    <definedName name="wrn.일위대가." localSheetId="3" hidden="1">{#N/A,#N/A,TRUE,"대가1"}</definedName>
    <definedName name="wrn.일위대가." localSheetId="4" hidden="1">{#N/A,#N/A,TRUE,"대가1"}</definedName>
    <definedName name="wrn.일위대가." localSheetId="5" hidden="1">{#N/A,#N/A,TRUE,"대가1"}</definedName>
    <definedName name="wrn.일위대가." localSheetId="6" hidden="1">{#N/A,#N/A,TRUE,"대가1"}</definedName>
    <definedName name="wrn.일위대가." localSheetId="7" hidden="1">{#N/A,#N/A,TRUE,"대가1"}</definedName>
    <definedName name="wrn.일위대가." localSheetId="1" hidden="1">{#N/A,#N/A,TRUE,"대가1"}</definedName>
    <definedName name="wrn.일위대가." localSheetId="0" hidden="1">{#N/A,#N/A,TRUE,"대가1"}</definedName>
    <definedName name="wrn.일위대가." hidden="1">{#N/A,#N/A,TRUE,"대가1"}</definedName>
    <definedName name="wrn.전열선출서." localSheetId="3" hidden="1">{#N/A,#N/A,FALSE,"전열산출서"}</definedName>
    <definedName name="wrn.전열선출서." localSheetId="4" hidden="1">{#N/A,#N/A,FALSE,"전열산출서"}</definedName>
    <definedName name="wrn.전열선출서." localSheetId="5" hidden="1">{#N/A,#N/A,FALSE,"전열산출서"}</definedName>
    <definedName name="wrn.전열선출서." localSheetId="6" hidden="1">{#N/A,#N/A,FALSE,"전열산출서"}</definedName>
    <definedName name="wrn.전열선출서." localSheetId="7" hidden="1">{#N/A,#N/A,FALSE,"전열산출서"}</definedName>
    <definedName name="wrn.전열선출서." localSheetId="1" hidden="1">{#N/A,#N/A,FALSE,"전열산출서"}</definedName>
    <definedName name="wrn.전열선출서." localSheetId="0" hidden="1">{#N/A,#N/A,FALSE,"전열산출서"}</definedName>
    <definedName name="wrn.전열선출서." hidden="1">{#N/A,#N/A,FALSE,"전열산출서"}</definedName>
    <definedName name="wrn.조골재." localSheetId="3" hidden="1">{#N/A,#N/A,FALSE,"조골재"}</definedName>
    <definedName name="wrn.조골재." localSheetId="4" hidden="1">{#N/A,#N/A,FALSE,"조골재"}</definedName>
    <definedName name="wrn.조골재." localSheetId="5" hidden="1">{#N/A,#N/A,FALSE,"조골재"}</definedName>
    <definedName name="wrn.조골재." localSheetId="6" hidden="1">{#N/A,#N/A,FALSE,"조골재"}</definedName>
    <definedName name="wrn.조골재." localSheetId="7" hidden="1">{#N/A,#N/A,FALSE,"조골재"}</definedName>
    <definedName name="wrn.조골재." localSheetId="1" hidden="1">{#N/A,#N/A,FALSE,"조골재"}</definedName>
    <definedName name="wrn.조골재." localSheetId="0" hidden="1">{#N/A,#N/A,FALSE,"조골재"}</definedName>
    <definedName name="wrn.조골재." hidden="1">{#N/A,#N/A,FALSE,"조골재"}</definedName>
    <definedName name="wrn.진도율._.산정기준." localSheetId="3" hidden="1">{#N/A,#N/A,TRUE,"진도율산정기준";#N/A,#N/A,TRUE,"S_CUR";#N/A,#N/A,TRUE,"사업공통"}</definedName>
    <definedName name="wrn.진도율._.산정기준." localSheetId="4" hidden="1">{#N/A,#N/A,TRUE,"진도율산정기준";#N/A,#N/A,TRUE,"S_CUR";#N/A,#N/A,TRUE,"사업공통"}</definedName>
    <definedName name="wrn.진도율._.산정기준." localSheetId="5" hidden="1">{#N/A,#N/A,TRUE,"진도율산정기준";#N/A,#N/A,TRUE,"S_CUR";#N/A,#N/A,TRUE,"사업공통"}</definedName>
    <definedName name="wrn.진도율._.산정기준." localSheetId="6" hidden="1">{#N/A,#N/A,TRUE,"진도율산정기준";#N/A,#N/A,TRUE,"S_CUR";#N/A,#N/A,TRUE,"사업공통"}</definedName>
    <definedName name="wrn.진도율._.산정기준." localSheetId="7" hidden="1">{#N/A,#N/A,TRUE,"진도율산정기준";#N/A,#N/A,TRUE,"S_CUR";#N/A,#N/A,TRUE,"사업공통"}</definedName>
    <definedName name="wrn.진도율._.산정기준." localSheetId="1" hidden="1">{#N/A,#N/A,TRUE,"진도율산정기준";#N/A,#N/A,TRUE,"S_CUR";#N/A,#N/A,TRUE,"사업공통"}</definedName>
    <definedName name="wrn.진도율._.산정기준." localSheetId="0" hidden="1">{#N/A,#N/A,TRUE,"진도율산정기준";#N/A,#N/A,TRUE,"S_CUR";#N/A,#N/A,TRUE,"사업공통"}</definedName>
    <definedName name="wrn.진도율._.산정기준." hidden="1">{#N/A,#N/A,TRUE,"진도율산정기준";#N/A,#N/A,TRUE,"S_CUR";#N/A,#N/A,TRUE,"사업공통"}</definedName>
    <definedName name="wrn.토공1." localSheetId="3" hidden="1">{#N/A,#N/A,FALSE,"구조1"}</definedName>
    <definedName name="wrn.토공1." localSheetId="4" hidden="1">{#N/A,#N/A,FALSE,"구조1"}</definedName>
    <definedName name="wrn.토공1." localSheetId="5" hidden="1">{#N/A,#N/A,FALSE,"구조1"}</definedName>
    <definedName name="wrn.토공1." localSheetId="6" hidden="1">{#N/A,#N/A,FALSE,"구조1"}</definedName>
    <definedName name="wrn.토공1." localSheetId="7" hidden="1">{#N/A,#N/A,FALSE,"구조1"}</definedName>
    <definedName name="wrn.토공1." localSheetId="1" hidden="1">{#N/A,#N/A,FALSE,"구조1"}</definedName>
    <definedName name="wrn.토공1." localSheetId="0" hidden="1">{#N/A,#N/A,FALSE,"구조1"}</definedName>
    <definedName name="wrn.토공1." hidden="1">{#N/A,#N/A,FALSE,"구조1"}</definedName>
    <definedName name="wrn.토공2." localSheetId="3" hidden="1">{#N/A,#N/A,FALSE,"토공2"}</definedName>
    <definedName name="wrn.토공2." localSheetId="4" hidden="1">{#N/A,#N/A,FALSE,"토공2"}</definedName>
    <definedName name="wrn.토공2." localSheetId="5" hidden="1">{#N/A,#N/A,FALSE,"토공2"}</definedName>
    <definedName name="wrn.토공2." localSheetId="6" hidden="1">{#N/A,#N/A,FALSE,"토공2"}</definedName>
    <definedName name="wrn.토공2." localSheetId="7" hidden="1">{#N/A,#N/A,FALSE,"토공2"}</definedName>
    <definedName name="wrn.토공2." localSheetId="1" hidden="1">{#N/A,#N/A,FALSE,"토공2"}</definedName>
    <definedName name="wrn.토공2." localSheetId="0"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localSheetId="5" hidden="1">{#N/A,#N/A,FALSE,"포장1";#N/A,#N/A,FALSE,"포장1"}</definedName>
    <definedName name="wrn.포장1." localSheetId="6" hidden="1">{#N/A,#N/A,FALSE,"포장1";#N/A,#N/A,FALSE,"포장1"}</definedName>
    <definedName name="wrn.포장1." localSheetId="7" hidden="1">{#N/A,#N/A,FALSE,"포장1";#N/A,#N/A,FALSE,"포장1"}</definedName>
    <definedName name="wrn.포장1." localSheetId="1" hidden="1">{#N/A,#N/A,FALSE,"포장1";#N/A,#N/A,FALSE,"포장1"}</definedName>
    <definedName name="wrn.포장1." localSheetId="0"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localSheetId="5" hidden="1">{#N/A,#N/A,FALSE,"포장2"}</definedName>
    <definedName name="wrn.포장2." localSheetId="6" hidden="1">{#N/A,#N/A,FALSE,"포장2"}</definedName>
    <definedName name="wrn.포장2." localSheetId="7" hidden="1">{#N/A,#N/A,FALSE,"포장2"}</definedName>
    <definedName name="wrn.포장2." localSheetId="1" hidden="1">{#N/A,#N/A,FALSE,"포장2"}</definedName>
    <definedName name="wrn.포장2." localSheetId="0" hidden="1">{#N/A,#N/A,FALSE,"포장2"}</definedName>
    <definedName name="wrn.포장2." hidden="1">{#N/A,#N/A,FALSE,"포장2"}</definedName>
    <definedName name="wrn.표준공종단가." localSheetId="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3" hidden="1">{#N/A,#N/A,FALSE,"표지목차"}</definedName>
    <definedName name="wrn.표지목차." localSheetId="4" hidden="1">{#N/A,#N/A,FALSE,"표지목차"}</definedName>
    <definedName name="wrn.표지목차." localSheetId="5" hidden="1">{#N/A,#N/A,FALSE,"표지목차"}</definedName>
    <definedName name="wrn.표지목차." localSheetId="6" hidden="1">{#N/A,#N/A,FALSE,"표지목차"}</definedName>
    <definedName name="wrn.표지목차." localSheetId="7" hidden="1">{#N/A,#N/A,FALSE,"표지목차"}</definedName>
    <definedName name="wrn.표지목차." localSheetId="1" hidden="1">{#N/A,#N/A,FALSE,"표지목차"}</definedName>
    <definedName name="wrn.표지목차." localSheetId="0" hidden="1">{#N/A,#N/A,FALSE,"표지목차"}</definedName>
    <definedName name="wrn.표지목차." hidden="1">{#N/A,#N/A,FALSE,"표지목차"}</definedName>
    <definedName name="wrn.현대정공구매현황." localSheetId="3" hidden="1">{#N/A,#N/A,FALSE,"정공"}</definedName>
    <definedName name="wrn.현대정공구매현황." localSheetId="4" hidden="1">{#N/A,#N/A,FALSE,"정공"}</definedName>
    <definedName name="wrn.현대정공구매현황." localSheetId="5" hidden="1">{#N/A,#N/A,FALSE,"정공"}</definedName>
    <definedName name="wrn.현대정공구매현황." localSheetId="6" hidden="1">{#N/A,#N/A,FALSE,"정공"}</definedName>
    <definedName name="wrn.현대정공구매현황." localSheetId="7" hidden="1">{#N/A,#N/A,FALSE,"정공"}</definedName>
    <definedName name="wrn.현대정공구매현황." localSheetId="1" hidden="1">{#N/A,#N/A,FALSE,"정공"}</definedName>
    <definedName name="wrn.현대정공구매현황." localSheetId="0" hidden="1">{#N/A,#N/A,FALSE,"정공"}</definedName>
    <definedName name="wrn.현대정공구매현황." hidden="1">{#N/A,#N/A,FALSE,"정공"}</definedName>
    <definedName name="wrn.현장._.NCR._.분석." localSheetId="3" hidden="1">{#N/A,#N/A,FALSE,"현장 NCR 분석";#N/A,#N/A,FALSE,"현장품질감사";#N/A,#N/A,FALSE,"현장품질감사"}</definedName>
    <definedName name="wrn.현장._.NCR._.분석." localSheetId="4" hidden="1">{#N/A,#N/A,FALSE,"현장 NCR 분석";#N/A,#N/A,FALSE,"현장품질감사";#N/A,#N/A,FALSE,"현장품질감사"}</definedName>
    <definedName name="wrn.현장._.NCR._.분석." localSheetId="5" hidden="1">{#N/A,#N/A,FALSE,"현장 NCR 분석";#N/A,#N/A,FALSE,"현장품질감사";#N/A,#N/A,FALSE,"현장품질감사"}</definedName>
    <definedName name="wrn.현장._.NCR._.분석." localSheetId="6" hidden="1">{#N/A,#N/A,FALSE,"현장 NCR 분석";#N/A,#N/A,FALSE,"현장품질감사";#N/A,#N/A,FALSE,"현장품질감사"}</definedName>
    <definedName name="wrn.현장._.NCR._.분석." localSheetId="1"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3" hidden="1">{#N/A,#N/A,FALSE,"혼합골재"}</definedName>
    <definedName name="wrn.혼합골재." localSheetId="4" hidden="1">{#N/A,#N/A,FALSE,"혼합골재"}</definedName>
    <definedName name="wrn.혼합골재." localSheetId="5" hidden="1">{#N/A,#N/A,FALSE,"혼합골재"}</definedName>
    <definedName name="wrn.혼합골재." localSheetId="6" hidden="1">{#N/A,#N/A,FALSE,"혼합골재"}</definedName>
    <definedName name="wrn.혼합골재." localSheetId="7" hidden="1">{#N/A,#N/A,FALSE,"혼합골재"}</definedName>
    <definedName name="wrn.혼합골재." localSheetId="1" hidden="1">{#N/A,#N/A,FALSE,"혼합골재"}</definedName>
    <definedName name="wrn.혼합골재." localSheetId="0" hidden="1">{#N/A,#N/A,FALSE,"혼합골재"}</definedName>
    <definedName name="wrn.혼합골재." hidden="1">{#N/A,#N/A,FALSE,"혼합골재"}</definedName>
    <definedName name="wrty" localSheetId="3" hidden="1">{"'용역비'!$A$4:$C$8"}</definedName>
    <definedName name="wrty" localSheetId="4" hidden="1">{"'용역비'!$A$4:$C$8"}</definedName>
    <definedName name="wrty" localSheetId="5" hidden="1">{"'용역비'!$A$4:$C$8"}</definedName>
    <definedName name="wrty" localSheetId="6" hidden="1">{"'용역비'!$A$4:$C$8"}</definedName>
    <definedName name="wrty" localSheetId="7" hidden="1">{"'용역비'!$A$4:$C$8"}</definedName>
    <definedName name="wrty" localSheetId="1" hidden="1">{"'용역비'!$A$4:$C$8"}</definedName>
    <definedName name="wrty" localSheetId="0" hidden="1">{"'용역비'!$A$4:$C$8"}</definedName>
    <definedName name="wrty" hidden="1">{"'용역비'!$A$4:$C$8"}</definedName>
    <definedName name="wrtyrtyrt" localSheetId="3" hidden="1">{"'용역비'!$A$4:$C$8"}</definedName>
    <definedName name="wrtyrtyrt" localSheetId="4" hidden="1">{"'용역비'!$A$4:$C$8"}</definedName>
    <definedName name="wrtyrtyrt" localSheetId="5" hidden="1">{"'용역비'!$A$4:$C$8"}</definedName>
    <definedName name="wrtyrtyrt" localSheetId="6" hidden="1">{"'용역비'!$A$4:$C$8"}</definedName>
    <definedName name="wrtyrtyrt" localSheetId="7" hidden="1">{"'용역비'!$A$4:$C$8"}</definedName>
    <definedName name="wrtyrtyrt" localSheetId="1" hidden="1">{"'용역비'!$A$4:$C$8"}</definedName>
    <definedName name="wrtyrtyrt" localSheetId="0" hidden="1">{"'용역비'!$A$4:$C$8"}</definedName>
    <definedName name="wrtyrtyrt" hidden="1">{"'용역비'!$A$4:$C$8"}</definedName>
    <definedName name="wrtywrtywr" localSheetId="3" hidden="1">{"'용역비'!$A$4:$C$8"}</definedName>
    <definedName name="wrtywrtywr" localSheetId="4" hidden="1">{"'용역비'!$A$4:$C$8"}</definedName>
    <definedName name="wrtywrtywr" localSheetId="5" hidden="1">{"'용역비'!$A$4:$C$8"}</definedName>
    <definedName name="wrtywrtywr" localSheetId="6" hidden="1">{"'용역비'!$A$4:$C$8"}</definedName>
    <definedName name="wrtywrtywr" localSheetId="7" hidden="1">{"'용역비'!$A$4:$C$8"}</definedName>
    <definedName name="wrtywrtywr" localSheetId="1" hidden="1">{"'용역비'!$A$4:$C$8"}</definedName>
    <definedName name="wrtywrtywr" localSheetId="0" hidden="1">{"'용역비'!$A$4:$C$8"}</definedName>
    <definedName name="wrtywrtywr" hidden="1">{"'용역비'!$A$4:$C$8"}</definedName>
    <definedName name="wte" localSheetId="3" hidden="1">{#N/A,#N/A,FALSE,"ALM-ASISC"}</definedName>
    <definedName name="wte" localSheetId="4" hidden="1">{#N/A,#N/A,FALSE,"ALM-ASISC"}</definedName>
    <definedName name="wte" localSheetId="5" hidden="1">{#N/A,#N/A,FALSE,"ALM-ASISC"}</definedName>
    <definedName name="wte" localSheetId="6" hidden="1">{#N/A,#N/A,FALSE,"ALM-ASISC"}</definedName>
    <definedName name="wte" localSheetId="1" hidden="1">{#N/A,#N/A,FALSE,"ALM-ASISC"}</definedName>
    <definedName name="wte" hidden="1">{#N/A,#N/A,FALSE,"ALM-ASISC"}</definedName>
    <definedName name="wuy" localSheetId="3" hidden="1">{"'용역비'!$A$4:$C$8"}</definedName>
    <definedName name="wuy" localSheetId="4" hidden="1">{"'용역비'!$A$4:$C$8"}</definedName>
    <definedName name="wuy" localSheetId="5" hidden="1">{"'용역비'!$A$4:$C$8"}</definedName>
    <definedName name="wuy" localSheetId="6" hidden="1">{"'용역비'!$A$4:$C$8"}</definedName>
    <definedName name="wuy" localSheetId="7" hidden="1">{"'용역비'!$A$4:$C$8"}</definedName>
    <definedName name="wuy" localSheetId="1" hidden="1">{"'용역비'!$A$4:$C$8"}</definedName>
    <definedName name="wuy" localSheetId="0" hidden="1">{"'용역비'!$A$4:$C$8"}</definedName>
    <definedName name="wuy" hidden="1">{"'용역비'!$A$4:$C$8"}</definedName>
    <definedName name="WW" localSheetId="3" hidden="1">{#N/A,#N/A,FALSE,"전력간선"}</definedName>
    <definedName name="WW" localSheetId="4" hidden="1">{#N/A,#N/A,FALSE,"전력간선"}</definedName>
    <definedName name="WW" localSheetId="5" hidden="1">{#N/A,#N/A,FALSE,"전력간선"}</definedName>
    <definedName name="WW" localSheetId="6" hidden="1">{#N/A,#N/A,FALSE,"전력간선"}</definedName>
    <definedName name="WW" localSheetId="7" hidden="1">{#N/A,#N/A,FALSE,"전력간선"}</definedName>
    <definedName name="WW" localSheetId="1" hidden="1">{#N/A,#N/A,FALSE,"전력간선"}</definedName>
    <definedName name="WW" localSheetId="0" hidden="1">{#N/A,#N/A,FALSE,"전력간선"}</definedName>
    <definedName name="WW" hidden="1">{#N/A,#N/A,FALSE,"전력간선"}</definedName>
    <definedName name="WW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x" localSheetId="1" hidden="1">{"'Price List '!$A$1:$R$156"}</definedName>
    <definedName name="xx" localSheetId="0" hidden="1">{"'Price List '!$A$1:$R$156"}</definedName>
    <definedName name="xx" hidden="1">#REF!</definedName>
    <definedName name="XXXXXX" localSheetId="3" hidden="1">{"'공사부문'!$A$6:$A$32"}</definedName>
    <definedName name="XXXXXX" localSheetId="4" hidden="1">{"'공사부문'!$A$6:$A$32"}</definedName>
    <definedName name="XXXXXX" localSheetId="5" hidden="1">{"'공사부문'!$A$6:$A$32"}</definedName>
    <definedName name="XXXXXX" localSheetId="6" hidden="1">{"'공사부문'!$A$6:$A$32"}</definedName>
    <definedName name="XXXXXX" localSheetId="7" hidden="1">{"'공사부문'!$A$6:$A$32"}</definedName>
    <definedName name="XXXXXX" localSheetId="1" hidden="1">{"'공사부문'!$A$6:$A$32"}</definedName>
    <definedName name="XXXXXX" localSheetId="0" hidden="1">{"'공사부문'!$A$6:$A$32"}</definedName>
    <definedName name="XXXXXX" hidden="1">{"'공사부문'!$A$6:$A$32"}</definedName>
    <definedName name="y" localSheetId="3" hidden="1">{"'용역비'!$A$4:$C$8"}</definedName>
    <definedName name="y" localSheetId="4" hidden="1">{"'용역비'!$A$4:$C$8"}</definedName>
    <definedName name="y" localSheetId="5" hidden="1">{"'용역비'!$A$4:$C$8"}</definedName>
    <definedName name="y" localSheetId="6" hidden="1">{"'용역비'!$A$4:$C$8"}</definedName>
    <definedName name="y" localSheetId="7" hidden="1">{"'용역비'!$A$4:$C$8"}</definedName>
    <definedName name="y" localSheetId="1" hidden="1">{"'용역비'!$A$4:$C$8"}</definedName>
    <definedName name="y" localSheetId="0" hidden="1">{"'용역비'!$A$4:$C$8"}</definedName>
    <definedName name="y" hidden="1">{"'용역비'!$A$4:$C$8"}</definedName>
    <definedName name="YFU" localSheetId="3" hidden="1">{"'용역비'!$A$4:$C$8"}</definedName>
    <definedName name="YFU" localSheetId="4" hidden="1">{"'용역비'!$A$4:$C$8"}</definedName>
    <definedName name="YFU" localSheetId="5" hidden="1">{"'용역비'!$A$4:$C$8"}</definedName>
    <definedName name="YFU" localSheetId="6" hidden="1">{"'용역비'!$A$4:$C$8"}</definedName>
    <definedName name="YFU" localSheetId="7" hidden="1">{"'용역비'!$A$4:$C$8"}</definedName>
    <definedName name="YFU" localSheetId="1" hidden="1">{"'용역비'!$A$4:$C$8"}</definedName>
    <definedName name="YFU" localSheetId="0" hidden="1">{"'용역비'!$A$4:$C$8"}</definedName>
    <definedName name="YFU" hidden="1">{"'용역비'!$A$4:$C$8"}</definedName>
    <definedName name="YL" localSheetId="3" hidden="1">{"'용역비'!$A$4:$C$8"}</definedName>
    <definedName name="YL" localSheetId="4" hidden="1">{"'용역비'!$A$4:$C$8"}</definedName>
    <definedName name="YL" localSheetId="5" hidden="1">{"'용역비'!$A$4:$C$8"}</definedName>
    <definedName name="YL" localSheetId="6" hidden="1">{"'용역비'!$A$4:$C$8"}</definedName>
    <definedName name="YL" localSheetId="7" hidden="1">{"'용역비'!$A$4:$C$8"}</definedName>
    <definedName name="YL" localSheetId="1" hidden="1">{"'용역비'!$A$4:$C$8"}</definedName>
    <definedName name="YL" localSheetId="0" hidden="1">{"'용역비'!$A$4:$C$8"}</definedName>
    <definedName name="YL" hidden="1">{"'용역비'!$A$4:$C$8"}</definedName>
    <definedName name="yoon" hidden="1">#REF!</definedName>
    <definedName name="yu" localSheetId="3" hidden="1">{"'용역비'!$A$4:$C$8"}</definedName>
    <definedName name="yu" localSheetId="4" hidden="1">{"'용역비'!$A$4:$C$8"}</definedName>
    <definedName name="yu" localSheetId="5" hidden="1">{"'용역비'!$A$4:$C$8"}</definedName>
    <definedName name="yu" localSheetId="6" hidden="1">{"'용역비'!$A$4:$C$8"}</definedName>
    <definedName name="yu" localSheetId="7" hidden="1">{"'용역비'!$A$4:$C$8"}</definedName>
    <definedName name="yu" localSheetId="1" hidden="1">{"'용역비'!$A$4:$C$8"}</definedName>
    <definedName name="yu" localSheetId="0" hidden="1">{"'용역비'!$A$4:$C$8"}</definedName>
    <definedName name="yu" hidden="1">{"'용역비'!$A$4:$C$8"}</definedName>
    <definedName name="YUK" localSheetId="3" hidden="1">{"'용역비'!$A$4:$C$8"}</definedName>
    <definedName name="YUK" localSheetId="4" hidden="1">{"'용역비'!$A$4:$C$8"}</definedName>
    <definedName name="YUK" localSheetId="5" hidden="1">{"'용역비'!$A$4:$C$8"}</definedName>
    <definedName name="YUK" localSheetId="6" hidden="1">{"'용역비'!$A$4:$C$8"}</definedName>
    <definedName name="YUK" localSheetId="7" hidden="1">{"'용역비'!$A$4:$C$8"}</definedName>
    <definedName name="YUK" localSheetId="1" hidden="1">{"'용역비'!$A$4:$C$8"}</definedName>
    <definedName name="YUK" localSheetId="0" hidden="1">{"'용역비'!$A$4:$C$8"}</definedName>
    <definedName name="YUK" hidden="1">{"'용역비'!$A$4:$C$8"}</definedName>
    <definedName name="YUKOI" localSheetId="3" hidden="1">{"'용역비'!$A$4:$C$8"}</definedName>
    <definedName name="YUKOI" localSheetId="4" hidden="1">{"'용역비'!$A$4:$C$8"}</definedName>
    <definedName name="YUKOI" localSheetId="5" hidden="1">{"'용역비'!$A$4:$C$8"}</definedName>
    <definedName name="YUKOI" localSheetId="6" hidden="1">{"'용역비'!$A$4:$C$8"}</definedName>
    <definedName name="YUKOI" localSheetId="7" hidden="1">{"'용역비'!$A$4:$C$8"}</definedName>
    <definedName name="YUKOI" localSheetId="1" hidden="1">{"'용역비'!$A$4:$C$8"}</definedName>
    <definedName name="YUKOI" localSheetId="0" hidden="1">{"'용역비'!$A$4:$C$8"}</definedName>
    <definedName name="YUKOI" hidden="1">{"'용역비'!$A$4:$C$8"}</definedName>
    <definedName name="YY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yy" hidden="1">#REF!</definedName>
    <definedName name="z"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a" hidden="1">[23]실행철강하도!$A$1:$A$4</definedName>
    <definedName name="ZZZ"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localSheetId="3" hidden="1">{"'용역비'!$A$4:$C$8"}</definedName>
    <definedName name="ㄱ" localSheetId="4" hidden="1">{"'용역비'!$A$4:$C$8"}</definedName>
    <definedName name="ㄱ" localSheetId="5" hidden="1">{"'용역비'!$A$4:$C$8"}</definedName>
    <definedName name="ㄱ" localSheetId="6" hidden="1">{"'용역비'!$A$4:$C$8"}</definedName>
    <definedName name="ㄱ" localSheetId="7" hidden="1">{"'용역비'!$A$4:$C$8"}</definedName>
    <definedName name="ㄱ" localSheetId="1" hidden="1">{"'용역비'!$A$4:$C$8"}</definedName>
    <definedName name="ㄱ" localSheetId="0" hidden="1">{"'용역비'!$A$4:$C$8"}</definedName>
    <definedName name="ㄱ" hidden="1">{"'용역비'!$A$4:$C$8"}</definedName>
    <definedName name="ㄱㄱ" localSheetId="3" hidden="1">{"'용역비'!$A$4:$C$8"}</definedName>
    <definedName name="ㄱㄱ" localSheetId="4" hidden="1">{"'용역비'!$A$4:$C$8"}</definedName>
    <definedName name="ㄱㄱ" localSheetId="5" hidden="1">{"'용역비'!$A$4:$C$8"}</definedName>
    <definedName name="ㄱㄱ" localSheetId="6" hidden="1">{"'용역비'!$A$4:$C$8"}</definedName>
    <definedName name="ㄱㄱ" localSheetId="7" hidden="1">{"'용역비'!$A$4:$C$8"}</definedName>
    <definedName name="ㄱㄱ" localSheetId="1" hidden="1">{"'용역비'!$A$4:$C$8"}</definedName>
    <definedName name="ㄱㄱ" localSheetId="0" hidden="1">{"'용역비'!$A$4:$C$8"}</definedName>
    <definedName name="ㄱㄱ" hidden="1">{"'용역비'!$A$4:$C$8"}</definedName>
    <definedName name="ㄱㄱㄱ" localSheetId="3" hidden="1">{#N/A,#N/A,FALSE,"정공"}</definedName>
    <definedName name="ㄱㄱㄱ" localSheetId="4" hidden="1">{#N/A,#N/A,FALSE,"정공"}</definedName>
    <definedName name="ㄱㄱㄱ" localSheetId="5" hidden="1">{#N/A,#N/A,FALSE,"정공"}</definedName>
    <definedName name="ㄱㄱㄱ" localSheetId="6" hidden="1">{#N/A,#N/A,FALSE,"정공"}</definedName>
    <definedName name="ㄱㄱㄱ" localSheetId="7" hidden="1">{#N/A,#N/A,FALSE,"정공"}</definedName>
    <definedName name="ㄱㄱㄱ" localSheetId="1" hidden="1">{#N/A,#N/A,FALSE,"정공"}</definedName>
    <definedName name="ㄱㄱㄱ" localSheetId="0" hidden="1">{#N/A,#N/A,FALSE,"정공"}</definedName>
    <definedName name="ㄱㄱㄱ" hidden="1">{#N/A,#N/A,FALSE,"정공"}</definedName>
    <definedName name="ㄱㄱㄱㄱㄱ" localSheetId="3" hidden="1">{"'용역비'!$A$4:$C$8"}</definedName>
    <definedName name="ㄱㄱㄱㄱㄱ" localSheetId="4" hidden="1">{"'용역비'!$A$4:$C$8"}</definedName>
    <definedName name="ㄱㄱㄱㄱㄱ" localSheetId="5" hidden="1">{"'용역비'!$A$4:$C$8"}</definedName>
    <definedName name="ㄱㄱㄱㄱㄱ" localSheetId="6" hidden="1">{"'용역비'!$A$4:$C$8"}</definedName>
    <definedName name="ㄱㄱㄱㄱㄱ" localSheetId="7" hidden="1">{"'용역비'!$A$4:$C$8"}</definedName>
    <definedName name="ㄱㄱㄱㄱㄱ" localSheetId="1" hidden="1">{"'용역비'!$A$4:$C$8"}</definedName>
    <definedName name="ㄱㄱㄱㄱㄱ" localSheetId="0" hidden="1">{"'용역비'!$A$4:$C$8"}</definedName>
    <definedName name="ㄱㄱㄱㄱㄱ" hidden="1">{"'용역비'!$A$4:$C$8"}</definedName>
    <definedName name="ㄱㄱㄱㄱㄱㄱ" localSheetId="3" hidden="1">{"'용역비'!$A$4:$C$8"}</definedName>
    <definedName name="ㄱㄱㄱㄱㄱㄱ" localSheetId="4" hidden="1">{"'용역비'!$A$4:$C$8"}</definedName>
    <definedName name="ㄱㄱㄱㄱㄱㄱ" localSheetId="5" hidden="1">{"'용역비'!$A$4:$C$8"}</definedName>
    <definedName name="ㄱㄱㄱㄱㄱㄱ" localSheetId="6" hidden="1">{"'용역비'!$A$4:$C$8"}</definedName>
    <definedName name="ㄱㄱㄱㄱㄱㄱ" localSheetId="7" hidden="1">{"'용역비'!$A$4:$C$8"}</definedName>
    <definedName name="ㄱㄱㄱㄱㄱㄱ" localSheetId="1" hidden="1">{"'용역비'!$A$4:$C$8"}</definedName>
    <definedName name="ㄱㄱㄱㄱㄱㄱ" localSheetId="0" hidden="1">{"'용역비'!$A$4:$C$8"}</definedName>
    <definedName name="ㄱㄱㄱㄱㄱㄱ" hidden="1">{"'용역비'!$A$4:$C$8"}</definedName>
    <definedName name="ㄱㄷㅅ">#REF!</definedName>
    <definedName name="ㄱㄷ쇼" localSheetId="1" hidden="1">#REF!</definedName>
    <definedName name="ㄱㄷ쇼" localSheetId="0" hidden="1">#REF!</definedName>
    <definedName name="ㄱㄷ쇼" hidden="1">#REF!</definedName>
    <definedName name="ㄱㄷㅈㅄㄷ" localSheetId="1" hidden="1">#REF!</definedName>
    <definedName name="ㄱㄷㅈㅄㄷ" localSheetId="0" hidden="1">#REF!</definedName>
    <definedName name="ㄱㄷㅈㅄㄷ" hidden="1">#REF!</definedName>
    <definedName name="ㄱㄷ죠" localSheetId="1" hidden="1">#REF!</definedName>
    <definedName name="ㄱㄷ죠" localSheetId="0" hidden="1">#REF!</definedName>
    <definedName name="ㄱㄷ죠" hidden="1">#REF!</definedName>
    <definedName name="ㄱ됵ㄷ" localSheetId="1" hidden="1">#REF!</definedName>
    <definedName name="ㄱ됵ㄷ" localSheetId="0" hidden="1">#REF!</definedName>
    <definedName name="ㄱ됵ㄷ" hidden="1">#REF!</definedName>
    <definedName name="ㄱ둊" localSheetId="1" hidden="1">#REF!</definedName>
    <definedName name="ㄱ둊" localSheetId="0" hidden="1">#REF!</definedName>
    <definedName name="ㄱ둊" hidden="1">#REF!</definedName>
    <definedName name="ㄱㅈㅎ" localSheetId="1" hidden="1">#REF!</definedName>
    <definedName name="ㄱㅈㅎ" localSheetId="0" hidden="1">#REF!</definedName>
    <definedName name="ㄱㅈㅎ" hidden="1">#REF!</definedName>
    <definedName name="ㄱㅎㄷㄱㅎ" localSheetId="3" hidden="1">{#N/A,#N/A,FALSE,"ALM-ASISC"}</definedName>
    <definedName name="ㄱㅎㄷㄱㅎ" localSheetId="4" hidden="1">{#N/A,#N/A,FALSE,"ALM-ASISC"}</definedName>
    <definedName name="ㄱㅎㄷㄱㅎ" localSheetId="5" hidden="1">{#N/A,#N/A,FALSE,"ALM-ASISC"}</definedName>
    <definedName name="ㄱㅎㄷㄱㅎ" localSheetId="6" hidden="1">{#N/A,#N/A,FALSE,"ALM-ASISC"}</definedName>
    <definedName name="ㄱㅎㄷㄱㅎ" localSheetId="1" hidden="1">{#N/A,#N/A,FALSE,"ALM-ASISC"}</definedName>
    <definedName name="ㄱㅎㄷㄱㅎ" hidden="1">{#N/A,#N/A,FALSE,"ALM-ASISC"}</definedName>
    <definedName name="가" hidden="1">'[24]1안'!#REF!</definedName>
    <definedName name="가가" localSheetId="3" hidden="1">{#N/A,#N/A,FALSE,"정공"}</definedName>
    <definedName name="가가" localSheetId="4" hidden="1">{#N/A,#N/A,FALSE,"정공"}</definedName>
    <definedName name="가가" localSheetId="5" hidden="1">{#N/A,#N/A,FALSE,"정공"}</definedName>
    <definedName name="가가" localSheetId="6" hidden="1">{#N/A,#N/A,FALSE,"정공"}</definedName>
    <definedName name="가가" localSheetId="7" hidden="1">{#N/A,#N/A,FALSE,"정공"}</definedName>
    <definedName name="가가" localSheetId="1" hidden="1">{#N/A,#N/A,FALSE,"정공"}</definedName>
    <definedName name="가가" localSheetId="0" hidden="1">{#N/A,#N/A,FALSE,"정공"}</definedName>
    <definedName name="가가" hidden="1">{#N/A,#N/A,FALSE,"정공"}</definedName>
    <definedName name="가아" hidden="1">[25]수량산출!#REF!</definedName>
    <definedName name="간" localSheetId="5" hidden="1">#REF!</definedName>
    <definedName name="간" hidden="1">#REF!</definedName>
    <definedName name="강교" localSheetId="3" hidden="1">{#N/A,#N/A,FALSE,"포장2"}</definedName>
    <definedName name="강교" localSheetId="4" hidden="1">{#N/A,#N/A,FALSE,"포장2"}</definedName>
    <definedName name="강교" localSheetId="5" hidden="1">{#N/A,#N/A,FALSE,"포장2"}</definedName>
    <definedName name="강교" localSheetId="6" hidden="1">{#N/A,#N/A,FALSE,"포장2"}</definedName>
    <definedName name="강교" localSheetId="7" hidden="1">{#N/A,#N/A,FALSE,"포장2"}</definedName>
    <definedName name="강교" localSheetId="1" hidden="1">{#N/A,#N/A,FALSE,"포장2"}</definedName>
    <definedName name="강교" localSheetId="0" hidden="1">{#N/A,#N/A,FALSE,"포장2"}</definedName>
    <definedName name="강교" hidden="1">{#N/A,#N/A,FALSE,"포장2"}</definedName>
    <definedName name="강구조물" localSheetId="3" hidden="1">{#N/A,#N/A,FALSE,"포장1";#N/A,#N/A,FALSE,"포장1"}</definedName>
    <definedName name="강구조물" localSheetId="4" hidden="1">{#N/A,#N/A,FALSE,"포장1";#N/A,#N/A,FALSE,"포장1"}</definedName>
    <definedName name="강구조물" localSheetId="5" hidden="1">{#N/A,#N/A,FALSE,"포장1";#N/A,#N/A,FALSE,"포장1"}</definedName>
    <definedName name="강구조물" localSheetId="6" hidden="1">{#N/A,#N/A,FALSE,"포장1";#N/A,#N/A,FALSE,"포장1"}</definedName>
    <definedName name="강구조물" localSheetId="7" hidden="1">{#N/A,#N/A,FALSE,"포장1";#N/A,#N/A,FALSE,"포장1"}</definedName>
    <definedName name="강구조물" localSheetId="1" hidden="1">{#N/A,#N/A,FALSE,"포장1";#N/A,#N/A,FALSE,"포장1"}</definedName>
    <definedName name="강구조물" localSheetId="0" hidden="1">{#N/A,#N/A,FALSE,"포장1";#N/A,#N/A,FALSE,"포장1"}</definedName>
    <definedName name="강구조물" hidden="1">{#N/A,#N/A,FALSE,"포장1";#N/A,#N/A,FALSE,"포장1"}</definedName>
    <definedName name="강아지" hidden="1">#REF!</definedName>
    <definedName name="갤로" localSheetId="3" hidden="1">{#N/A,#N/A,FALSE,"정공"}</definedName>
    <definedName name="갤로" localSheetId="4" hidden="1">{#N/A,#N/A,FALSE,"정공"}</definedName>
    <definedName name="갤로" localSheetId="5" hidden="1">{#N/A,#N/A,FALSE,"정공"}</definedName>
    <definedName name="갤로" localSheetId="6" hidden="1">{#N/A,#N/A,FALSE,"정공"}</definedName>
    <definedName name="갤로" localSheetId="7" hidden="1">{#N/A,#N/A,FALSE,"정공"}</definedName>
    <definedName name="갤로" localSheetId="1" hidden="1">{#N/A,#N/A,FALSE,"정공"}</definedName>
    <definedName name="갤로" localSheetId="0" hidden="1">{#N/A,#N/A,FALSE,"정공"}</definedName>
    <definedName name="갤로" hidden="1">{#N/A,#N/A,FALSE,"정공"}</definedName>
    <definedName name="거ㅏ" hidden="1">[26]수량산출!$A$3:$H$8539</definedName>
    <definedName name="검수준비_시작">[11]WBS!$H$95:$H$96</definedName>
    <definedName name="검수준비_완료">[11]WBS!$I$95:$I$96</definedName>
    <definedName name="검수준비_현황">[11]WBS!$F$95:$F$96</definedName>
    <definedName name="겨" localSheetId="3" hidden="1">{"'용역비'!$A$4:$C$8"}</definedName>
    <definedName name="겨" localSheetId="4" hidden="1">{"'용역비'!$A$4:$C$8"}</definedName>
    <definedName name="겨" localSheetId="5" hidden="1">{"'용역비'!$A$4:$C$8"}</definedName>
    <definedName name="겨" localSheetId="6" hidden="1">{"'용역비'!$A$4:$C$8"}</definedName>
    <definedName name="겨" localSheetId="7" hidden="1">{"'용역비'!$A$4:$C$8"}</definedName>
    <definedName name="겨" localSheetId="1" hidden="1">{"'용역비'!$A$4:$C$8"}</definedName>
    <definedName name="겨" localSheetId="0" hidden="1">{"'용역비'!$A$4:$C$8"}</definedName>
    <definedName name="겨" hidden="1">{"'용역비'!$A$4:$C$8"}</definedName>
    <definedName name="견적" hidden="1">'[27]내역서1999.8최종'!$A$1:$A$2438</definedName>
    <definedName name="견적대비" localSheetId="3" hidden="1">{#N/A,#N/A,FALSE,"포장2"}</definedName>
    <definedName name="견적대비" localSheetId="4" hidden="1">{#N/A,#N/A,FALSE,"포장2"}</definedName>
    <definedName name="견적대비" localSheetId="5" hidden="1">{#N/A,#N/A,FALSE,"포장2"}</definedName>
    <definedName name="견적대비" localSheetId="6" hidden="1">{#N/A,#N/A,FALSE,"포장2"}</definedName>
    <definedName name="견적대비" localSheetId="7" hidden="1">{#N/A,#N/A,FALSE,"포장2"}</definedName>
    <definedName name="견적대비" localSheetId="1" hidden="1">{#N/A,#N/A,FALSE,"포장2"}</definedName>
    <definedName name="견적대비" localSheetId="0" hidden="1">{#N/A,#N/A,FALSE,"포장2"}</definedName>
    <definedName name="견적대비" hidden="1">{#N/A,#N/A,FALSE,"포장2"}</definedName>
    <definedName name="결" localSheetId="3" hidden="1">{#N/A,#N/A,FALSE,"포장2"}</definedName>
    <definedName name="결" localSheetId="4" hidden="1">{#N/A,#N/A,FALSE,"포장2"}</definedName>
    <definedName name="결" localSheetId="5" hidden="1">{#N/A,#N/A,FALSE,"포장2"}</definedName>
    <definedName name="결" localSheetId="6" hidden="1">{#N/A,#N/A,FALSE,"포장2"}</definedName>
    <definedName name="결" localSheetId="7" hidden="1">{#N/A,#N/A,FALSE,"포장2"}</definedName>
    <definedName name="결" localSheetId="1" hidden="1">{#N/A,#N/A,FALSE,"포장2"}</definedName>
    <definedName name="결" localSheetId="0" hidden="1">{#N/A,#N/A,FALSE,"포장2"}</definedName>
    <definedName name="결" hidden="1">{#N/A,#N/A,FALSE,"포장2"}</definedName>
    <definedName name="경비집계" localSheetId="3" hidden="1">{"'용역비'!$A$4:$C$8"}</definedName>
    <definedName name="경비집계" localSheetId="4" hidden="1">{"'용역비'!$A$4:$C$8"}</definedName>
    <definedName name="경비집계" localSheetId="5" hidden="1">{"'용역비'!$A$4:$C$8"}</definedName>
    <definedName name="경비집계" localSheetId="6" hidden="1">{"'용역비'!$A$4:$C$8"}</definedName>
    <definedName name="경비집계" localSheetId="7" hidden="1">{"'용역비'!$A$4:$C$8"}</definedName>
    <definedName name="경비집계" localSheetId="1" hidden="1">{"'용역비'!$A$4:$C$8"}</definedName>
    <definedName name="경비집계" localSheetId="0" hidden="1">{"'용역비'!$A$4:$C$8"}</definedName>
    <definedName name="경비집계" hidden="1">{"'용역비'!$A$4:$C$8"}</definedName>
    <definedName name="계약체결_현황">[11]WBS!$F$15:$F$16</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2" localSheetId="3" hidden="1">{#N/A,#N/A,FALSE,"정공"}</definedName>
    <definedName name="계획2" localSheetId="4" hidden="1">{#N/A,#N/A,FALSE,"정공"}</definedName>
    <definedName name="계획2" localSheetId="5" hidden="1">{#N/A,#N/A,FALSE,"정공"}</definedName>
    <definedName name="계획2" localSheetId="6" hidden="1">{#N/A,#N/A,FALSE,"정공"}</definedName>
    <definedName name="계획2" localSheetId="7" hidden="1">{#N/A,#N/A,FALSE,"정공"}</definedName>
    <definedName name="계획2" localSheetId="1" hidden="1">{#N/A,#N/A,FALSE,"정공"}</definedName>
    <definedName name="계획2" localSheetId="0" hidden="1">{#N/A,#N/A,FALSE,"정공"}</definedName>
    <definedName name="계획2" hidden="1">{#N/A,#N/A,FALSE,"정공"}</definedName>
    <definedName name="고신문_시작">[11]WBS!$H$109:$H$115</definedName>
    <definedName name="고신문_완료">[11]WBS!$I$109:$I$115</definedName>
    <definedName name="공" hidden="1">[5]합천내역!#REF!</definedName>
    <definedName name="공공"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설명서" localSheetId="3" hidden="1">{#N/A,#N/A,FALSE,"ALM-ASISC"}</definedName>
    <definedName name="공사설명서" localSheetId="4" hidden="1">{#N/A,#N/A,FALSE,"ALM-ASISC"}</definedName>
    <definedName name="공사설명서" localSheetId="5" hidden="1">{#N/A,#N/A,FALSE,"ALM-ASISC"}</definedName>
    <definedName name="공사설명서" localSheetId="6" hidden="1">{#N/A,#N/A,FALSE,"ALM-ASISC"}</definedName>
    <definedName name="공사설명서" localSheetId="1" hidden="1">{#N/A,#N/A,FALSE,"ALM-ASISC"}</definedName>
    <definedName name="공사설명서" hidden="1">{#N/A,#N/A,FALSE,"ALM-ASISC"}</definedName>
    <definedName name="공수투입" localSheetId="3" hidden="1">{#N/A,#N/A,FALSE,"정공"}</definedName>
    <definedName name="공수투입" localSheetId="4" hidden="1">{#N/A,#N/A,FALSE,"정공"}</definedName>
    <definedName name="공수투입" localSheetId="5" hidden="1">{#N/A,#N/A,FALSE,"정공"}</definedName>
    <definedName name="공수투입" localSheetId="6" hidden="1">{#N/A,#N/A,FALSE,"정공"}</definedName>
    <definedName name="공수투입" localSheetId="7" hidden="1">{#N/A,#N/A,FALSE,"정공"}</definedName>
    <definedName name="공수투입" localSheetId="1" hidden="1">{#N/A,#N/A,FALSE,"정공"}</definedName>
    <definedName name="공수투입" localSheetId="0" hidden="1">{#N/A,#N/A,FALSE,"정공"}</definedName>
    <definedName name="공수투입" hidden="1">{#N/A,#N/A,FALSE,"정공"}</definedName>
    <definedName name="공정표" localSheetId="3" hidden="1">{#N/A,#N/A,FALSE,"현장 NCR 분석";#N/A,#N/A,FALSE,"현장품질감사";#N/A,#N/A,FALSE,"현장품질감사"}</definedName>
    <definedName name="공정표" localSheetId="4" hidden="1">{#N/A,#N/A,FALSE,"현장 NCR 분석";#N/A,#N/A,FALSE,"현장품질감사";#N/A,#N/A,FALSE,"현장품질감사"}</definedName>
    <definedName name="공정표" localSheetId="5" hidden="1">{#N/A,#N/A,FALSE,"현장 NCR 분석";#N/A,#N/A,FALSE,"현장품질감사";#N/A,#N/A,FALSE,"현장품질감사"}</definedName>
    <definedName name="공정표" localSheetId="6" hidden="1">{#N/A,#N/A,FALSE,"현장 NCR 분석";#N/A,#N/A,FALSE,"현장품질감사";#N/A,#N/A,FALSE,"현장품질감사"}</definedName>
    <definedName name="공정표" localSheetId="1" hidden="1">{#N/A,#N/A,FALSE,"현장 NCR 분석";#N/A,#N/A,FALSE,"현장품질감사";#N/A,#N/A,FALSE,"현장품질감사"}</definedName>
    <definedName name="공정표" hidden="1">{#N/A,#N/A,FALSE,"현장 NCR 분석";#N/A,#N/A,FALSE,"현장품질감사";#N/A,#N/A,FALSE,"현장품질감사"}</definedName>
    <definedName name="과업종료_시작">[11]WBS!$H$102</definedName>
    <definedName name="과업종료_완료">[11]WBS!$I$102</definedName>
    <definedName name="과업종료_현황">[11]WBS!$F$102</definedName>
    <definedName name="관리" localSheetId="3" hidden="1">{#N/A,#N/A,FALSE,"포장2"}</definedName>
    <definedName name="관리" localSheetId="4" hidden="1">{#N/A,#N/A,FALSE,"포장2"}</definedName>
    <definedName name="관리" localSheetId="5" hidden="1">{#N/A,#N/A,FALSE,"포장2"}</definedName>
    <definedName name="관리" localSheetId="6" hidden="1">{#N/A,#N/A,FALSE,"포장2"}</definedName>
    <definedName name="관리" localSheetId="7" hidden="1">{#N/A,#N/A,FALSE,"포장2"}</definedName>
    <definedName name="관리" localSheetId="1" hidden="1">{#N/A,#N/A,FALSE,"포장2"}</definedName>
    <definedName name="관리" localSheetId="0" hidden="1">{#N/A,#N/A,FALSE,"포장2"}</definedName>
    <definedName name="관리" hidden="1">{#N/A,#N/A,FALSE,"포장2"}</definedName>
    <definedName name="관보_시작">[11]WBS!#REF!</definedName>
    <definedName name="관보_완료">[11]WBS!#REF!</definedName>
    <definedName name="관보_현황">[11]WBS!#REF!</definedName>
    <definedName name="교육_시작">[11]WBS!$H$73:$H$74</definedName>
    <definedName name="교육_종료">[11]WBS!$I$73:$I$74</definedName>
    <definedName name="교육훈련_현황">[11]WBS!$F$73:$F$74</definedName>
    <definedName name="교좌" localSheetId="3" hidden="1">{#N/A,#N/A,FALSE,"포장2"}</definedName>
    <definedName name="교좌" localSheetId="4" hidden="1">{#N/A,#N/A,FALSE,"포장2"}</definedName>
    <definedName name="교좌" localSheetId="5" hidden="1">{#N/A,#N/A,FALSE,"포장2"}</definedName>
    <definedName name="교좌" localSheetId="6" hidden="1">{#N/A,#N/A,FALSE,"포장2"}</definedName>
    <definedName name="교좌" localSheetId="7" hidden="1">{#N/A,#N/A,FALSE,"포장2"}</definedName>
    <definedName name="교좌" localSheetId="1" hidden="1">{#N/A,#N/A,FALSE,"포장2"}</definedName>
    <definedName name="교좌" localSheetId="0" hidden="1">{#N/A,#N/A,FALSE,"포장2"}</definedName>
    <definedName name="교좌" hidden="1">{#N/A,#N/A,FALSE,"포장2"}</definedName>
    <definedName name="구" localSheetId="3" hidden="1">{#N/A,#N/A,FALSE,"구조2"}</definedName>
    <definedName name="구" localSheetId="4" hidden="1">{#N/A,#N/A,FALSE,"구조2"}</definedName>
    <definedName name="구" localSheetId="5" hidden="1">{#N/A,#N/A,FALSE,"구조2"}</definedName>
    <definedName name="구" localSheetId="6" hidden="1">{#N/A,#N/A,FALSE,"구조2"}</definedName>
    <definedName name="구" localSheetId="7" hidden="1">{#N/A,#N/A,FALSE,"구조2"}</definedName>
    <definedName name="구" localSheetId="1" hidden="1">{#N/A,#N/A,FALSE,"구조2"}</definedName>
    <definedName name="구" localSheetId="0" hidden="1">{#N/A,#N/A,FALSE,"구조2"}</definedName>
    <definedName name="구" hidden="1">{#N/A,#N/A,FALSE,"구조2"}</definedName>
    <definedName name="그림" localSheetId="3" hidden="1">{#N/A,#N/A,FALSE,"전력간선"}</definedName>
    <definedName name="그림" localSheetId="4" hidden="1">{#N/A,#N/A,FALSE,"전력간선"}</definedName>
    <definedName name="그림" localSheetId="5" hidden="1">{#N/A,#N/A,FALSE,"전력간선"}</definedName>
    <definedName name="그림" localSheetId="6" hidden="1">{#N/A,#N/A,FALSE,"전력간선"}</definedName>
    <definedName name="그림" localSheetId="7" hidden="1">{#N/A,#N/A,FALSE,"전력간선"}</definedName>
    <definedName name="그림" localSheetId="1" hidden="1">{#N/A,#N/A,FALSE,"전력간선"}</definedName>
    <definedName name="그림" localSheetId="0" hidden="1">{#N/A,#N/A,FALSE,"전력간선"}</definedName>
    <definedName name="그림" hidden="1">{#N/A,#N/A,FALSE,"전력간선"}</definedName>
    <definedName name="근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3" hidden="1">{#N/A,#N/A,FALSE,"포장2"}</definedName>
    <definedName name="금광추정" localSheetId="4" hidden="1">{#N/A,#N/A,FALSE,"포장2"}</definedName>
    <definedName name="금광추정" localSheetId="5" hidden="1">{#N/A,#N/A,FALSE,"포장2"}</definedName>
    <definedName name="금광추정" localSheetId="6" hidden="1">{#N/A,#N/A,FALSE,"포장2"}</definedName>
    <definedName name="금광추정" localSheetId="7" hidden="1">{#N/A,#N/A,FALSE,"포장2"}</definedName>
    <definedName name="금광추정" localSheetId="1" hidden="1">{#N/A,#N/A,FALSE,"포장2"}</definedName>
    <definedName name="금광추정" localSheetId="0" hidden="1">{#N/A,#N/A,FALSE,"포장2"}</definedName>
    <definedName name="금광추정" hidden="1">{#N/A,#N/A,FALSE,"포장2"}</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공" hidden="1">'[28](실사조정)총괄'!#REF!</definedName>
    <definedName name="기능점수방법선택">'[8]A-1.클라우드 운영관리 FP산정'!#REF!</definedName>
    <definedName name="기본2" localSheetId="5" hidden="1">#REF!</definedName>
    <definedName name="기본2" hidden="1">#REF!</definedName>
    <definedName name="기술" localSheetId="3" hidden="1">{#N/A,#N/A,FALSE,"부대1"}</definedName>
    <definedName name="기술" localSheetId="4" hidden="1">{#N/A,#N/A,FALSE,"부대1"}</definedName>
    <definedName name="기술" localSheetId="5" hidden="1">{#N/A,#N/A,FALSE,"부대1"}</definedName>
    <definedName name="기술" localSheetId="6" hidden="1">{#N/A,#N/A,FALSE,"부대1"}</definedName>
    <definedName name="기술" localSheetId="7" hidden="1">{#N/A,#N/A,FALSE,"부대1"}</definedName>
    <definedName name="기술" localSheetId="1" hidden="1">{#N/A,#N/A,FALSE,"부대1"}</definedName>
    <definedName name="기술" localSheetId="0" hidden="1">{#N/A,#N/A,FALSE,"부대1"}</definedName>
    <definedName name="기술" hidden="1">{#N/A,#N/A,FALSE,"부대1"}</definedName>
    <definedName name="기아모텍" localSheetId="3" hidden="1">{#N/A,#N/A,FALSE,"정공"}</definedName>
    <definedName name="기아모텍" localSheetId="4" hidden="1">{#N/A,#N/A,FALSE,"정공"}</definedName>
    <definedName name="기아모텍" localSheetId="5" hidden="1">{#N/A,#N/A,FALSE,"정공"}</definedName>
    <definedName name="기아모텍" localSheetId="6" hidden="1">{#N/A,#N/A,FALSE,"정공"}</definedName>
    <definedName name="기아모텍" localSheetId="7" hidden="1">{#N/A,#N/A,FALSE,"정공"}</definedName>
    <definedName name="기아모텍" localSheetId="1" hidden="1">{#N/A,#N/A,FALSE,"정공"}</definedName>
    <definedName name="기아모텍" localSheetId="0" hidden="1">{#N/A,#N/A,FALSE,"정공"}</definedName>
    <definedName name="기아모텍" hidden="1">{#N/A,#N/A,FALSE,"정공"}</definedName>
    <definedName name="기아전자" localSheetId="3" hidden="1">{#N/A,#N/A,FALSE,"정공"}</definedName>
    <definedName name="기아전자" localSheetId="4" hidden="1">{#N/A,#N/A,FALSE,"정공"}</definedName>
    <definedName name="기아전자" localSheetId="5" hidden="1">{#N/A,#N/A,FALSE,"정공"}</definedName>
    <definedName name="기아전자" localSheetId="6" hidden="1">{#N/A,#N/A,FALSE,"정공"}</definedName>
    <definedName name="기아전자" localSheetId="7" hidden="1">{#N/A,#N/A,FALSE,"정공"}</definedName>
    <definedName name="기아전자" localSheetId="1" hidden="1">{#N/A,#N/A,FALSE,"정공"}</definedName>
    <definedName name="기아전자" localSheetId="0" hidden="1">{#N/A,#N/A,FALSE,"정공"}</definedName>
    <definedName name="기아전자" hidden="1">{#N/A,#N/A,FALSE,"정공"}</definedName>
    <definedName name="기전1" hidden="1">#REF!</definedName>
    <definedName name="기준단가" localSheetId="3" hidden="1">{#N/A,#N/A,TRUE,"토적및재료집계";#N/A,#N/A,TRUE,"토적및재료집계";#N/A,#N/A,TRUE,"단위량"}</definedName>
    <definedName name="기준단가" localSheetId="4" hidden="1">{#N/A,#N/A,TRUE,"토적및재료집계";#N/A,#N/A,TRUE,"토적및재료집계";#N/A,#N/A,TRUE,"단위량"}</definedName>
    <definedName name="기준단가" localSheetId="5" hidden="1">{#N/A,#N/A,TRUE,"토적및재료집계";#N/A,#N/A,TRUE,"토적및재료집계";#N/A,#N/A,TRUE,"단위량"}</definedName>
    <definedName name="기준단가" localSheetId="6" hidden="1">{#N/A,#N/A,TRUE,"토적및재료집계";#N/A,#N/A,TRUE,"토적및재료집계";#N/A,#N/A,TRUE,"단위량"}</definedName>
    <definedName name="기준단가" localSheetId="7" hidden="1">{#N/A,#N/A,TRUE,"토적및재료집계";#N/A,#N/A,TRUE,"토적및재료집계";#N/A,#N/A,TRUE,"단위량"}</definedName>
    <definedName name="기준단가" localSheetId="1" hidden="1">{#N/A,#N/A,TRUE,"토적및재료집계";#N/A,#N/A,TRUE,"토적및재료집계";#N/A,#N/A,TRUE,"단위량"}</definedName>
    <definedName name="기준단가" localSheetId="0" hidden="1">{#N/A,#N/A,TRUE,"토적및재료집계";#N/A,#N/A,TRUE,"토적및재료집계";#N/A,#N/A,TRUE,"단위량"}</definedName>
    <definedName name="기준단가" hidden="1">{#N/A,#N/A,TRUE,"토적및재료집계";#N/A,#N/A,TRUE,"토적및재료집계";#N/A,#N/A,TRUE,"단위량"}</definedName>
    <definedName name="기타경비_1" localSheetId="3" hidden="1">{#N/A,#N/A,TRUE,"토적및재료집계";#N/A,#N/A,TRUE,"토적및재료집계";#N/A,#N/A,TRUE,"단위량"}</definedName>
    <definedName name="기타경비_1" localSheetId="4" hidden="1">{#N/A,#N/A,TRUE,"토적및재료집계";#N/A,#N/A,TRUE,"토적및재료집계";#N/A,#N/A,TRUE,"단위량"}</definedName>
    <definedName name="기타경비_1" localSheetId="5" hidden="1">{#N/A,#N/A,TRUE,"토적및재료집계";#N/A,#N/A,TRUE,"토적및재료집계";#N/A,#N/A,TRUE,"단위량"}</definedName>
    <definedName name="기타경비_1" localSheetId="6" hidden="1">{#N/A,#N/A,TRUE,"토적및재료집계";#N/A,#N/A,TRUE,"토적및재료집계";#N/A,#N/A,TRUE,"단위량"}</definedName>
    <definedName name="기타경비_1" localSheetId="7" hidden="1">{#N/A,#N/A,TRUE,"토적및재료집계";#N/A,#N/A,TRUE,"토적및재료집계";#N/A,#N/A,TRUE,"단위량"}</definedName>
    <definedName name="기타경비_1" localSheetId="1" hidden="1">{#N/A,#N/A,TRUE,"토적및재료집계";#N/A,#N/A,TRUE,"토적및재료집계";#N/A,#N/A,TRUE,"단위량"}</definedName>
    <definedName name="기타경비_1" localSheetId="0" hidden="1">{#N/A,#N/A,TRUE,"토적및재료집계";#N/A,#N/A,TRUE,"토적및재료집계";#N/A,#N/A,TRUE,"단위량"}</definedName>
    <definedName name="기타경비_1" hidden="1">{#N/A,#N/A,TRUE,"토적및재료집계";#N/A,#N/A,TRUE,"토적및재료집계";#N/A,#N/A,TRUE,"단위량"}</definedName>
    <definedName name="긴급공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hidden="1">#REF!</definedName>
    <definedName name="김1" localSheetId="3" hidden="1">{"'Firr(선)'!$AS$1:$AY$62","'Firr(사)'!$AS$1:$AY$62","'Firr(회)'!$AS$1:$AY$62","'Firr(선)'!$L$1:$V$62","'Firr(사)'!$L$1:$V$62","'Firr(회)'!$L$1:$V$62"}</definedName>
    <definedName name="김1" localSheetId="4" hidden="1">{"'Firr(선)'!$AS$1:$AY$62","'Firr(사)'!$AS$1:$AY$62","'Firr(회)'!$AS$1:$AY$62","'Firr(선)'!$L$1:$V$62","'Firr(사)'!$L$1:$V$62","'Firr(회)'!$L$1:$V$62"}</definedName>
    <definedName name="김1" localSheetId="5" hidden="1">{"'Firr(선)'!$AS$1:$AY$62","'Firr(사)'!$AS$1:$AY$62","'Firr(회)'!$AS$1:$AY$62","'Firr(선)'!$L$1:$V$62","'Firr(사)'!$L$1:$V$62","'Firr(회)'!$L$1:$V$62"}</definedName>
    <definedName name="김1" localSheetId="6" hidden="1">{"'Firr(선)'!$AS$1:$AY$62","'Firr(사)'!$AS$1:$AY$62","'Firr(회)'!$AS$1:$AY$62","'Firr(선)'!$L$1:$V$62","'Firr(사)'!$L$1:$V$62","'Firr(회)'!$L$1:$V$62"}</definedName>
    <definedName name="김1" localSheetId="7" hidden="1">{"'Firr(선)'!$AS$1:$AY$62","'Firr(사)'!$AS$1:$AY$62","'Firr(회)'!$AS$1:$AY$62","'Firr(선)'!$L$1:$V$62","'Firr(사)'!$L$1:$V$62","'Firr(회)'!$L$1:$V$62"}</definedName>
    <definedName name="김1" localSheetId="1" hidden="1">{"'Firr(선)'!$AS$1:$AY$62","'Firr(사)'!$AS$1:$AY$62","'Firr(회)'!$AS$1:$AY$62","'Firr(선)'!$L$1:$V$62","'Firr(사)'!$L$1:$V$62","'Firr(회)'!$L$1:$V$62"}</definedName>
    <definedName name="김1" localSheetId="0" hidden="1">{"'Firr(선)'!$AS$1:$AY$62","'Firr(사)'!$AS$1:$AY$62","'Firr(회)'!$AS$1:$AY$62","'Firr(선)'!$L$1:$V$62","'Firr(사)'!$L$1:$V$62","'Firr(회)'!$L$1:$V$62"}</definedName>
    <definedName name="김1" hidden="1">{"'Firr(선)'!$AS$1:$AY$62","'Firr(사)'!$AS$1:$AY$62","'Firr(회)'!$AS$1:$AY$62","'Firr(선)'!$L$1:$V$62","'Firr(사)'!$L$1:$V$62","'Firr(회)'!$L$1:$V$62"}</definedName>
    <definedName name="ㄳㄳㄳㄳ" localSheetId="3" hidden="1">{"'용역비'!$A$4:$C$8"}</definedName>
    <definedName name="ㄳㄳㄳㄳ" localSheetId="4" hidden="1">{"'용역비'!$A$4:$C$8"}</definedName>
    <definedName name="ㄳㄳㄳㄳ" localSheetId="5" hidden="1">{"'용역비'!$A$4:$C$8"}</definedName>
    <definedName name="ㄳㄳㄳㄳ" localSheetId="6" hidden="1">{"'용역비'!$A$4:$C$8"}</definedName>
    <definedName name="ㄳㄳㄳㄳ" localSheetId="7" hidden="1">{"'용역비'!$A$4:$C$8"}</definedName>
    <definedName name="ㄳㄳㄳㄳ" localSheetId="1" hidden="1">{"'용역비'!$A$4:$C$8"}</definedName>
    <definedName name="ㄳㄳㄳㄳ" localSheetId="0" hidden="1">{"'용역비'!$A$4:$C$8"}</definedName>
    <definedName name="ㄳㄳㄳㄳ" hidden="1">{"'용역비'!$A$4:$C$8"}</definedName>
    <definedName name="ㄴ" hidden="1">#REF!</definedName>
    <definedName name="ㄴㄱㄹ" localSheetId="1" hidden="1">#REF!</definedName>
    <definedName name="ㄴㄱㄹ" localSheetId="0" hidden="1">#REF!</definedName>
    <definedName name="ㄴㄱㄹ" hidden="1">#REF!</definedName>
    <definedName name="ㄴㄴ" localSheetId="1" hidden="1">#REF!</definedName>
    <definedName name="ㄴㄴ" localSheetId="0" hidden="1">#REF!</definedName>
    <definedName name="ㄴㄴ" hidden="1">#REF!</definedName>
    <definedName name="ㄴㄴㄴㄴㄴ" localSheetId="1" hidden="1">#REF!</definedName>
    <definedName name="ㄴㄴㄴㄴㄴ" localSheetId="0" hidden="1">#REF!</definedName>
    <definedName name="ㄴㄴㄴㄴㄴ" hidden="1">#REF!</definedName>
    <definedName name="ㄴㄹ" localSheetId="3" hidden="1">{#N/A,#N/A,FALSE,"ALM-ASISC"}</definedName>
    <definedName name="ㄴㄹ" localSheetId="4" hidden="1">{#N/A,#N/A,FALSE,"ALM-ASISC"}</definedName>
    <definedName name="ㄴㄹ" localSheetId="5" hidden="1">{#N/A,#N/A,FALSE,"ALM-ASISC"}</definedName>
    <definedName name="ㄴㄹ" localSheetId="6" hidden="1">{#N/A,#N/A,FALSE,"ALM-ASISC"}</definedName>
    <definedName name="ㄴㄹ" localSheetId="1" hidden="1">{#N/A,#N/A,FALSE,"ALM-ASISC"}</definedName>
    <definedName name="ㄴㄹ" hidden="1">{#N/A,#N/A,FALSE,"ALM-ASISC"}</definedName>
    <definedName name="ㄴㅁ" localSheetId="1" hidden="1">#REF!</definedName>
    <definedName name="ㄴㅁ" localSheetId="0" hidden="1">#REF!</definedName>
    <definedName name="ㄴㅁ" hidden="1">#REF!</definedName>
    <definedName name="ㄴㅁㅇㅁㄴ" localSheetId="1" hidden="1">#REF!</definedName>
    <definedName name="ㄴㅁㅇㅁㄴ" localSheetId="0" hidden="1">#REF!</definedName>
    <definedName name="ㄴㅁㅇㅁㄴ" hidden="1">#REF!</definedName>
    <definedName name="ㄴㅇ" localSheetId="3" hidden="1">{#N/A,#N/A,FALSE,"정공"}</definedName>
    <definedName name="ㄴㅇ" localSheetId="4" hidden="1">{#N/A,#N/A,FALSE,"정공"}</definedName>
    <definedName name="ㄴㅇ" localSheetId="5" hidden="1">{#N/A,#N/A,FALSE,"정공"}</definedName>
    <definedName name="ㄴㅇ" localSheetId="6" hidden="1">{#N/A,#N/A,FALSE,"정공"}</definedName>
    <definedName name="ㄴㅇ" localSheetId="7" hidden="1">{#N/A,#N/A,FALSE,"정공"}</definedName>
    <definedName name="ㄴㅇ" localSheetId="1" hidden="1">{#N/A,#N/A,FALSE,"3가";#N/A,#N/A,FALSE,"3나";#N/A,#N/A,FALSE,"3다"}</definedName>
    <definedName name="ㄴㅇ" localSheetId="0" hidden="1">{#N/A,#N/A,FALSE,"3가";#N/A,#N/A,FALSE,"3나";#N/A,#N/A,FALSE,"3다"}</definedName>
    <definedName name="ㄴㅇ" hidden="1">{#N/A,#N/A,FALSE,"정공"}</definedName>
    <definedName name="ㄴㅇㄹㅇㄴㄹㅇㄴㄹ" localSheetId="3" hidden="1">{"'용역비'!$A$4:$C$8"}</definedName>
    <definedName name="ㄴㅇㄹㅇㄴㄹㅇㄴㄹ" localSheetId="4" hidden="1">{"'용역비'!$A$4:$C$8"}</definedName>
    <definedName name="ㄴㅇㄹㅇㄴㄹㅇㄴㄹ" localSheetId="5" hidden="1">{"'용역비'!$A$4:$C$8"}</definedName>
    <definedName name="ㄴㅇㄹㅇㄴㄹㅇㄴㄹ" localSheetId="6" hidden="1">{"'용역비'!$A$4:$C$8"}</definedName>
    <definedName name="ㄴㅇㄹㅇㄴㄹㅇㄴㄹ" localSheetId="7" hidden="1">{"'용역비'!$A$4:$C$8"}</definedName>
    <definedName name="ㄴㅇㄹㅇㄴㄹㅇㄴㄹ" localSheetId="1" hidden="1">{"'용역비'!$A$4:$C$8"}</definedName>
    <definedName name="ㄴㅇㄹㅇㄴㄹㅇㄴㄹ" localSheetId="0" hidden="1">{"'용역비'!$A$4:$C$8"}</definedName>
    <definedName name="ㄴㅇㄹㅇㄴㄹㅇㄴㄹ" hidden="1">{"'용역비'!$A$4:$C$8"}</definedName>
    <definedName name="ㄴㅇㄻㄴㅇㄹ" localSheetId="3" hidden="1">{"'용역비'!$A$4:$C$8"}</definedName>
    <definedName name="ㄴㅇㄻㄴㅇㄹ" localSheetId="4" hidden="1">{"'용역비'!$A$4:$C$8"}</definedName>
    <definedName name="ㄴㅇㄻㄴㅇㄹ" localSheetId="5" hidden="1">{"'용역비'!$A$4:$C$8"}</definedName>
    <definedName name="ㄴㅇㄻㄴㅇㄹ" localSheetId="6" hidden="1">{"'용역비'!$A$4:$C$8"}</definedName>
    <definedName name="ㄴㅇㄻㄴㅇㄹ" localSheetId="7" hidden="1">{"'용역비'!$A$4:$C$8"}</definedName>
    <definedName name="ㄴㅇㄻㄴㅇㄹ" localSheetId="1" hidden="1">{"'용역비'!$A$4:$C$8"}</definedName>
    <definedName name="ㄴㅇㄻㄴㅇㄹ" localSheetId="0" hidden="1">{"'용역비'!$A$4:$C$8"}</definedName>
    <definedName name="ㄴㅇㄻㄴㅇㄹ" hidden="1">{"'용역비'!$A$4:$C$8"}</definedName>
    <definedName name="ㄴㅇㅇㄴ" hidden="1">#REF!</definedName>
    <definedName name="ㄴㅇㅎㄴㅇ" localSheetId="1" hidden="1">#REF!</definedName>
    <definedName name="ㄴㅇㅎㄴㅇ" localSheetId="0" hidden="1">#REF!</definedName>
    <definedName name="ㄴㅇㅎㄴㅇ" hidden="1">#REF!</definedName>
    <definedName name="ㄴㅇㅎㅎㅎ" localSheetId="3" hidden="1">{#N/A,#N/A,TRUE,"토적및재료집계";#N/A,#N/A,TRUE,"토적및재료집계";#N/A,#N/A,TRUE,"단위량"}</definedName>
    <definedName name="ㄴㅇㅎㅎㅎ" localSheetId="4" hidden="1">{#N/A,#N/A,TRUE,"토적및재료집계";#N/A,#N/A,TRUE,"토적및재료집계";#N/A,#N/A,TRUE,"단위량"}</definedName>
    <definedName name="ㄴㅇㅎㅎㅎ" localSheetId="5" hidden="1">{#N/A,#N/A,TRUE,"토적및재료집계";#N/A,#N/A,TRUE,"토적및재료집계";#N/A,#N/A,TRUE,"단위량"}</definedName>
    <definedName name="ㄴㅇㅎㅎㅎ" localSheetId="6" hidden="1">{#N/A,#N/A,TRUE,"토적및재료집계";#N/A,#N/A,TRUE,"토적및재료집계";#N/A,#N/A,TRUE,"단위량"}</definedName>
    <definedName name="ㄴㅇㅎㅎㅎ" localSheetId="7" hidden="1">{#N/A,#N/A,TRUE,"토적및재료집계";#N/A,#N/A,TRUE,"토적및재료집계";#N/A,#N/A,TRUE,"단위량"}</definedName>
    <definedName name="ㄴㅇㅎㅎㅎ" localSheetId="1" hidden="1">{#N/A,#N/A,TRUE,"토적및재료집계";#N/A,#N/A,TRUE,"토적및재료집계";#N/A,#N/A,TRUE,"단위량"}</definedName>
    <definedName name="ㄴㅇㅎㅎㅎ" localSheetId="0" hidden="1">{#N/A,#N/A,TRUE,"토적및재료집계";#N/A,#N/A,TRUE,"토적및재료집계";#N/A,#N/A,TRUE,"단위량"}</definedName>
    <definedName name="ㄴㅇㅎㅎㅎ" hidden="1">{#N/A,#N/A,TRUE,"토적및재료집계";#N/A,#N/A,TRUE,"토적및재료집계";#N/A,#N/A,TRUE,"단위량"}</definedName>
    <definedName name="ㄴ아러" localSheetId="3" hidden="1">{#N/A,#N/A,FALSE,"ALM-ASISC"}</definedName>
    <definedName name="ㄴ아러" localSheetId="4" hidden="1">{#N/A,#N/A,FALSE,"ALM-ASISC"}</definedName>
    <definedName name="ㄴ아러" localSheetId="5" hidden="1">{#N/A,#N/A,FALSE,"ALM-ASISC"}</definedName>
    <definedName name="ㄴ아러" localSheetId="6" hidden="1">{#N/A,#N/A,FALSE,"ALM-ASISC"}</definedName>
    <definedName name="ㄴ아러" localSheetId="1" hidden="1">{#N/A,#N/A,FALSE,"ALM-ASISC"}</definedName>
    <definedName name="ㄴ아러" hidden="1">{#N/A,#N/A,FALSE,"ALM-ASISC"}</definedName>
    <definedName name="나" localSheetId="3" hidden="1">{#N/A,#N/A,FALSE,"3가";#N/A,#N/A,FALSE,"3나";#N/A,#N/A,FALSE,"3다"}</definedName>
    <definedName name="나" localSheetId="4" hidden="1">{#N/A,#N/A,FALSE,"3가";#N/A,#N/A,FALSE,"3나";#N/A,#N/A,FALSE,"3다"}</definedName>
    <definedName name="나" localSheetId="5" hidden="1">{#N/A,#N/A,FALSE,"3가";#N/A,#N/A,FALSE,"3나";#N/A,#N/A,FALSE,"3다"}</definedName>
    <definedName name="나" localSheetId="6" hidden="1">{#N/A,#N/A,FALSE,"3가";#N/A,#N/A,FALSE,"3나";#N/A,#N/A,FALSE,"3다"}</definedName>
    <definedName name="나" localSheetId="1" hidden="1">{#N/A,#N/A,FALSE,"3가";#N/A,#N/A,FALSE,"3나";#N/A,#N/A,FALSE,"3다"}</definedName>
    <definedName name="나" hidden="1">{#N/A,#N/A,FALSE,"3가";#N/A,#N/A,FALSE,"3나";#N/A,#N/A,FALSE,"3다"}</definedName>
    <definedName name="나ㅏㅓ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이도">[29]작성가이드!#REF!</definedName>
    <definedName name="남남" hidden="1">[18]Sheet1!#REF!</definedName>
    <definedName name="남윤" localSheetId="3" hidden="1">{"'용역비'!$A$4:$C$8"}</definedName>
    <definedName name="남윤" localSheetId="4" hidden="1">{"'용역비'!$A$4:$C$8"}</definedName>
    <definedName name="남윤" localSheetId="5" hidden="1">{"'용역비'!$A$4:$C$8"}</definedName>
    <definedName name="남윤" localSheetId="6" hidden="1">{"'용역비'!$A$4:$C$8"}</definedName>
    <definedName name="남윤" localSheetId="7" hidden="1">{"'용역비'!$A$4:$C$8"}</definedName>
    <definedName name="남윤" localSheetId="1" hidden="1">{"'용역비'!$A$4:$C$8"}</definedName>
    <definedName name="남윤" localSheetId="0" hidden="1">{"'용역비'!$A$4:$C$8"}</definedName>
    <definedName name="남윤" hidden="1">{"'용역비'!$A$4:$C$8"}</definedName>
    <definedName name="납품준비_시작">[11]WBS!$H$98:$H$100</definedName>
    <definedName name="납품준비_완료">[11]WBS!$I$98:$I$100</definedName>
    <definedName name="납품준비_현황">[11]WBS!$F$98:$F$100</definedName>
    <definedName name="내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라" localSheetId="3" hidden="1">{#N/A,#N/A,FALSE,"정공"}</definedName>
    <definedName name="너라" localSheetId="4" hidden="1">{#N/A,#N/A,FALSE,"정공"}</definedName>
    <definedName name="너라" localSheetId="5" hidden="1">{#N/A,#N/A,FALSE,"정공"}</definedName>
    <definedName name="너라" localSheetId="6" hidden="1">{#N/A,#N/A,FALSE,"정공"}</definedName>
    <definedName name="너라" localSheetId="7" hidden="1">{#N/A,#N/A,FALSE,"정공"}</definedName>
    <definedName name="너라" localSheetId="1" hidden="1">{#N/A,#N/A,FALSE,"정공"}</definedName>
    <definedName name="너라" localSheetId="0" hidden="1">{#N/A,#N/A,FALSE,"정공"}</definedName>
    <definedName name="너라" hidden="1">{#N/A,#N/A,FALSE,"정공"}</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ㄴㄷ" hidden="1">#REF!</definedName>
    <definedName name="ㄷ" localSheetId="3" hidden="1">{#N/A,#N/A,TRUE,"토적및재료집계";#N/A,#N/A,TRUE,"토적및재료집계";#N/A,#N/A,TRUE,"단위량"}</definedName>
    <definedName name="ㄷ" localSheetId="4" hidden="1">{#N/A,#N/A,TRUE,"토적및재료집계";#N/A,#N/A,TRUE,"토적및재료집계";#N/A,#N/A,TRUE,"단위량"}</definedName>
    <definedName name="ㄷ" localSheetId="5" hidden="1">{#N/A,#N/A,TRUE,"토적및재료집계";#N/A,#N/A,TRUE,"토적및재료집계";#N/A,#N/A,TRUE,"단위량"}</definedName>
    <definedName name="ㄷ" localSheetId="6" hidden="1">{#N/A,#N/A,TRUE,"토적및재료집계";#N/A,#N/A,TRUE,"토적및재료집계";#N/A,#N/A,TRUE,"단위량"}</definedName>
    <definedName name="ㄷ" localSheetId="7" hidden="1">{#N/A,#N/A,TRUE,"토적및재료집계";#N/A,#N/A,TRUE,"토적및재료집계";#N/A,#N/A,TRUE,"단위량"}</definedName>
    <definedName name="ㄷ" localSheetId="1" hidden="1">{#N/A,#N/A,TRUE,"토적및재료집계";#N/A,#N/A,TRUE,"토적및재료집계";#N/A,#N/A,TRUE,"단위량"}</definedName>
    <definedName name="ㄷ" localSheetId="0" hidden="1">{#N/A,#N/A,TRUE,"토적및재료집계";#N/A,#N/A,TRUE,"토적및재료집계";#N/A,#N/A,TRUE,"단위량"}</definedName>
    <definedName name="ㄷ" hidden="1">{#N/A,#N/A,TRUE,"토적및재료집계";#N/A,#N/A,TRUE,"토적및재료집계";#N/A,#N/A,TRUE,"단위량"}</definedName>
    <definedName name="ㄷ6ㅓ" localSheetId="3" hidden="1">{"'용역비'!$A$4:$C$8"}</definedName>
    <definedName name="ㄷ6ㅓ" localSheetId="4" hidden="1">{"'용역비'!$A$4:$C$8"}</definedName>
    <definedName name="ㄷ6ㅓ" localSheetId="5" hidden="1">{"'용역비'!$A$4:$C$8"}</definedName>
    <definedName name="ㄷ6ㅓ" localSheetId="6" hidden="1">{"'용역비'!$A$4:$C$8"}</definedName>
    <definedName name="ㄷ6ㅓ" localSheetId="7" hidden="1">{"'용역비'!$A$4:$C$8"}</definedName>
    <definedName name="ㄷ6ㅓ" localSheetId="1" hidden="1">{"'용역비'!$A$4:$C$8"}</definedName>
    <definedName name="ㄷ6ㅓ" localSheetId="0" hidden="1">{"'용역비'!$A$4:$C$8"}</definedName>
    <definedName name="ㄷ6ㅓ" hidden="1">{"'용역비'!$A$4:$C$8"}</definedName>
    <definedName name="ㄷㄱㄷ" localSheetId="3" hidden="1">{#N/A,#N/A,FALSE,"전력간선"}</definedName>
    <definedName name="ㄷㄱㄷ" localSheetId="4" hidden="1">{#N/A,#N/A,FALSE,"전력간선"}</definedName>
    <definedName name="ㄷㄱㄷ" localSheetId="5" hidden="1">{#N/A,#N/A,FALSE,"전력간선"}</definedName>
    <definedName name="ㄷㄱㄷ" localSheetId="6" hidden="1">{#N/A,#N/A,FALSE,"전력간선"}</definedName>
    <definedName name="ㄷㄱㄷ" localSheetId="7" hidden="1">{#N/A,#N/A,FALSE,"전력간선"}</definedName>
    <definedName name="ㄷㄱㄷ" localSheetId="1" hidden="1">{#N/A,#N/A,FALSE,"전력간선"}</definedName>
    <definedName name="ㄷㄱㄷ" localSheetId="0" hidden="1">{#N/A,#N/A,FALSE,"전력간선"}</definedName>
    <definedName name="ㄷㄱㄷ" hidden="1">{#N/A,#N/A,FALSE,"전력간선"}</definedName>
    <definedName name="ㄷㄱㄷㄱㄷㄱ" localSheetId="3" hidden="1">{"'용역비'!$A$4:$C$8"}</definedName>
    <definedName name="ㄷㄱㄷㄱㄷㄱ" localSheetId="4" hidden="1">{"'용역비'!$A$4:$C$8"}</definedName>
    <definedName name="ㄷㄱㄷㄱㄷㄱ" localSheetId="5" hidden="1">{"'용역비'!$A$4:$C$8"}</definedName>
    <definedName name="ㄷㄱㄷㄱㄷㄱ" localSheetId="6" hidden="1">{"'용역비'!$A$4:$C$8"}</definedName>
    <definedName name="ㄷㄱㄷㄱㄷㄱ" localSheetId="7" hidden="1">{"'용역비'!$A$4:$C$8"}</definedName>
    <definedName name="ㄷㄱㄷㄱㄷㄱ" localSheetId="1" hidden="1">{"'용역비'!$A$4:$C$8"}</definedName>
    <definedName name="ㄷㄱㄷㄱㄷㄱ" localSheetId="0" hidden="1">{"'용역비'!$A$4:$C$8"}</definedName>
    <definedName name="ㄷㄱㄷㄱㄷㄱ" hidden="1">{"'용역비'!$A$4:$C$8"}</definedName>
    <definedName name="ㄷ가" localSheetId="3" hidden="1">{#N/A,#N/A,FALSE,"ALM-ASISC"}</definedName>
    <definedName name="ㄷ가" localSheetId="4" hidden="1">{#N/A,#N/A,FALSE,"ALM-ASISC"}</definedName>
    <definedName name="ㄷ가" localSheetId="5" hidden="1">{#N/A,#N/A,FALSE,"ALM-ASISC"}</definedName>
    <definedName name="ㄷ가" localSheetId="6" hidden="1">{#N/A,#N/A,FALSE,"ALM-ASISC"}</definedName>
    <definedName name="ㄷ가" localSheetId="1" hidden="1">{#N/A,#N/A,FALSE,"ALM-ASISC"}</definedName>
    <definedName name="ㄷ가" hidden="1">{#N/A,#N/A,FALSE,"ALM-ASISC"}</definedName>
    <definedName name="ㄷㄷㄱㄱ" localSheetId="3" hidden="1">{"'용역비'!$A$4:$C$8"}</definedName>
    <definedName name="ㄷㄷㄱㄱ" localSheetId="4" hidden="1">{"'용역비'!$A$4:$C$8"}</definedName>
    <definedName name="ㄷㄷㄱㄱ" localSheetId="5" hidden="1">{"'용역비'!$A$4:$C$8"}</definedName>
    <definedName name="ㄷㄷㄱㄱ" localSheetId="6" hidden="1">{"'용역비'!$A$4:$C$8"}</definedName>
    <definedName name="ㄷㄷㄱㄱ" localSheetId="7" hidden="1">{"'용역비'!$A$4:$C$8"}</definedName>
    <definedName name="ㄷㄷㄱㄱ" localSheetId="1" hidden="1">{"'용역비'!$A$4:$C$8"}</definedName>
    <definedName name="ㄷㄷㄱㄱ" localSheetId="0" hidden="1">{"'용역비'!$A$4:$C$8"}</definedName>
    <definedName name="ㄷㄷㄱㄱ" hidden="1">{"'용역비'!$A$4:$C$8"}</definedName>
    <definedName name="ㄷㅅㅈㄷ" hidden="1">#REF!</definedName>
    <definedName name="ㄷ숃ㄱ" localSheetId="1" hidden="1">#REF!</definedName>
    <definedName name="ㄷ숃ㄱ" localSheetId="0" hidden="1">#REF!</definedName>
    <definedName name="ㄷ숃ㄱ" hidden="1">#REF!</definedName>
    <definedName name="ㄷㅈㄷ" localSheetId="1" hidden="1">#REF!</definedName>
    <definedName name="ㄷㅈㄷ" localSheetId="0" hidden="1">#REF!</definedName>
    <definedName name="ㄷㅈㄷ" hidden="1">#REF!</definedName>
    <definedName name="ㄷㅍㅂ" localSheetId="3" hidden="1">{"'용역비'!$A$4:$C$8"}</definedName>
    <definedName name="ㄷㅍㅂ" localSheetId="4" hidden="1">{"'용역비'!$A$4:$C$8"}</definedName>
    <definedName name="ㄷㅍㅂ" localSheetId="5" hidden="1">{"'용역비'!$A$4:$C$8"}</definedName>
    <definedName name="ㄷㅍㅂ" localSheetId="6" hidden="1">{"'용역비'!$A$4:$C$8"}</definedName>
    <definedName name="ㄷㅍㅂ" localSheetId="7" hidden="1">{"'용역비'!$A$4:$C$8"}</definedName>
    <definedName name="ㄷㅍㅂ" localSheetId="1" hidden="1">{"'용역비'!$A$4:$C$8"}</definedName>
    <definedName name="ㄷㅍㅂ" localSheetId="0" hidden="1">{"'용역비'!$A$4:$C$8"}</definedName>
    <definedName name="ㄷㅍㅂ" hidden="1">{"'용역비'!$A$4:$C$8"}</definedName>
    <definedName name="단가">'[30]일위대가표 -교체'!$J$6:$J$15</definedName>
    <definedName name="단가조사자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강당배관" hidden="1">'[31]1안'!#REF!</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3" hidden="1">{#N/A,#N/A,FALSE,"포장2"}</definedName>
    <definedName name="덕" localSheetId="4" hidden="1">{#N/A,#N/A,FALSE,"포장2"}</definedName>
    <definedName name="덕" localSheetId="5" hidden="1">{#N/A,#N/A,FALSE,"포장2"}</definedName>
    <definedName name="덕" localSheetId="6" hidden="1">{#N/A,#N/A,FALSE,"포장2"}</definedName>
    <definedName name="덕" localSheetId="7" hidden="1">{#N/A,#N/A,FALSE,"포장2"}</definedName>
    <definedName name="덕" localSheetId="1" hidden="1">{#N/A,#N/A,FALSE,"포장2"}</definedName>
    <definedName name="덕" localSheetId="0" hidden="1">{#N/A,#N/A,FALSE,"포장2"}</definedName>
    <definedName name="덕" hidden="1">{#N/A,#N/A,FALSE,"포장2"}</definedName>
    <definedName name="덕진" localSheetId="3" hidden="1">{#N/A,#N/A,FALSE,"포장2"}</definedName>
    <definedName name="덕진" localSheetId="4" hidden="1">{#N/A,#N/A,FALSE,"포장2"}</definedName>
    <definedName name="덕진" localSheetId="5" hidden="1">{#N/A,#N/A,FALSE,"포장2"}</definedName>
    <definedName name="덕진" localSheetId="6" hidden="1">{#N/A,#N/A,FALSE,"포장2"}</definedName>
    <definedName name="덕진" localSheetId="7" hidden="1">{#N/A,#N/A,FALSE,"포장2"}</definedName>
    <definedName name="덕진" localSheetId="1" hidden="1">{#N/A,#N/A,FALSE,"포장2"}</definedName>
    <definedName name="덕진" localSheetId="0" hidden="1">{#N/A,#N/A,FALSE,"포장2"}</definedName>
    <definedName name="덕진" hidden="1">{#N/A,#N/A,FALSE,"포장2"}</definedName>
    <definedName name="덕호" localSheetId="3" hidden="1">{#N/A,#N/A,FALSE,"포장2"}</definedName>
    <definedName name="덕호" localSheetId="4" hidden="1">{#N/A,#N/A,FALSE,"포장2"}</definedName>
    <definedName name="덕호" localSheetId="5" hidden="1">{#N/A,#N/A,FALSE,"포장2"}</definedName>
    <definedName name="덕호" localSheetId="6" hidden="1">{#N/A,#N/A,FALSE,"포장2"}</definedName>
    <definedName name="덕호" localSheetId="7" hidden="1">{#N/A,#N/A,FALSE,"포장2"}</definedName>
    <definedName name="덕호" localSheetId="1" hidden="1">{#N/A,#N/A,FALSE,"포장2"}</definedName>
    <definedName name="덕호" localSheetId="0" hidden="1">{#N/A,#N/A,FALSE,"포장2"}</definedName>
    <definedName name="덕호" hidden="1">{#N/A,#N/A,FALSE,"포장2"}</definedName>
    <definedName name="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지" localSheetId="3" hidden="1">{#N/A,#N/A,FALSE,"ALM-ASISC"}</definedName>
    <definedName name="두지" localSheetId="4" hidden="1">{#N/A,#N/A,FALSE,"ALM-ASISC"}</definedName>
    <definedName name="두지" localSheetId="5" hidden="1">{#N/A,#N/A,FALSE,"ALM-ASISC"}</definedName>
    <definedName name="두지" localSheetId="6" hidden="1">{#N/A,#N/A,FALSE,"ALM-ASISC"}</definedName>
    <definedName name="두지" localSheetId="1" hidden="1">{#N/A,#N/A,FALSE,"ALM-ASISC"}</definedName>
    <definedName name="두지" hidden="1">{#N/A,#N/A,FALSE,"ALM-ASISC"}</definedName>
    <definedName name="둑ㅈ" localSheetId="3" hidden="1">{#N/A,#N/A,FALSE,"ALM-ASISC"}</definedName>
    <definedName name="둑ㅈ" localSheetId="4" hidden="1">{#N/A,#N/A,FALSE,"ALM-ASISC"}</definedName>
    <definedName name="둑ㅈ" localSheetId="5" hidden="1">{#N/A,#N/A,FALSE,"ALM-ASISC"}</definedName>
    <definedName name="둑ㅈ" localSheetId="6" hidden="1">{#N/A,#N/A,FALSE,"ALM-ASISC"}</definedName>
    <definedName name="둑ㅈ" localSheetId="1" hidden="1">{#N/A,#N/A,FALSE,"ALM-ASISC"}</definedName>
    <definedName name="둑ㅈ" hidden="1">{#N/A,#N/A,FALSE,"ALM-ASISC"}</definedName>
    <definedName name="ㄹ" localSheetId="3" hidden="1">{#N/A,#N/A,TRUE,"토적및재료집계";#N/A,#N/A,TRUE,"토적및재료집계";#N/A,#N/A,TRUE,"단위량"}</definedName>
    <definedName name="ㄹ" localSheetId="4" hidden="1">{#N/A,#N/A,TRUE,"토적및재료집계";#N/A,#N/A,TRUE,"토적및재료집계";#N/A,#N/A,TRUE,"단위량"}</definedName>
    <definedName name="ㄹ" localSheetId="5" hidden="1">{#N/A,#N/A,TRUE,"토적및재료집계";#N/A,#N/A,TRUE,"토적및재료집계";#N/A,#N/A,TRUE,"단위량"}</definedName>
    <definedName name="ㄹ" localSheetId="6" hidden="1">{#N/A,#N/A,TRUE,"토적및재료집계";#N/A,#N/A,TRUE,"토적및재료집계";#N/A,#N/A,TRUE,"단위량"}</definedName>
    <definedName name="ㄹ" localSheetId="7" hidden="1">{#N/A,#N/A,TRUE,"토적및재료집계";#N/A,#N/A,TRUE,"토적및재료집계";#N/A,#N/A,TRUE,"단위량"}</definedName>
    <definedName name="ㄹ" localSheetId="1" hidden="1">{#N/A,#N/A,TRUE,"토적및재료집계";#N/A,#N/A,TRUE,"토적및재료집계";#N/A,#N/A,TRUE,"단위량"}</definedName>
    <definedName name="ㄹ" localSheetId="0" hidden="1">{#N/A,#N/A,TRUE,"토적및재료집계";#N/A,#N/A,TRUE,"토적및재료집계";#N/A,#N/A,TRUE,"단위량"}</definedName>
    <definedName name="ㄹ" hidden="1">{#N/A,#N/A,TRUE,"토적및재료집계";#N/A,#N/A,TRUE,"토적및재료집계";#N/A,#N/A,TRUE,"단위량"}</definedName>
    <definedName name="ㄹㄷㅁㅈㄱㄹㄷ" hidden="1">'[32]N賃率-職'!$I$5:$I$30</definedName>
    <definedName name="ㄹㄹ" localSheetId="5" hidden="1">#REF!</definedName>
    <definedName name="ㄹㄹ" localSheetId="1" hidden="1">#REF!</definedName>
    <definedName name="ㄹㄹ" localSheetId="0" hidden="1">#REF!</definedName>
    <definedName name="ㄹㄹ" hidden="1">#REF!</definedName>
    <definedName name="ㄹㄹ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hidden="1">#REF!</definedName>
    <definedName name="ㄹㅇㄶ옿" hidden="1">'[33]N賃率-職'!$I$5:$I$30</definedName>
    <definedName name="ㄹㅇㄹㅇ" localSheetId="5" hidden="1">#REF!</definedName>
    <definedName name="ㄹㅇㄹㅇ" localSheetId="1" hidden="1">#REF!</definedName>
    <definedName name="ㄹㅇㄹㅇ" localSheetId="0" hidden="1">#REF!</definedName>
    <definedName name="ㄹㅇㄹㅇ" hidden="1">#REF!</definedName>
    <definedName name="ㄹㅇㅁㄴㄹ" localSheetId="3" hidden="1">{#N/A,#N/A,FALSE,"3가";#N/A,#N/A,FALSE,"3나";#N/A,#N/A,FALSE,"3다"}</definedName>
    <definedName name="ㄹㅇㅁㄴㄹ" localSheetId="4" hidden="1">{#N/A,#N/A,FALSE,"3가";#N/A,#N/A,FALSE,"3나";#N/A,#N/A,FALSE,"3다"}</definedName>
    <definedName name="ㄹㅇㅁㄴㄹ" localSheetId="5" hidden="1">{#N/A,#N/A,FALSE,"3가";#N/A,#N/A,FALSE,"3나";#N/A,#N/A,FALSE,"3다"}</definedName>
    <definedName name="ㄹㅇㅁㄴㄹ" localSheetId="6" hidden="1">{#N/A,#N/A,FALSE,"3가";#N/A,#N/A,FALSE,"3나";#N/A,#N/A,FALSE,"3다"}</definedName>
    <definedName name="ㄹㅇㅁㄴㄹ" localSheetId="1" hidden="1">{#N/A,#N/A,FALSE,"3가";#N/A,#N/A,FALSE,"3나";#N/A,#N/A,FALSE,"3다"}</definedName>
    <definedName name="ㄹㅇㅁㄴㄹ" hidden="1">{#N/A,#N/A,FALSE,"3가";#N/A,#N/A,FALSE,"3나";#N/A,#N/A,FALSE,"3다"}</definedName>
    <definedName name="ㄹㅇㅎㄹㅇ" localSheetId="1" hidden="1">#REF!</definedName>
    <definedName name="ㄹㅇㅎㄹㅇ" localSheetId="0" hidden="1">#REF!</definedName>
    <definedName name="ㄹㅇㅎㄹㅇ" hidden="1">#REF!</definedName>
    <definedName name="ㄹㅇㅎㅁ" hidden="1">'[34]N賃率-職'!$I$5:$I$30</definedName>
    <definedName name="ㄹㅇ홀옹ㅎㄹ" localSheetId="5" hidden="1">#REF!</definedName>
    <definedName name="ㄹㅇ홀옹ㅎㄹ" localSheetId="1" hidden="1">#REF!</definedName>
    <definedName name="ㄹㅇ홀옹ㅎㄹ" localSheetId="0" hidden="1">#REF!</definedName>
    <definedName name="ㄹㅇ홀옹ㅎㄹ" hidden="1">#REF!</definedName>
    <definedName name="ㄹ헝ㄹ" localSheetId="1" hidden="1">#REF!</definedName>
    <definedName name="ㄹ헝ㄹ" localSheetId="0" hidden="1">#REF!</definedName>
    <definedName name="ㄹ헝ㄹ" hidden="1">#REF!</definedName>
    <definedName name="ㄹ호" localSheetId="1" hidden="1">#REF!</definedName>
    <definedName name="ㄹ호" localSheetId="0" hidden="1">#REF!</definedName>
    <definedName name="ㄹ호" hidden="1">#REF!</definedName>
    <definedName name="라"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 hidden="1">{#N/A,#N/A,FALSE,"ALM-ASISC"}</definedName>
    <definedName name="라" localSheetId="0" hidden="1">{#N/A,#N/A,FALSE,"ALM-ASISC"}</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hidden="1">#REF!</definedName>
    <definedName name="료" localSheetId="3" hidden="1">{"'용역비'!$A$4:$C$8"}</definedName>
    <definedName name="료" localSheetId="4" hidden="1">{"'용역비'!$A$4:$C$8"}</definedName>
    <definedName name="료" localSheetId="5" hidden="1">{"'용역비'!$A$4:$C$8"}</definedName>
    <definedName name="료" localSheetId="6" hidden="1">{"'용역비'!$A$4:$C$8"}</definedName>
    <definedName name="료" localSheetId="7" hidden="1">{"'용역비'!$A$4:$C$8"}</definedName>
    <definedName name="료" localSheetId="1" hidden="1">{"'용역비'!$A$4:$C$8"}</definedName>
    <definedName name="료" localSheetId="0" hidden="1">{"'용역비'!$A$4:$C$8"}</definedName>
    <definedName name="료" hidden="1">{"'용역비'!$A$4:$C$8"}</definedName>
    <definedName name="ㄻㄴ" hidden="1">#REF!</definedName>
    <definedName name="ㄻㄹ" localSheetId="3" hidden="1">{#N/A,#N/A,FALSE,"3가";#N/A,#N/A,FALSE,"3나";#N/A,#N/A,FALSE,"3다"}</definedName>
    <definedName name="ㄻㄹ" localSheetId="4" hidden="1">{#N/A,#N/A,FALSE,"3가";#N/A,#N/A,FALSE,"3나";#N/A,#N/A,FALSE,"3다"}</definedName>
    <definedName name="ㄻㄹ" localSheetId="5" hidden="1">{#N/A,#N/A,FALSE,"3가";#N/A,#N/A,FALSE,"3나";#N/A,#N/A,FALSE,"3다"}</definedName>
    <definedName name="ㄻㄹ" localSheetId="6" hidden="1">{#N/A,#N/A,FALSE,"3가";#N/A,#N/A,FALSE,"3나";#N/A,#N/A,FALSE,"3다"}</definedName>
    <definedName name="ㄻㄹ" localSheetId="1" hidden="1">{#N/A,#N/A,FALSE,"3가";#N/A,#N/A,FALSE,"3나";#N/A,#N/A,FALSE,"3다"}</definedName>
    <definedName name="ㄻㄹ" hidden="1">{#N/A,#N/A,FALSE,"3가";#N/A,#N/A,FALSE,"3나";#N/A,#N/A,FALSE,"3다"}</definedName>
    <definedName name="ㅁ" localSheetId="5" hidden="1">#REF!</definedName>
    <definedName name="ㅁ" localSheetId="1" hidden="1">[35]합천내역!#REF!</definedName>
    <definedName name="ㅁ" localSheetId="0" hidden="1">[35]합천내역!#REF!</definedName>
    <definedName name="ㅁ" hidden="1">#REF!</definedName>
    <definedName name="ㅁㄱ해ㅜ5" hidden="1">[36]PI!#REF!</definedName>
    <definedName name="ㅁㄴㅇㄻㄴㅇㄹㄴㅁㅎㄴㅇㅎ" localSheetId="3" hidden="1">{"'용역비'!$A$4:$C$8"}</definedName>
    <definedName name="ㅁㄴㅇㄻㄴㅇㄹㄴㅁㅎㄴㅇㅎ" localSheetId="4" hidden="1">{"'용역비'!$A$4:$C$8"}</definedName>
    <definedName name="ㅁㄴㅇㄻㄴㅇㄹㄴㅁㅎㄴㅇㅎ" localSheetId="5" hidden="1">{"'용역비'!$A$4:$C$8"}</definedName>
    <definedName name="ㅁㄴㅇㄻㄴㅇㄹㄴㅁㅎㄴㅇㅎ" localSheetId="6" hidden="1">{"'용역비'!$A$4:$C$8"}</definedName>
    <definedName name="ㅁㄴㅇㄻㄴㅇㄹㄴㅁㅎㄴㅇㅎ" localSheetId="7" hidden="1">{"'용역비'!$A$4:$C$8"}</definedName>
    <definedName name="ㅁㄴㅇㄻㄴㅇㄹㄴㅁㅎㄴㅇㅎ" localSheetId="1" hidden="1">{"'용역비'!$A$4:$C$8"}</definedName>
    <definedName name="ㅁㄴㅇㄻㄴㅇㄹㄴㅁㅎㄴㅇㅎ" localSheetId="0" hidden="1">{"'용역비'!$A$4:$C$8"}</definedName>
    <definedName name="ㅁㄴㅇㄻㄴㅇㄹㄴㅁㅎㄴㅇㅎ" hidden="1">{"'용역비'!$A$4:$C$8"}</definedName>
    <definedName name="ㅁㄴㅇㅁㄴㅇ" hidden="1">#REF!</definedName>
    <definedName name="ㅁㄶㅁㄴ" localSheetId="1" hidden="1">#REF!</definedName>
    <definedName name="ㅁㄶㅁㄴ" localSheetId="0" hidden="1">#REF!</definedName>
    <definedName name="ㅁㄶㅁㄴ" hidden="1">#REF!</definedName>
    <definedName name="ㅁㄻㄴㄹ" localSheetId="3" hidden="1">{#N/A,#N/A,FALSE,"3가";#N/A,#N/A,FALSE,"3나";#N/A,#N/A,FALSE,"3다"}</definedName>
    <definedName name="ㅁㄻㄴㄹ" localSheetId="4" hidden="1">{#N/A,#N/A,FALSE,"3가";#N/A,#N/A,FALSE,"3나";#N/A,#N/A,FALSE,"3다"}</definedName>
    <definedName name="ㅁㄻㄴㄹ" localSheetId="5" hidden="1">{#N/A,#N/A,FALSE,"3가";#N/A,#N/A,FALSE,"3나";#N/A,#N/A,FALSE,"3다"}</definedName>
    <definedName name="ㅁㄻㄴㄹ" localSheetId="6" hidden="1">{#N/A,#N/A,FALSE,"3가";#N/A,#N/A,FALSE,"3나";#N/A,#N/A,FALSE,"3다"}</definedName>
    <definedName name="ㅁㄻㄴㄹ" localSheetId="1" hidden="1">{#N/A,#N/A,FALSE,"3가";#N/A,#N/A,FALSE,"3나";#N/A,#N/A,FALSE,"3다"}</definedName>
    <definedName name="ㅁㄻㄴㄹ" hidden="1">{#N/A,#N/A,FALSE,"3가";#N/A,#N/A,FALSE,"3나";#N/A,#N/A,FALSE,"3다"}</definedName>
    <definedName name="ㅁㅀㅁㄴ" localSheetId="1" hidden="1">#REF!</definedName>
    <definedName name="ㅁㅀㅁㄴ" localSheetId="0" hidden="1">#REF!</definedName>
    <definedName name="ㅁㅀㅁㄴ" hidden="1">#REF!</definedName>
    <definedName name="ㅁㅁ" localSheetId="3" hidden="1">{"'Price List '!$A$1:$R$156"}</definedName>
    <definedName name="ㅁㅁ" localSheetId="4" hidden="1">{"'Price List '!$A$1:$R$156"}</definedName>
    <definedName name="ㅁㅁ" localSheetId="5" hidden="1">{"'Price List '!$A$1:$R$156"}</definedName>
    <definedName name="ㅁㅁ" localSheetId="6" hidden="1">{"'Price List '!$A$1:$R$156"}</definedName>
    <definedName name="ㅁㅁ" localSheetId="1" hidden="1">{"'Price List '!$A$1:$R$156"}</definedName>
    <definedName name="ㅁㅁ" hidden="1">{"'Price List '!$A$1:$R$156"}</definedName>
    <definedName name="ㅁㅁㅁ" localSheetId="3" hidden="1">{"'용역비'!$A$4:$C$8"}</definedName>
    <definedName name="ㅁㅁㅁ" localSheetId="4" hidden="1">{"'용역비'!$A$4:$C$8"}</definedName>
    <definedName name="ㅁㅁㅁ" localSheetId="5" hidden="1">{"'용역비'!$A$4:$C$8"}</definedName>
    <definedName name="ㅁㅁㅁ" localSheetId="6" hidden="1">{"'용역비'!$A$4:$C$8"}</definedName>
    <definedName name="ㅁㅁㅁ" localSheetId="7" hidden="1">{"'용역비'!$A$4:$C$8"}</definedName>
    <definedName name="ㅁㅁㅁ" localSheetId="1" hidden="1">{#N/A,#N/A,FALSE,"3가";#N/A,#N/A,FALSE,"3나";#N/A,#N/A,FALSE,"3다"}</definedName>
    <definedName name="ㅁㅁㅁ" localSheetId="0" hidden="1">{#N/A,#N/A,FALSE,"3가";#N/A,#N/A,FALSE,"3나";#N/A,#N/A,FALSE,"3다"}</definedName>
    <definedName name="ㅁㅁㅁ" hidden="1">{"'용역비'!$A$4:$C$8"}</definedName>
    <definedName name="ㅁㅁㅁㅁ" localSheetId="3" hidden="1">{"'용역비'!$A$4:$C$8"}</definedName>
    <definedName name="ㅁㅁㅁㅁ" localSheetId="4" hidden="1">{"'용역비'!$A$4:$C$8"}</definedName>
    <definedName name="ㅁㅁㅁㅁ" localSheetId="5" hidden="1">{"'용역비'!$A$4:$C$8"}</definedName>
    <definedName name="ㅁㅁㅁㅁ" localSheetId="6" hidden="1">{"'용역비'!$A$4:$C$8"}</definedName>
    <definedName name="ㅁㅁㅁㅁ" localSheetId="7" hidden="1">{"'용역비'!$A$4:$C$8"}</definedName>
    <definedName name="ㅁㅁㅁㅁ" localSheetId="1" hidden="1">{"'용역비'!$A$4:$C$8"}</definedName>
    <definedName name="ㅁㅁㅁㅁ" localSheetId="0" hidden="1">{"'용역비'!$A$4:$C$8"}</definedName>
    <definedName name="ㅁㅁㅁㅁ" hidden="1">{"'용역비'!$A$4:$C$8"}</definedName>
    <definedName name="ㅁㅁㅁㅁㅁ" localSheetId="3" hidden="1">{"'용역비'!$A$4:$C$8"}</definedName>
    <definedName name="ㅁㅁㅁㅁㅁ" localSheetId="4" hidden="1">{"'용역비'!$A$4:$C$8"}</definedName>
    <definedName name="ㅁㅁㅁㅁㅁ" localSheetId="5" hidden="1">{"'용역비'!$A$4:$C$8"}</definedName>
    <definedName name="ㅁㅁㅁㅁㅁ" localSheetId="6" hidden="1">{"'용역비'!$A$4:$C$8"}</definedName>
    <definedName name="ㅁㅁㅁㅁㅁ" localSheetId="7" hidden="1">{"'용역비'!$A$4:$C$8"}</definedName>
    <definedName name="ㅁㅁㅁㅁㅁ" localSheetId="1" hidden="1">{"'용역비'!$A$4:$C$8"}</definedName>
    <definedName name="ㅁㅁㅁㅁㅁ" localSheetId="0" hidden="1">{"'용역비'!$A$4:$C$8"}</definedName>
    <definedName name="ㅁㅁㅁㅁㅁ" hidden="1">{"'용역비'!$A$4:$C$8"}</definedName>
    <definedName name="ㅁㅁㅁㅁㅁㅁ" hidden="1">#REF!</definedName>
    <definedName name="ㅁㅁㅁㅂ" localSheetId="3" hidden="1">{"'용역비'!$A$4:$C$8"}</definedName>
    <definedName name="ㅁㅁㅁㅂ" localSheetId="4" hidden="1">{"'용역비'!$A$4:$C$8"}</definedName>
    <definedName name="ㅁㅁㅁㅂ" localSheetId="5" hidden="1">{"'용역비'!$A$4:$C$8"}</definedName>
    <definedName name="ㅁㅁㅁㅂ" localSheetId="6" hidden="1">{"'용역비'!$A$4:$C$8"}</definedName>
    <definedName name="ㅁㅁㅁㅂ" localSheetId="7" hidden="1">{"'용역비'!$A$4:$C$8"}</definedName>
    <definedName name="ㅁㅁㅁㅂ" localSheetId="1" hidden="1">{"'용역비'!$A$4:$C$8"}</definedName>
    <definedName name="ㅁㅁㅁㅂ" localSheetId="0" hidden="1">{"'용역비'!$A$4:$C$8"}</definedName>
    <definedName name="ㅁㅁㅁㅂ" hidden="1">{"'용역비'!$A$4:$C$8"}</definedName>
    <definedName name="ㅁㅅㅅㅁㄱㅈ"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3" hidden="1">{"'용역비'!$A$4:$C$8"}</definedName>
    <definedName name="ㅁㅇ" localSheetId="4" hidden="1">{"'용역비'!$A$4:$C$8"}</definedName>
    <definedName name="ㅁㅇ" localSheetId="5" hidden="1">{"'용역비'!$A$4:$C$8"}</definedName>
    <definedName name="ㅁㅇ" localSheetId="6" hidden="1">{"'용역비'!$A$4:$C$8"}</definedName>
    <definedName name="ㅁㅇ" localSheetId="7" hidden="1">{"'용역비'!$A$4:$C$8"}</definedName>
    <definedName name="ㅁㅇ" localSheetId="1" hidden="1">{"'용역비'!$A$4:$C$8"}</definedName>
    <definedName name="ㅁㅇ" localSheetId="0" hidden="1">{"'용역비'!$A$4:$C$8"}</definedName>
    <definedName name="ㅁㅇ" hidden="1">{"'용역비'!$A$4:$C$8"}</definedName>
    <definedName name="ㅁㅇㅁㄴㅇ" localSheetId="3" hidden="1">{"'용역비'!$A$4:$C$8"}</definedName>
    <definedName name="ㅁㅇㅁㄴㅇ" localSheetId="4" hidden="1">{"'용역비'!$A$4:$C$8"}</definedName>
    <definedName name="ㅁㅇㅁㄴㅇ" localSheetId="5" hidden="1">{"'용역비'!$A$4:$C$8"}</definedName>
    <definedName name="ㅁㅇㅁㄴㅇ" localSheetId="6" hidden="1">{"'용역비'!$A$4:$C$8"}</definedName>
    <definedName name="ㅁㅇㅁㄴㅇ" localSheetId="7" hidden="1">{"'용역비'!$A$4:$C$8"}</definedName>
    <definedName name="ㅁㅇㅁㄴㅇ" localSheetId="1" hidden="1">{"'용역비'!$A$4:$C$8"}</definedName>
    <definedName name="ㅁㅇㅁㄴㅇ" localSheetId="0" hidden="1">{"'용역비'!$A$4:$C$8"}</definedName>
    <definedName name="ㅁㅇㅁㄴㅇ" hidden="1">{"'용역비'!$A$4:$C$8"}</definedName>
    <definedName name="ㅁㅇㅁㄻㅇ" localSheetId="3" hidden="1">{"'공사부문'!$A$6:$A$32"}</definedName>
    <definedName name="ㅁㅇㅁㄻㅇ" localSheetId="4" hidden="1">{"'공사부문'!$A$6:$A$32"}</definedName>
    <definedName name="ㅁㅇㅁㄻㅇ" localSheetId="5" hidden="1">{"'공사부문'!$A$6:$A$32"}</definedName>
    <definedName name="ㅁㅇㅁㄻㅇ" localSheetId="6" hidden="1">{"'공사부문'!$A$6:$A$32"}</definedName>
    <definedName name="ㅁㅇㅁㄻㅇ" localSheetId="7" hidden="1">{"'공사부문'!$A$6:$A$32"}</definedName>
    <definedName name="ㅁㅇㅁㄻㅇ" localSheetId="1" hidden="1">{"'공사부문'!$A$6:$A$32"}</definedName>
    <definedName name="ㅁㅇㅁㄻㅇ" localSheetId="0" hidden="1">{"'공사부문'!$A$6:$A$32"}</definedName>
    <definedName name="ㅁㅇㅁㄻㅇ" hidden="1">{"'공사부문'!$A$6:$A$32"}</definedName>
    <definedName name="마" localSheetId="3" hidden="1">{#N/A,#N/A,FALSE,"ALM-ASISC"}</definedName>
    <definedName name="마" localSheetId="4" hidden="1">{#N/A,#N/A,FALSE,"ALM-ASISC"}</definedName>
    <definedName name="마" localSheetId="5" hidden="1">{#N/A,#N/A,FALSE,"ALM-ASISC"}</definedName>
    <definedName name="마" localSheetId="6" hidden="1">{#N/A,#N/A,FALSE,"ALM-ASISC"}</definedName>
    <definedName name="마" localSheetId="1" hidden="1">{#N/A,#N/A,FALSE,"ALM-ASISC"}</definedName>
    <definedName name="마" hidden="1">{#N/A,#N/A,FALSE,"ALM-ASISC"}</definedName>
    <definedName name="망루"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명일" localSheetId="3" hidden="1">{#N/A,#N/A,FALSE,"속도"}</definedName>
    <definedName name="명일" localSheetId="4" hidden="1">{#N/A,#N/A,FALSE,"속도"}</definedName>
    <definedName name="명일" localSheetId="5" hidden="1">{#N/A,#N/A,FALSE,"속도"}</definedName>
    <definedName name="명일" localSheetId="6" hidden="1">{#N/A,#N/A,FALSE,"속도"}</definedName>
    <definedName name="명일" localSheetId="7" hidden="1">{#N/A,#N/A,FALSE,"속도"}</definedName>
    <definedName name="명일" localSheetId="1" hidden="1">{#N/A,#N/A,FALSE,"속도"}</definedName>
    <definedName name="명일" localSheetId="0" hidden="1">{#N/A,#N/A,FALSE,"속도"}</definedName>
    <definedName name="명일" hidden="1">{#N/A,#N/A,FALSE,"속도"}</definedName>
    <definedName name="모형표지" localSheetId="3" hidden="1">{"'용역비'!$A$4:$C$8"}</definedName>
    <definedName name="모형표지" localSheetId="4" hidden="1">{"'용역비'!$A$4:$C$8"}</definedName>
    <definedName name="모형표지" localSheetId="5" hidden="1">{"'용역비'!$A$4:$C$8"}</definedName>
    <definedName name="모형표지" localSheetId="6" hidden="1">{"'용역비'!$A$4:$C$8"}</definedName>
    <definedName name="모형표지" localSheetId="7" hidden="1">{"'용역비'!$A$4:$C$8"}</definedName>
    <definedName name="모형표지" localSheetId="1" hidden="1">{"'용역비'!$A$4:$C$8"}</definedName>
    <definedName name="모형표지" localSheetId="0" hidden="1">{"'용역비'!$A$4:$C$8"}</definedName>
    <definedName name="모형표지" hidden="1">{"'용역비'!$A$4:$C$8"}</definedName>
    <definedName name="몰러" hidden="1">[37]수량산출!#REF!</definedName>
    <definedName name="물가변동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석" localSheetId="3" hidden="1">{#N/A,#N/A,FALSE,"정공"}</definedName>
    <definedName name="미석" localSheetId="4" hidden="1">{#N/A,#N/A,FALSE,"정공"}</definedName>
    <definedName name="미석" localSheetId="5" hidden="1">{#N/A,#N/A,FALSE,"정공"}</definedName>
    <definedName name="미석" localSheetId="6" hidden="1">{#N/A,#N/A,FALSE,"정공"}</definedName>
    <definedName name="미석" localSheetId="7" hidden="1">{#N/A,#N/A,FALSE,"정공"}</definedName>
    <definedName name="미석" localSheetId="1" hidden="1">{#N/A,#N/A,FALSE,"정공"}</definedName>
    <definedName name="미석" localSheetId="0" hidden="1">{#N/A,#N/A,FALSE,"정공"}</definedName>
    <definedName name="미석" hidden="1">{#N/A,#N/A,FALSE,"정공"}</definedName>
    <definedName name="ㅂ" localSheetId="3" hidden="1">{#N/A,#N/A,TRUE,"토적및재료집계";#N/A,#N/A,TRUE,"토적및재료집계";#N/A,#N/A,TRUE,"단위량"}</definedName>
    <definedName name="ㅂ" localSheetId="4" hidden="1">{#N/A,#N/A,TRUE,"토적및재료집계";#N/A,#N/A,TRUE,"토적및재료집계";#N/A,#N/A,TRUE,"단위량"}</definedName>
    <definedName name="ㅂ" localSheetId="5" hidden="1">{#N/A,#N/A,TRUE,"토적및재료집계";#N/A,#N/A,TRUE,"토적및재료집계";#N/A,#N/A,TRUE,"단위량"}</definedName>
    <definedName name="ㅂ" localSheetId="6" hidden="1">{#N/A,#N/A,TRUE,"토적및재료집계";#N/A,#N/A,TRUE,"토적및재료집계";#N/A,#N/A,TRUE,"단위량"}</definedName>
    <definedName name="ㅂ" localSheetId="7" hidden="1">{#N/A,#N/A,TRUE,"토적및재료집계";#N/A,#N/A,TRUE,"토적및재료집계";#N/A,#N/A,TRUE,"단위량"}</definedName>
    <definedName name="ㅂ" localSheetId="1" hidden="1">#REF!</definedName>
    <definedName name="ㅂ" localSheetId="0" hidden="1">#REF!</definedName>
    <definedName name="ㅂ" hidden="1">{#N/A,#N/A,TRUE,"토적및재료집계";#N/A,#N/A,TRUE,"토적및재료집계";#N/A,#N/A,TRUE,"단위량"}</definedName>
    <definedName name="ㅂㄱㄹㄷㅈㅅㄷ4ㅈ" localSheetId="1" hidden="1">#REF!</definedName>
    <definedName name="ㅂㄱㄹㄷㅈㅅㄷ4ㅈ" localSheetId="0" hidden="1">#REF!</definedName>
    <definedName name="ㅂㄱㄹㄷㅈㅅㄷ4ㅈ" hidden="1">#REF!</definedName>
    <definedName name="ㅂㄴㅊㅂㄴ" hidden="1">'[33]N賃率-職'!$I$5:$I$30</definedName>
    <definedName name="ㅂㅂ" localSheetId="5" hidden="1">#REF!</definedName>
    <definedName name="ㅂㅂ" localSheetId="1" hidden="1">#REF!</definedName>
    <definedName name="ㅂㅂ" localSheetId="0" hidden="1">#REF!</definedName>
    <definedName name="ㅂㅂ" hidden="1">#REF!</definedName>
    <definedName name="ㅂㅂㅂ" localSheetId="1" hidden="1">#REF!</definedName>
    <definedName name="ㅂㅂㅂ" localSheetId="0" hidden="1">#REF!</definedName>
    <definedName name="ㅂㅂㅂ" hidden="1">#REF!</definedName>
    <definedName name="ㅂㅂㅂㅂㅂㅂ" localSheetId="3" hidden="1">{"'용역비'!$A$4:$C$8"}</definedName>
    <definedName name="ㅂㅂㅂㅂㅂㅂ" localSheetId="4" hidden="1">{"'용역비'!$A$4:$C$8"}</definedName>
    <definedName name="ㅂㅂㅂㅂㅂㅂ" localSheetId="5" hidden="1">{"'용역비'!$A$4:$C$8"}</definedName>
    <definedName name="ㅂㅂㅂㅂㅂㅂ" localSheetId="6" hidden="1">{"'용역비'!$A$4:$C$8"}</definedName>
    <definedName name="ㅂㅂㅂㅂㅂㅂ" localSheetId="7" hidden="1">{"'용역비'!$A$4:$C$8"}</definedName>
    <definedName name="ㅂㅂㅂㅂㅂㅂ" localSheetId="1" hidden="1">{"'용역비'!$A$4:$C$8"}</definedName>
    <definedName name="ㅂㅂㅂㅂㅂㅂ" localSheetId="0" hidden="1">{"'용역비'!$A$4:$C$8"}</definedName>
    <definedName name="ㅂㅂㅂㅂㅂㅂ" hidden="1">{"'용역비'!$A$4:$C$8"}</definedName>
    <definedName name="ㅂㅈㄷㄱㅈㅂ" hidden="1">#REF!</definedName>
    <definedName name="ㅂㅈㅇㅂㅈㅇ" localSheetId="3" hidden="1">{"'공사부문'!$A$6:$A$32"}</definedName>
    <definedName name="ㅂㅈㅇㅂㅈㅇ" localSheetId="4" hidden="1">{"'공사부문'!$A$6:$A$32"}</definedName>
    <definedName name="ㅂㅈㅇㅂㅈㅇ" localSheetId="5" hidden="1">{"'공사부문'!$A$6:$A$32"}</definedName>
    <definedName name="ㅂㅈㅇㅂㅈㅇ" localSheetId="6" hidden="1">{"'공사부문'!$A$6:$A$32"}</definedName>
    <definedName name="ㅂㅈㅇㅂㅈㅇ" localSheetId="7" hidden="1">{"'공사부문'!$A$6:$A$32"}</definedName>
    <definedName name="ㅂㅈㅇㅂㅈㅇ" localSheetId="1" hidden="1">{"'공사부문'!$A$6:$A$32"}</definedName>
    <definedName name="ㅂㅈㅇㅂㅈㅇ" localSheetId="0" hidden="1">{"'공사부문'!$A$6:$A$32"}</definedName>
    <definedName name="ㅂㅈㅇㅂㅈㅇ" hidden="1">{"'공사부문'!$A$6:$A$32"}</definedName>
    <definedName name="바" localSheetId="3" hidden="1">{#N/A,#N/A,FALSE,"ALM-ASISC"}</definedName>
    <definedName name="바" localSheetId="4" hidden="1">{#N/A,#N/A,FALSE,"ALM-ASISC"}</definedName>
    <definedName name="바" localSheetId="5" hidden="1">{#N/A,#N/A,FALSE,"ALM-ASISC"}</definedName>
    <definedName name="바" localSheetId="6" hidden="1">{#N/A,#N/A,FALSE,"ALM-ASISC"}</definedName>
    <definedName name="바" localSheetId="1" hidden="1">{#N/A,#N/A,FALSE,"ALM-ASISC"}</definedName>
    <definedName name="바" hidden="1">{#N/A,#N/A,FALSE,"ALM-ASISC"}</definedName>
    <definedName name="배관공수율" hidden="1">'[13]N賃率-職'!$I$5:$I$30</definedName>
    <definedName name="백서_시작">[11]WBS!#REF!</definedName>
    <definedName name="백서_종료">[11]WBS!#REF!</definedName>
    <definedName name="백서_현황">[11]WBS!#REF!</definedName>
    <definedName name="변경내역" localSheetId="3" hidden="1">{#N/A,#N/A,FALSE,"3가";#N/A,#N/A,FALSE,"3나";#N/A,#N/A,FALSE,"3다"}</definedName>
    <definedName name="변경내역" localSheetId="4" hidden="1">{#N/A,#N/A,FALSE,"3가";#N/A,#N/A,FALSE,"3나";#N/A,#N/A,FALSE,"3다"}</definedName>
    <definedName name="변경내역" localSheetId="5" hidden="1">{#N/A,#N/A,FALSE,"3가";#N/A,#N/A,FALSE,"3나";#N/A,#N/A,FALSE,"3다"}</definedName>
    <definedName name="변경내역" localSheetId="6" hidden="1">{#N/A,#N/A,FALSE,"3가";#N/A,#N/A,FALSE,"3나";#N/A,#N/A,FALSE,"3다"}</definedName>
    <definedName name="변경내역" localSheetId="1" hidden="1">{#N/A,#N/A,FALSE,"3가";#N/A,#N/A,FALSE,"3나";#N/A,#N/A,FALSE,"3다"}</definedName>
    <definedName name="변경내역" hidden="1">{#N/A,#N/A,FALSE,"3가";#N/A,#N/A,FALSE,"3나";#N/A,#N/A,FALSE,"3다"}</definedName>
    <definedName name="별도BEP" localSheetId="3" hidden="1">{#N/A,#N/A,FALSE,"정공"}</definedName>
    <definedName name="별도BEP" localSheetId="4" hidden="1">{#N/A,#N/A,FALSE,"정공"}</definedName>
    <definedName name="별도BEP" localSheetId="5" hidden="1">{#N/A,#N/A,FALSE,"정공"}</definedName>
    <definedName name="별도BEP" localSheetId="6" hidden="1">{#N/A,#N/A,FALSE,"정공"}</definedName>
    <definedName name="별도BEP" localSheetId="7" hidden="1">{#N/A,#N/A,FALSE,"정공"}</definedName>
    <definedName name="별도BEP" localSheetId="1" hidden="1">{#N/A,#N/A,FALSE,"정공"}</definedName>
    <definedName name="별도BEP" localSheetId="0" hidden="1">{#N/A,#N/A,FALSE,"정공"}</definedName>
    <definedName name="별도BEP" hidden="1">{#N/A,#N/A,FALSE,"정공"}</definedName>
    <definedName name="보" localSheetId="3" hidden="1">{#N/A,#N/A,FALSE,"3가";#N/A,#N/A,FALSE,"3나";#N/A,#N/A,FALSE,"3다"}</definedName>
    <definedName name="보" localSheetId="4" hidden="1">{#N/A,#N/A,FALSE,"3가";#N/A,#N/A,FALSE,"3나";#N/A,#N/A,FALSE,"3다"}</definedName>
    <definedName name="보" localSheetId="5" hidden="1">{#N/A,#N/A,FALSE,"3가";#N/A,#N/A,FALSE,"3나";#N/A,#N/A,FALSE,"3다"}</definedName>
    <definedName name="보" localSheetId="6" hidden="1">{#N/A,#N/A,FALSE,"3가";#N/A,#N/A,FALSE,"3나";#N/A,#N/A,FALSE,"3다"}</definedName>
    <definedName name="보" localSheetId="1" hidden="1">{#N/A,#N/A,FALSE,"3가";#N/A,#N/A,FALSE,"3나";#N/A,#N/A,FALSE,"3다"}</definedName>
    <definedName name="보" hidden="1">{#N/A,#N/A,FALSE,"3가";#N/A,#N/A,FALSE,"3나";#N/A,#N/A,FALSE,"3다"}</definedName>
    <definedName name="보링" localSheetId="3" hidden="1">{#N/A,#N/A,FALSE,"포장2"}</definedName>
    <definedName name="보링" localSheetId="4" hidden="1">{#N/A,#N/A,FALSE,"포장2"}</definedName>
    <definedName name="보링" localSheetId="5" hidden="1">{#N/A,#N/A,FALSE,"포장2"}</definedName>
    <definedName name="보링" localSheetId="6" hidden="1">{#N/A,#N/A,FALSE,"포장2"}</definedName>
    <definedName name="보링" localSheetId="7" hidden="1">{#N/A,#N/A,FALSE,"포장2"}</definedName>
    <definedName name="보링" localSheetId="1" hidden="1">{#N/A,#N/A,FALSE,"포장2"}</definedName>
    <definedName name="보링" localSheetId="0" hidden="1">{#N/A,#N/A,FALSE,"포장2"}</definedName>
    <definedName name="보링" hidden="1">{#N/A,#N/A,FALSE,"포장2"}</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3" hidden="1">{#N/A,#N/A,FALSE,"현장 NCR 분석";#N/A,#N/A,FALSE,"현장품질감사";#N/A,#N/A,FALSE,"현장품질감사"}</definedName>
    <definedName name="부" localSheetId="4" hidden="1">{#N/A,#N/A,FALSE,"현장 NCR 분석";#N/A,#N/A,FALSE,"현장품질감사";#N/A,#N/A,FALSE,"현장품질감사"}</definedName>
    <definedName name="부" localSheetId="5" hidden="1">{#N/A,#N/A,FALSE,"현장 NCR 분석";#N/A,#N/A,FALSE,"현장품질감사";#N/A,#N/A,FALSE,"현장품질감사"}</definedName>
    <definedName name="부" localSheetId="6" hidden="1">{#N/A,#N/A,FALSE,"현장 NCR 분석";#N/A,#N/A,FALSE,"현장품질감사";#N/A,#N/A,FALSE,"현장품질감사"}</definedName>
    <definedName name="부" localSheetId="1" hidden="1">{#N/A,#N/A,FALSE,"현장 NCR 분석";#N/A,#N/A,FALSE,"현장품질감사";#N/A,#N/A,FALSE,"현장품질감사"}</definedName>
    <definedName name="부" hidden="1">{#N/A,#N/A,FALSE,"현장 NCR 분석";#N/A,#N/A,FALSE,"현장품질감사";#N/A,#N/A,FALSE,"현장품질감사"}</definedName>
    <definedName name="부대원가" localSheetId="3" hidden="1">{#N/A,#N/A,FALSE,"배수2"}</definedName>
    <definedName name="부대원가" localSheetId="4" hidden="1">{#N/A,#N/A,FALSE,"배수2"}</definedName>
    <definedName name="부대원가" localSheetId="5" hidden="1">{#N/A,#N/A,FALSE,"배수2"}</definedName>
    <definedName name="부대원가" localSheetId="6" hidden="1">{#N/A,#N/A,FALSE,"배수2"}</definedName>
    <definedName name="부대원가" localSheetId="7" hidden="1">{#N/A,#N/A,FALSE,"배수2"}</definedName>
    <definedName name="부대원가" localSheetId="1" hidden="1">{#N/A,#N/A,FALSE,"배수2"}</definedName>
    <definedName name="부대원가" localSheetId="0" hidden="1">{#N/A,#N/A,FALSE,"배수2"}</definedName>
    <definedName name="부대원가" hidden="1">{#N/A,#N/A,FALSE,"배수2"}</definedName>
    <definedName name="부산" localSheetId="3" hidden="1">{#N/A,#N/A,FALSE,"3가";#N/A,#N/A,FALSE,"3나";#N/A,#N/A,FALSE,"3다"}</definedName>
    <definedName name="부산" localSheetId="4" hidden="1">{#N/A,#N/A,FALSE,"3가";#N/A,#N/A,FALSE,"3나";#N/A,#N/A,FALSE,"3다"}</definedName>
    <definedName name="부산" localSheetId="5" hidden="1">{#N/A,#N/A,FALSE,"3가";#N/A,#N/A,FALSE,"3나";#N/A,#N/A,FALSE,"3다"}</definedName>
    <definedName name="부산" localSheetId="6" hidden="1">{#N/A,#N/A,FALSE,"3가";#N/A,#N/A,FALSE,"3나";#N/A,#N/A,FALSE,"3다"}</definedName>
    <definedName name="부산" localSheetId="1" hidden="1">{#N/A,#N/A,FALSE,"3가";#N/A,#N/A,FALSE,"3나";#N/A,#N/A,FALSE,"3다"}</definedName>
    <definedName name="부산" hidden="1">{#N/A,#N/A,FALSE,"3가";#N/A,#N/A,FALSE,"3나";#N/A,#N/A,FALSE,"3다"}</definedName>
    <definedName name="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3" hidden="1">{#N/A,#N/A,FALSE,"현장 NCR 분석";#N/A,#N/A,FALSE,"현장품질감사";#N/A,#N/A,FALSE,"현장품질감사"}</definedName>
    <definedName name="부손익" localSheetId="4" hidden="1">{#N/A,#N/A,FALSE,"현장 NCR 분석";#N/A,#N/A,FALSE,"현장품질감사";#N/A,#N/A,FALSE,"현장품질감사"}</definedName>
    <definedName name="부손익" localSheetId="5" hidden="1">{#N/A,#N/A,FALSE,"현장 NCR 분석";#N/A,#N/A,FALSE,"현장품질감사";#N/A,#N/A,FALSE,"현장품질감사"}</definedName>
    <definedName name="부손익" localSheetId="6" hidden="1">{#N/A,#N/A,FALSE,"현장 NCR 분석";#N/A,#N/A,FALSE,"현장품질감사";#N/A,#N/A,FALSE,"현장품질감사"}</definedName>
    <definedName name="부손익" localSheetId="1" hidden="1">{#N/A,#N/A,FALSE,"현장 NCR 분석";#N/A,#N/A,FALSE,"현장품질감사";#N/A,#N/A,FALSE,"현장품질감사"}</definedName>
    <definedName name="부손익" hidden="1">{#N/A,#N/A,FALSE,"현장 NCR 분석";#N/A,#N/A,FALSE,"현장품질감사";#N/A,#N/A,FALSE,"현장품질감사"}</definedName>
    <definedName name="분석_시작">[11]WBS!$H$144:$H$154</definedName>
    <definedName name="분석_완료">[11]WBS!$I$144:$I$154</definedName>
    <definedName name="분석_현황">[11]WBS!$F$144:$F$154</definedName>
    <definedName name="분야"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3" hidden="1">{#N/A,#N/A,TRUE,"토적및재료집계";#N/A,#N/A,TRUE,"토적및재료집계";#N/A,#N/A,TRUE,"단위량"}</definedName>
    <definedName name="ㅅ" localSheetId="4" hidden="1">{#N/A,#N/A,TRUE,"토적및재료집계";#N/A,#N/A,TRUE,"토적및재료집계";#N/A,#N/A,TRUE,"단위량"}</definedName>
    <definedName name="ㅅ" localSheetId="5" hidden="1">{#N/A,#N/A,TRUE,"토적및재료집계";#N/A,#N/A,TRUE,"토적및재료집계";#N/A,#N/A,TRUE,"단위량"}</definedName>
    <definedName name="ㅅ" localSheetId="6" hidden="1">{#N/A,#N/A,TRUE,"토적및재료집계";#N/A,#N/A,TRUE,"토적및재료집계";#N/A,#N/A,TRUE,"단위량"}</definedName>
    <definedName name="ㅅ" localSheetId="7" hidden="1">{#N/A,#N/A,TRUE,"토적및재료집계";#N/A,#N/A,TRUE,"토적및재료집계";#N/A,#N/A,TRUE,"단위량"}</definedName>
    <definedName name="ㅅ" localSheetId="1" hidden="1">{#N/A,#N/A,TRUE,"토적및재료집계";#N/A,#N/A,TRUE,"토적및재료집계";#N/A,#N/A,TRUE,"단위량"}</definedName>
    <definedName name="ㅅ" localSheetId="0" hidden="1">{#N/A,#N/A,TRUE,"토적및재료집계";#N/A,#N/A,TRUE,"토적및재료집계";#N/A,#N/A,TRUE,"단위량"}</definedName>
    <definedName name="ㅅ" hidden="1">{#N/A,#N/A,TRUE,"토적및재료집계";#N/A,#N/A,TRUE,"토적및재료집계";#N/A,#N/A,TRUE,"단위량"}</definedName>
    <definedName name="ㅅㄱㅈ" hidden="1">#REF!</definedName>
    <definedName name="ㅅㄷㄴㅅ" localSheetId="3" hidden="1">{#N/A,#N/A,TRUE,"토적및재료집계";#N/A,#N/A,TRUE,"토적및재료집계";#N/A,#N/A,TRUE,"단위량"}</definedName>
    <definedName name="ㅅㄷㄴㅅ" localSheetId="4" hidden="1">{#N/A,#N/A,TRUE,"토적및재료집계";#N/A,#N/A,TRUE,"토적및재료집계";#N/A,#N/A,TRUE,"단위량"}</definedName>
    <definedName name="ㅅㄷㄴㅅ" localSheetId="5" hidden="1">{#N/A,#N/A,TRUE,"토적및재료집계";#N/A,#N/A,TRUE,"토적및재료집계";#N/A,#N/A,TRUE,"단위량"}</definedName>
    <definedName name="ㅅㄷㄴㅅ" localSheetId="6" hidden="1">{#N/A,#N/A,TRUE,"토적및재료집계";#N/A,#N/A,TRUE,"토적및재료집계";#N/A,#N/A,TRUE,"단위량"}</definedName>
    <definedName name="ㅅㄷㄴㅅ" localSheetId="7" hidden="1">{#N/A,#N/A,TRUE,"토적및재료집계";#N/A,#N/A,TRUE,"토적및재료집계";#N/A,#N/A,TRUE,"단위량"}</definedName>
    <definedName name="ㅅㄷㄴㅅ" localSheetId="1" hidden="1">{#N/A,#N/A,TRUE,"토적및재료집계";#N/A,#N/A,TRUE,"토적및재료집계";#N/A,#N/A,TRUE,"단위량"}</definedName>
    <definedName name="ㅅㄷㄴㅅ" localSheetId="0" hidden="1">{#N/A,#N/A,TRUE,"토적및재료집계";#N/A,#N/A,TRUE,"토적및재료집계";#N/A,#N/A,TRUE,"단위량"}</definedName>
    <definedName name="ㅅㄷㄴㅅ" hidden="1">{#N/A,#N/A,TRUE,"토적및재료집계";#N/A,#N/A,TRUE,"토적및재료집계";#N/A,#N/A,TRUE,"단위량"}</definedName>
    <definedName name="ㅅㅅ" hidden="1">#REF!</definedName>
    <definedName name="ㅅㅅㅅ" hidden="1">#REF!</definedName>
    <definedName name="사" localSheetId="1" hidden="1">{#N/A,#N/A,FALSE,"ALM-ASISC"}</definedName>
    <definedName name="사" localSheetId="0" hidden="1">{#N/A,#N/A,FALSE,"ALM-ASISC"}</definedName>
    <definedName name="사" hidden="1">#REF!</definedName>
    <definedName name="사급" localSheetId="3" hidden="1">{#N/A,#N/A,FALSE,"배수2"}</definedName>
    <definedName name="사급" localSheetId="4" hidden="1">{#N/A,#N/A,FALSE,"배수2"}</definedName>
    <definedName name="사급" localSheetId="5" hidden="1">{#N/A,#N/A,FALSE,"배수2"}</definedName>
    <definedName name="사급" localSheetId="6" hidden="1">{#N/A,#N/A,FALSE,"배수2"}</definedName>
    <definedName name="사급" localSheetId="7" hidden="1">{#N/A,#N/A,FALSE,"배수2"}</definedName>
    <definedName name="사급" localSheetId="1" hidden="1">{#N/A,#N/A,FALSE,"배수2"}</definedName>
    <definedName name="사급" localSheetId="0" hidden="1">{#N/A,#N/A,FALSE,"배수2"}</definedName>
    <definedName name="사급" hidden="1">{#N/A,#N/A,FALSE,"배수2"}</definedName>
    <definedName name="사업추진" localSheetId="3" hidden="1">{#N/A,#N/A,FALSE,"정공"}</definedName>
    <definedName name="사업추진" localSheetId="4" hidden="1">{#N/A,#N/A,FALSE,"정공"}</definedName>
    <definedName name="사업추진" localSheetId="5" hidden="1">{#N/A,#N/A,FALSE,"정공"}</definedName>
    <definedName name="사업추진" localSheetId="6" hidden="1">{#N/A,#N/A,FALSE,"정공"}</definedName>
    <definedName name="사업추진" localSheetId="7" hidden="1">{#N/A,#N/A,FALSE,"정공"}</definedName>
    <definedName name="사업추진" localSheetId="1" hidden="1">{#N/A,#N/A,FALSE,"정공"}</definedName>
    <definedName name="사업추진" localSheetId="0" hidden="1">{#N/A,#N/A,FALSE,"정공"}</definedName>
    <definedName name="사업추진" hidden="1">{#N/A,#N/A,FALSE,"정공"}</definedName>
    <definedName name="사인원가" hidden="1">'[38]#REF'!#REF!</definedName>
    <definedName name="산출물명" localSheetId="9">'[39]1.표지 '!$C$4</definedName>
    <definedName name="산출물명" localSheetId="5">'[40]1.표지 '!$C$4</definedName>
    <definedName name="산출물명" localSheetId="6">'[41]1.표지 '!$C$4</definedName>
    <definedName name="산출물명" localSheetId="7">'[42]1.표지 '!$C$4</definedName>
    <definedName name="산출물명" localSheetId="1">'[43]1.표지 '!$C$4</definedName>
    <definedName name="산출물명" localSheetId="0">'[43]1.표지 '!$C$4</definedName>
    <definedName name="산출물명">#REF!</definedName>
    <definedName name="삼성" localSheetId="3" hidden="1">{#N/A,#N/A,FALSE,"정공"}</definedName>
    <definedName name="삼성" localSheetId="4" hidden="1">{#N/A,#N/A,FALSE,"정공"}</definedName>
    <definedName name="삼성" localSheetId="5" hidden="1">{#N/A,#N/A,FALSE,"정공"}</definedName>
    <definedName name="삼성" localSheetId="6" hidden="1">{#N/A,#N/A,FALSE,"정공"}</definedName>
    <definedName name="삼성" localSheetId="7" hidden="1">{#N/A,#N/A,FALSE,"정공"}</definedName>
    <definedName name="삼성" localSheetId="1" hidden="1">{#N/A,#N/A,FALSE,"정공"}</definedName>
    <definedName name="삼성" localSheetId="0" hidden="1">{#N/A,#N/A,FALSE,"정공"}</definedName>
    <definedName name="삼성" hidden="1">{#N/A,#N/A,FALSE,"정공"}</definedName>
    <definedName name="삼호" localSheetId="3" hidden="1">{#N/A,#N/A,FALSE,"배수2"}</definedName>
    <definedName name="삼호" localSheetId="4" hidden="1">{#N/A,#N/A,FALSE,"배수2"}</definedName>
    <definedName name="삼호" localSheetId="5" hidden="1">{#N/A,#N/A,FALSE,"배수2"}</definedName>
    <definedName name="삼호" localSheetId="6" hidden="1">{#N/A,#N/A,FALSE,"배수2"}</definedName>
    <definedName name="삼호" localSheetId="7" hidden="1">{#N/A,#N/A,FALSE,"배수2"}</definedName>
    <definedName name="삼호" localSheetId="1" hidden="1">{#N/A,#N/A,FALSE,"배수2"}</definedName>
    <definedName name="삼호" localSheetId="0" hidden="1">{#N/A,#N/A,FALSE,"배수2"}</definedName>
    <definedName name="삼호" hidden="1">{#N/A,#N/A,FALSE,"배수2"}</definedName>
    <definedName name="설계_시작">[11]WBS!$H$156:$H$160</definedName>
    <definedName name="설계_완료">[11]WBS!$I$156:$I$160</definedName>
    <definedName name="설계_현황">[11]WBS!$F$156:$F$160</definedName>
    <definedName name="설계감리_시작">[11]WBS!$H$86:$H$88</definedName>
    <definedName name="설계감리_종료">[11]WBS!$I$86:$I$88</definedName>
    <definedName name="설계감리_현황">[11]WBS!$F$86:$F$88</definedName>
    <definedName name="설명서" localSheetId="3" hidden="1">{#N/A,#N/A,FALSE,"포장1";#N/A,#N/A,FALSE,"포장1"}</definedName>
    <definedName name="설명서" localSheetId="4" hidden="1">{#N/A,#N/A,FALSE,"포장1";#N/A,#N/A,FALSE,"포장1"}</definedName>
    <definedName name="설명서" localSheetId="5" hidden="1">{#N/A,#N/A,FALSE,"포장1";#N/A,#N/A,FALSE,"포장1"}</definedName>
    <definedName name="설명서" localSheetId="6" hidden="1">{#N/A,#N/A,FALSE,"포장1";#N/A,#N/A,FALSE,"포장1"}</definedName>
    <definedName name="설명서" localSheetId="7" hidden="1">{#N/A,#N/A,FALSE,"포장1";#N/A,#N/A,FALSE,"포장1"}</definedName>
    <definedName name="설명서" localSheetId="1" hidden="1">{#N/A,#N/A,FALSE,"포장1";#N/A,#N/A,FALSE,"포장1"}</definedName>
    <definedName name="설명서" localSheetId="0" hidden="1">{#N/A,#N/A,FALSE,"포장1";#N/A,#N/A,FALSE,"포장1"}</definedName>
    <definedName name="설명서" hidden="1">{#N/A,#N/A,FALSE,"포장1";#N/A,#N/A,FALSE,"포장1"}</definedName>
    <definedName name="설비" localSheetId="3" hidden="1">{#N/A,#N/A,TRUE,"토적및재료집계";#N/A,#N/A,TRUE,"토적및재료집계";#N/A,#N/A,TRUE,"단위량"}</definedName>
    <definedName name="설비" localSheetId="4" hidden="1">{#N/A,#N/A,TRUE,"토적및재료집계";#N/A,#N/A,TRUE,"토적및재료집계";#N/A,#N/A,TRUE,"단위량"}</definedName>
    <definedName name="설비" localSheetId="5" hidden="1">{#N/A,#N/A,TRUE,"토적및재료집계";#N/A,#N/A,TRUE,"토적및재료집계";#N/A,#N/A,TRUE,"단위량"}</definedName>
    <definedName name="설비" localSheetId="6" hidden="1">{#N/A,#N/A,TRUE,"토적및재료집계";#N/A,#N/A,TRUE,"토적및재료집계";#N/A,#N/A,TRUE,"단위량"}</definedName>
    <definedName name="설비" localSheetId="7" hidden="1">{#N/A,#N/A,TRUE,"토적및재료집계";#N/A,#N/A,TRUE,"토적및재료집계";#N/A,#N/A,TRUE,"단위량"}</definedName>
    <definedName name="설비" localSheetId="1" hidden="1">{#N/A,#N/A,TRUE,"토적및재료집계";#N/A,#N/A,TRUE,"토적및재료집계";#N/A,#N/A,TRUE,"단위량"}</definedName>
    <definedName name="설비" localSheetId="0" hidden="1">{#N/A,#N/A,TRUE,"토적및재료집계";#N/A,#N/A,TRUE,"토적및재료집계";#N/A,#N/A,TRUE,"단위량"}</definedName>
    <definedName name="설비" hidden="1">{#N/A,#N/A,TRUE,"토적및재료집계";#N/A,#N/A,TRUE,"토적및재료집계";#N/A,#N/A,TRUE,"단위량"}</definedName>
    <definedName name="설비관리HW" localSheetId="3" hidden="1">{"'Price List '!$A$1:$R$156"}</definedName>
    <definedName name="설비관리HW" localSheetId="4" hidden="1">{"'Price List '!$A$1:$R$156"}</definedName>
    <definedName name="설비관리HW" localSheetId="5" hidden="1">{"'Price List '!$A$1:$R$156"}</definedName>
    <definedName name="설비관리HW" localSheetId="6" hidden="1">{"'Price List '!$A$1:$R$156"}</definedName>
    <definedName name="설비관리HW" localSheetId="1" hidden="1">{"'Price List '!$A$1:$R$156"}</definedName>
    <definedName name="설비관리HW" hidden="1">{"'Price List '!$A$1:$R$156"}</definedName>
    <definedName name="설비관리SW" localSheetId="3" hidden="1">{"'Price List '!$A$1:$R$156"}</definedName>
    <definedName name="설비관리SW" localSheetId="4" hidden="1">{"'Price List '!$A$1:$R$156"}</definedName>
    <definedName name="설비관리SW" localSheetId="5" hidden="1">{"'Price List '!$A$1:$R$156"}</definedName>
    <definedName name="설비관리SW" localSheetId="6" hidden="1">{"'Price List '!$A$1:$R$156"}</definedName>
    <definedName name="설비관리SW" localSheetId="1" hidden="1">{"'Price List '!$A$1:$R$156"}</definedName>
    <definedName name="설비관리SW" hidden="1">{"'Price List '!$A$1:$R$156"}</definedName>
    <definedName name="손익신규" localSheetId="1" hidden="1">#REF!</definedName>
    <definedName name="손익신규" localSheetId="0" hidden="1">#REF!</definedName>
    <definedName name="손익신규" hidden="1">#REF!</definedName>
    <definedName name="손익신규2" localSheetId="1" hidden="1">#REF!</definedName>
    <definedName name="손익신규2" localSheetId="0" hidden="1">#REF!</definedName>
    <definedName name="손익신규2" hidden="1">#REF!</definedName>
    <definedName name="송익" localSheetId="3" hidden="1">{#N/A,#N/A,FALSE,"정공"}</definedName>
    <definedName name="송익" localSheetId="4" hidden="1">{#N/A,#N/A,FALSE,"정공"}</definedName>
    <definedName name="송익" localSheetId="5" hidden="1">{#N/A,#N/A,FALSE,"정공"}</definedName>
    <definedName name="송익" localSheetId="6" hidden="1">{#N/A,#N/A,FALSE,"정공"}</definedName>
    <definedName name="송익" localSheetId="7" hidden="1">{#N/A,#N/A,FALSE,"정공"}</definedName>
    <definedName name="송익" localSheetId="1" hidden="1">{#N/A,#N/A,FALSE,"정공"}</definedName>
    <definedName name="송익" localSheetId="0" hidden="1">{#N/A,#N/A,FALSE,"정공"}</definedName>
    <definedName name="송익" hidden="1">{#N/A,#N/A,FALSE,"정공"}</definedName>
    <definedName name="숃" hidden="1">'[32]N賃率-職'!$I$5:$I$30</definedName>
    <definedName name="수" localSheetId="1" hidden="1">{#N/A,#N/A,FALSE,"ALM-ASISC"}</definedName>
    <definedName name="수" localSheetId="0" hidden="1">{#N/A,#N/A,FALSE,"ALM-ASISC"}</definedName>
    <definedName name="수" hidden="1">#REF!</definedName>
    <definedName name="수2" localSheetId="3" hidden="1">{#N/A,#N/A,TRUE,"토적및재료집계";#N/A,#N/A,TRUE,"토적및재료집계";#N/A,#N/A,TRUE,"단위량"}</definedName>
    <definedName name="수2" localSheetId="4" hidden="1">{#N/A,#N/A,TRUE,"토적및재료집계";#N/A,#N/A,TRUE,"토적및재료집계";#N/A,#N/A,TRUE,"단위량"}</definedName>
    <definedName name="수2" localSheetId="5" hidden="1">{#N/A,#N/A,TRUE,"토적및재료집계";#N/A,#N/A,TRUE,"토적및재료집계";#N/A,#N/A,TRUE,"단위량"}</definedName>
    <definedName name="수2" localSheetId="6" hidden="1">{#N/A,#N/A,TRUE,"토적및재료집계";#N/A,#N/A,TRUE,"토적및재료집계";#N/A,#N/A,TRUE,"단위량"}</definedName>
    <definedName name="수2" localSheetId="7" hidden="1">{#N/A,#N/A,TRUE,"토적및재료집계";#N/A,#N/A,TRUE,"토적및재료집계";#N/A,#N/A,TRUE,"단위량"}</definedName>
    <definedName name="수2" localSheetId="1" hidden="1">{#N/A,#N/A,TRUE,"토적및재료집계";#N/A,#N/A,TRUE,"토적및재료집계";#N/A,#N/A,TRUE,"단위량"}</definedName>
    <definedName name="수2" localSheetId="0" hidden="1">{#N/A,#N/A,TRUE,"토적및재료집계";#N/A,#N/A,TRUE,"토적및재료집계";#N/A,#N/A,TRUE,"단위량"}</definedName>
    <definedName name="수2" hidden="1">{#N/A,#N/A,TRUE,"토적및재료집계";#N/A,#N/A,TRUE,"토적및재료집계";#N/A,#N/A,TRUE,"단위량"}</definedName>
    <definedName name="수3" localSheetId="3" hidden="1">{#N/A,#N/A,TRUE,"토적및재료집계";#N/A,#N/A,TRUE,"토적및재료집계";#N/A,#N/A,TRUE,"단위량"}</definedName>
    <definedName name="수3" localSheetId="4" hidden="1">{#N/A,#N/A,TRUE,"토적및재료집계";#N/A,#N/A,TRUE,"토적및재료집계";#N/A,#N/A,TRUE,"단위량"}</definedName>
    <definedName name="수3" localSheetId="5" hidden="1">{#N/A,#N/A,TRUE,"토적및재료집계";#N/A,#N/A,TRUE,"토적및재료집계";#N/A,#N/A,TRUE,"단위량"}</definedName>
    <definedName name="수3" localSheetId="6" hidden="1">{#N/A,#N/A,TRUE,"토적및재료집계";#N/A,#N/A,TRUE,"토적및재료집계";#N/A,#N/A,TRUE,"단위량"}</definedName>
    <definedName name="수3" localSheetId="7" hidden="1">{#N/A,#N/A,TRUE,"토적및재료집계";#N/A,#N/A,TRUE,"토적및재료집계";#N/A,#N/A,TRUE,"단위량"}</definedName>
    <definedName name="수3" localSheetId="1" hidden="1">{#N/A,#N/A,TRUE,"토적및재료집계";#N/A,#N/A,TRUE,"토적및재료집계";#N/A,#N/A,TRUE,"단위량"}</definedName>
    <definedName name="수3" localSheetId="0" hidden="1">{#N/A,#N/A,TRUE,"토적및재료집계";#N/A,#N/A,TRUE,"토적및재료집계";#N/A,#N/A,TRUE,"단위량"}</definedName>
    <definedName name="수3" hidden="1">{#N/A,#N/A,TRUE,"토적및재료집계";#N/A,#N/A,TRUE,"토적및재료집계";#N/A,#N/A,TRUE,"단위량"}</definedName>
    <definedName name="수량추정" localSheetId="3" hidden="1">{#N/A,#N/A,FALSE,"정공"}</definedName>
    <definedName name="수량추정" localSheetId="4" hidden="1">{#N/A,#N/A,FALSE,"정공"}</definedName>
    <definedName name="수량추정" localSheetId="5" hidden="1">{#N/A,#N/A,FALSE,"정공"}</definedName>
    <definedName name="수량추정" localSheetId="6" hidden="1">{#N/A,#N/A,FALSE,"정공"}</definedName>
    <definedName name="수량추정" localSheetId="7" hidden="1">{#N/A,#N/A,FALSE,"정공"}</definedName>
    <definedName name="수량추정" localSheetId="1" hidden="1">{#N/A,#N/A,FALSE,"정공"}</definedName>
    <definedName name="수량추정" localSheetId="0" hidden="1">{#N/A,#N/A,FALSE,"정공"}</definedName>
    <definedName name="수량추정" hidden="1">{#N/A,#N/A,FALSE,"정공"}</definedName>
    <definedName name="수정" localSheetId="3" hidden="1">{#N/A,#N/A,FALSE,"ALM-ASISC"}</definedName>
    <definedName name="수정" localSheetId="4" hidden="1">{#N/A,#N/A,FALSE,"ALM-ASISC"}</definedName>
    <definedName name="수정" localSheetId="5" hidden="1">{#N/A,#N/A,FALSE,"ALM-ASISC"}</definedName>
    <definedName name="수정" localSheetId="6" hidden="1">{#N/A,#N/A,FALSE,"ALM-ASISC"}</definedName>
    <definedName name="수정" localSheetId="1" hidden="1">{#N/A,#N/A,FALSE,"ALM-ASISC"}</definedName>
    <definedName name="수정" hidden="1">{#N/A,#N/A,FALSE,"ALM-ASISC"}</definedName>
    <definedName name="수정1" localSheetId="3" hidden="1">{#N/A,#N/A,FALSE,"ALM-ASISC"}</definedName>
    <definedName name="수정1" localSheetId="4" hidden="1">{#N/A,#N/A,FALSE,"ALM-ASISC"}</definedName>
    <definedName name="수정1" localSheetId="5" hidden="1">{#N/A,#N/A,FALSE,"ALM-ASISC"}</definedName>
    <definedName name="수정1" localSheetId="6" hidden="1">{#N/A,#N/A,FALSE,"ALM-ASISC"}</definedName>
    <definedName name="수정1" localSheetId="1" hidden="1">{#N/A,#N/A,FALSE,"ALM-ASISC"}</definedName>
    <definedName name="수정1" hidden="1">{#N/A,#N/A,FALSE,"ALM-ASISC"}</definedName>
    <definedName name="수정2" localSheetId="3" hidden="1">{#N/A,#N/A,FALSE,"ALM-ASISC"}</definedName>
    <definedName name="수정2" localSheetId="4" hidden="1">{#N/A,#N/A,FALSE,"ALM-ASISC"}</definedName>
    <definedName name="수정2" localSheetId="5" hidden="1">{#N/A,#N/A,FALSE,"ALM-ASISC"}</definedName>
    <definedName name="수정2" localSheetId="6" hidden="1">{#N/A,#N/A,FALSE,"ALM-ASISC"}</definedName>
    <definedName name="수정2" localSheetId="1" hidden="1">{#N/A,#N/A,FALSE,"ALM-ASISC"}</definedName>
    <definedName name="수정2" hidden="1">{#N/A,#N/A,FALSE,"ALM-ASISC"}</definedName>
    <definedName name="수정3" localSheetId="3" hidden="1">{#N/A,#N/A,FALSE,"ALM-ASISC"}</definedName>
    <definedName name="수정3" localSheetId="4" hidden="1">{#N/A,#N/A,FALSE,"ALM-ASISC"}</definedName>
    <definedName name="수정3" localSheetId="5" hidden="1">{#N/A,#N/A,FALSE,"ALM-ASISC"}</definedName>
    <definedName name="수정3" localSheetId="6" hidden="1">{#N/A,#N/A,FALSE,"ALM-ASISC"}</definedName>
    <definedName name="수정3" localSheetId="1" hidden="1">{#N/A,#N/A,FALSE,"ALM-ASISC"}</definedName>
    <definedName name="수정3" hidden="1">{#N/A,#N/A,FALSE,"ALM-ASISC"}</definedName>
    <definedName name="수정4" localSheetId="3" hidden="1">{#N/A,#N/A,FALSE,"ALM-ASISC"}</definedName>
    <definedName name="수정4" localSheetId="4" hidden="1">{#N/A,#N/A,FALSE,"ALM-ASISC"}</definedName>
    <definedName name="수정4" localSheetId="5" hidden="1">{#N/A,#N/A,FALSE,"ALM-ASISC"}</definedName>
    <definedName name="수정4" localSheetId="6" hidden="1">{#N/A,#N/A,FALSE,"ALM-ASISC"}</definedName>
    <definedName name="수정4" localSheetId="1" hidden="1">{#N/A,#N/A,FALSE,"ALM-ASISC"}</definedName>
    <definedName name="수정4" hidden="1">{#N/A,#N/A,FALSE,"ALM-ASISC"}</definedName>
    <definedName name="수정5" localSheetId="3" hidden="1">{#N/A,#N/A,FALSE,"ALM-ASISC"}</definedName>
    <definedName name="수정5" localSheetId="4" hidden="1">{#N/A,#N/A,FALSE,"ALM-ASISC"}</definedName>
    <definedName name="수정5" localSheetId="5" hidden="1">{#N/A,#N/A,FALSE,"ALM-ASISC"}</definedName>
    <definedName name="수정5" localSheetId="6" hidden="1">{#N/A,#N/A,FALSE,"ALM-ASISC"}</definedName>
    <definedName name="수정5" localSheetId="1" hidden="1">{#N/A,#N/A,FALSE,"ALM-ASISC"}</definedName>
    <definedName name="수정5" hidden="1">{#N/A,#N/A,FALSE,"ALM-ASISC"}</definedName>
    <definedName name="수정6" localSheetId="3" hidden="1">{#N/A,#N/A,FALSE,"ALM-ASISC"}</definedName>
    <definedName name="수정6" localSheetId="4" hidden="1">{#N/A,#N/A,FALSE,"ALM-ASISC"}</definedName>
    <definedName name="수정6" localSheetId="5" hidden="1">{#N/A,#N/A,FALSE,"ALM-ASISC"}</definedName>
    <definedName name="수정6" localSheetId="6" hidden="1">{#N/A,#N/A,FALSE,"ALM-ASISC"}</definedName>
    <definedName name="수정6" localSheetId="1" hidden="1">{#N/A,#N/A,FALSE,"ALM-ASISC"}</definedName>
    <definedName name="수정6" hidden="1">{#N/A,#N/A,FALSE,"ALM-ASISC"}</definedName>
    <definedName name="순공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중노임11"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험공정_시작">[11]WBS!$H$105:$H$107</definedName>
    <definedName name="시험공정_완료">[11]WBS!$I$105:$I$107</definedName>
    <definedName name="신설변경" localSheetId="3" hidden="1">{#N/A,#N/A,FALSE,"3가";#N/A,#N/A,FALSE,"3나";#N/A,#N/A,FALSE,"3다"}</definedName>
    <definedName name="신설변경" localSheetId="4" hidden="1">{#N/A,#N/A,FALSE,"3가";#N/A,#N/A,FALSE,"3나";#N/A,#N/A,FALSE,"3다"}</definedName>
    <definedName name="신설변경" localSheetId="5" hidden="1">{#N/A,#N/A,FALSE,"3가";#N/A,#N/A,FALSE,"3나";#N/A,#N/A,FALSE,"3다"}</definedName>
    <definedName name="신설변경" localSheetId="6" hidden="1">{#N/A,#N/A,FALSE,"3가";#N/A,#N/A,FALSE,"3나";#N/A,#N/A,FALSE,"3다"}</definedName>
    <definedName name="신설변경" localSheetId="1" hidden="1">{#N/A,#N/A,FALSE,"3가";#N/A,#N/A,FALSE,"3나";#N/A,#N/A,FALSE,"3다"}</definedName>
    <definedName name="신설변경" hidden="1">{#N/A,#N/A,FALSE,"3가";#N/A,#N/A,FALSE,"3나";#N/A,#N/A,FALSE,"3다"}</definedName>
    <definedName name="신설통계" localSheetId="3" hidden="1">{#N/A,#N/A,FALSE,"3가";#N/A,#N/A,FALSE,"3나";#N/A,#N/A,FALSE,"3다"}</definedName>
    <definedName name="신설통계" localSheetId="4" hidden="1">{#N/A,#N/A,FALSE,"3가";#N/A,#N/A,FALSE,"3나";#N/A,#N/A,FALSE,"3다"}</definedName>
    <definedName name="신설통계" localSheetId="5" hidden="1">{#N/A,#N/A,FALSE,"3가";#N/A,#N/A,FALSE,"3나";#N/A,#N/A,FALSE,"3다"}</definedName>
    <definedName name="신설통계" localSheetId="6" hidden="1">{#N/A,#N/A,FALSE,"3가";#N/A,#N/A,FALSE,"3나";#N/A,#N/A,FALSE,"3다"}</definedName>
    <definedName name="신설통계" localSheetId="1" hidden="1">{#N/A,#N/A,FALSE,"3가";#N/A,#N/A,FALSE,"3나";#N/A,#N/A,FALSE,"3다"}</definedName>
    <definedName name="신설통계" hidden="1">{#N/A,#N/A,FALSE,"3가";#N/A,#N/A,FALSE,"3나";#N/A,#N/A,FALSE,"3다"}</definedName>
    <definedName name="실행2" localSheetId="1" hidden="1">#REF!</definedName>
    <definedName name="실행2" localSheetId="0" hidden="1">#REF!</definedName>
    <definedName name="실행2" hidden="1">#REF!</definedName>
    <definedName name="ㅇㄴㅁ" hidden="1">[44]실행철강하도!$A$1:$A$4</definedName>
    <definedName name="ㅇ나닐ㄷ" localSheetId="3" hidden="1">{#N/A,#N/A,FALSE,"ALM-ASISC"}</definedName>
    <definedName name="ㅇ나닐ㄷ" localSheetId="4" hidden="1">{#N/A,#N/A,FALSE,"ALM-ASISC"}</definedName>
    <definedName name="ㅇ나닐ㄷ" localSheetId="5" hidden="1">{#N/A,#N/A,FALSE,"ALM-ASISC"}</definedName>
    <definedName name="ㅇ나닐ㄷ" localSheetId="6" hidden="1">{#N/A,#N/A,FALSE,"ALM-ASISC"}</definedName>
    <definedName name="ㅇ나닐ㄷ" localSheetId="1" hidden="1">{#N/A,#N/A,FALSE,"ALM-ASISC"}</definedName>
    <definedName name="ㅇ나닐ㄷ" hidden="1">{#N/A,#N/A,FALSE,"ALM-ASISC"}</definedName>
    <definedName name="ㅇㄹ" localSheetId="1" hidden="1">#REF!</definedName>
    <definedName name="ㅇㄹ" localSheetId="0" hidden="1">#REF!</definedName>
    <definedName name="ㅇㄹ" hidden="1">#REF!</definedName>
    <definedName name="ㅇㄹㄶㄴㅁ" hidden="1">'[45]N賃率-職'!$I$5:$I$30</definedName>
    <definedName name="ㅇㄹㄹ" hidden="1">'[46]N賃率-職'!$I$5:$I$30</definedName>
    <definedName name="ㅇㄹㅇ" localSheetId="3" hidden="1">{#N/A,#N/A,FALSE,"3가";#N/A,#N/A,FALSE,"3나";#N/A,#N/A,FALSE,"3다"}</definedName>
    <definedName name="ㅇㄹㅇ" localSheetId="4" hidden="1">{#N/A,#N/A,FALSE,"3가";#N/A,#N/A,FALSE,"3나";#N/A,#N/A,FALSE,"3다"}</definedName>
    <definedName name="ㅇㄹㅇ" localSheetId="5" hidden="1">{#N/A,#N/A,FALSE,"3가";#N/A,#N/A,FALSE,"3나";#N/A,#N/A,FALSE,"3다"}</definedName>
    <definedName name="ㅇㄹㅇ" localSheetId="6" hidden="1">{#N/A,#N/A,FALSE,"3가";#N/A,#N/A,FALSE,"3나";#N/A,#N/A,FALSE,"3다"}</definedName>
    <definedName name="ㅇㄹㅇ" localSheetId="1" hidden="1">{#N/A,#N/A,FALSE,"3가";#N/A,#N/A,FALSE,"3나";#N/A,#N/A,FALSE,"3다"}</definedName>
    <definedName name="ㅇㄹㅇ" hidden="1">{#N/A,#N/A,FALSE,"3가";#N/A,#N/A,FALSE,"3나";#N/A,#N/A,FALSE,"3다"}</definedName>
    <definedName name="ㅇㄹㅇㄹ" localSheetId="1" hidden="1">#REF!</definedName>
    <definedName name="ㅇㄹㅇㄹ" localSheetId="0" hidden="1">#REF!</definedName>
    <definedName name="ㅇㄹㅇㄹ" hidden="1">#REF!</definedName>
    <definedName name="ㅇㄹㅇㄹㅇ" localSheetId="3" hidden="1">{#N/A,#N/A,FALSE,"정공"}</definedName>
    <definedName name="ㅇㄹㅇㄹㅇ" localSheetId="4" hidden="1">{#N/A,#N/A,FALSE,"정공"}</definedName>
    <definedName name="ㅇㄹㅇㄹㅇ" localSheetId="5" hidden="1">{#N/A,#N/A,FALSE,"정공"}</definedName>
    <definedName name="ㅇㄹㅇㄹㅇ" localSheetId="6" hidden="1">{#N/A,#N/A,FALSE,"정공"}</definedName>
    <definedName name="ㅇㄹㅇㄹㅇ" localSheetId="7" hidden="1">{#N/A,#N/A,FALSE,"정공"}</definedName>
    <definedName name="ㅇㄹㅇㄹㅇ" localSheetId="1" hidden="1">{#N/A,#N/A,FALSE,"정공"}</definedName>
    <definedName name="ㅇㄹㅇㄹㅇ" localSheetId="0" hidden="1">{#N/A,#N/A,FALSE,"정공"}</definedName>
    <definedName name="ㅇㄹㅇㄹㅇ" hidden="1">{#N/A,#N/A,FALSE,"정공"}</definedName>
    <definedName name="ㅇㄹㅈㄷ" localSheetId="3" hidden="1">{#N/A,#N/A,FALSE,"ALM-ASISC"}</definedName>
    <definedName name="ㅇㄹㅈㄷ" localSheetId="4" hidden="1">{#N/A,#N/A,FALSE,"ALM-ASISC"}</definedName>
    <definedName name="ㅇㄹㅈㄷ" localSheetId="5" hidden="1">{#N/A,#N/A,FALSE,"ALM-ASISC"}</definedName>
    <definedName name="ㅇㄹㅈㄷ" localSheetId="6" hidden="1">{#N/A,#N/A,FALSE,"ALM-ASISC"}</definedName>
    <definedName name="ㅇㄹㅈㄷ" localSheetId="1" hidden="1">{#N/A,#N/A,FALSE,"ALM-ASISC"}</definedName>
    <definedName name="ㅇㄹㅈㄷ" hidden="1">{#N/A,#N/A,FALSE,"ALM-ASISC"}</definedName>
    <definedName name="ㅇ라ㅓㅏㅗ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ㅇㅁㄹ" localSheetId="3" hidden="1">{#N/A,#N/A,FALSE,"3가";#N/A,#N/A,FALSE,"3나";#N/A,#N/A,FALSE,"3다"}</definedName>
    <definedName name="ㅇㅀㅇㅁㄹ" localSheetId="4" hidden="1">{#N/A,#N/A,FALSE,"3가";#N/A,#N/A,FALSE,"3나";#N/A,#N/A,FALSE,"3다"}</definedName>
    <definedName name="ㅇㅀㅇㅁㄹ" localSheetId="5" hidden="1">{#N/A,#N/A,FALSE,"3가";#N/A,#N/A,FALSE,"3나";#N/A,#N/A,FALSE,"3다"}</definedName>
    <definedName name="ㅇㅀㅇㅁㄹ" localSheetId="6" hidden="1">{#N/A,#N/A,FALSE,"3가";#N/A,#N/A,FALSE,"3나";#N/A,#N/A,FALSE,"3다"}</definedName>
    <definedName name="ㅇㅀㅇㅁㄹ" localSheetId="1" hidden="1">{#N/A,#N/A,FALSE,"3가";#N/A,#N/A,FALSE,"3나";#N/A,#N/A,FALSE,"3다"}</definedName>
    <definedName name="ㅇㅀㅇㅁㄹ" hidden="1">{#N/A,#N/A,FALSE,"3가";#N/A,#N/A,FALSE,"3나";#N/A,#N/A,FALSE,"3다"}</definedName>
    <definedName name="ㅇㅁ" localSheetId="3" hidden="1">{"'용역비'!$A$4:$C$8"}</definedName>
    <definedName name="ㅇㅁ" localSheetId="4" hidden="1">{"'용역비'!$A$4:$C$8"}</definedName>
    <definedName name="ㅇㅁ" localSheetId="5" hidden="1">{"'용역비'!$A$4:$C$8"}</definedName>
    <definedName name="ㅇㅁ" localSheetId="6" hidden="1">{"'용역비'!$A$4:$C$8"}</definedName>
    <definedName name="ㅇㅁ" localSheetId="7" hidden="1">{"'용역비'!$A$4:$C$8"}</definedName>
    <definedName name="ㅇㅁ" localSheetId="1" hidden="1">{"'용역비'!$A$4:$C$8"}</definedName>
    <definedName name="ㅇㅁ" localSheetId="0" hidden="1">{"'용역비'!$A$4:$C$8"}</definedName>
    <definedName name="ㅇㅁ" hidden="1">{"'용역비'!$A$4:$C$8"}</definedName>
    <definedName name="ㅇㅇㄹ" hidden="1">#REF!</definedName>
    <definedName name="ㅇㅇㄹㅈㅈ" localSheetId="3" hidden="1">{#N/A,#N/A,FALSE,"ALM-ASISC"}</definedName>
    <definedName name="ㅇㅇㄹㅈㅈ" localSheetId="4" hidden="1">{#N/A,#N/A,FALSE,"ALM-ASISC"}</definedName>
    <definedName name="ㅇㅇㄹㅈㅈ" localSheetId="5" hidden="1">{#N/A,#N/A,FALSE,"ALM-ASISC"}</definedName>
    <definedName name="ㅇㅇㄹㅈㅈ" localSheetId="6" hidden="1">{#N/A,#N/A,FALSE,"ALM-ASISC"}</definedName>
    <definedName name="ㅇㅇㄹㅈㅈ" localSheetId="1" hidden="1">{#N/A,#N/A,FALSE,"ALM-ASISC"}</definedName>
    <definedName name="ㅇㅇㄹㅈㅈ" hidden="1">{#N/A,#N/A,FALSE,"ALM-ASISC"}</definedName>
    <definedName name="ㅇㅇㅇㅇ" localSheetId="1" hidden="1">#REF!</definedName>
    <definedName name="ㅇㅇㅇㅇ" localSheetId="0" hidden="1">#REF!</definedName>
    <definedName name="ㅇㅇㅇㅇ" hidden="1">#REF!</definedName>
    <definedName name="ㅇ아" localSheetId="3" hidden="1">{#N/A,#N/A,FALSE,"3가";#N/A,#N/A,FALSE,"3나";#N/A,#N/A,FALSE,"3다"}</definedName>
    <definedName name="ㅇ아" localSheetId="4" hidden="1">{#N/A,#N/A,FALSE,"3가";#N/A,#N/A,FALSE,"3나";#N/A,#N/A,FALSE,"3다"}</definedName>
    <definedName name="ㅇ아" localSheetId="5" hidden="1">{#N/A,#N/A,FALSE,"3가";#N/A,#N/A,FALSE,"3나";#N/A,#N/A,FALSE,"3다"}</definedName>
    <definedName name="ㅇ아" localSheetId="6" hidden="1">{#N/A,#N/A,FALSE,"3가";#N/A,#N/A,FALSE,"3나";#N/A,#N/A,FALSE,"3다"}</definedName>
    <definedName name="ㅇ아" localSheetId="1" hidden="1">{#N/A,#N/A,FALSE,"3가";#N/A,#N/A,FALSE,"3나";#N/A,#N/A,FALSE,"3다"}</definedName>
    <definedName name="ㅇ아" hidden="1">{#N/A,#N/A,FALSE,"3가";#N/A,#N/A,FALSE,"3나";#N/A,#N/A,FALSE,"3다"}</definedName>
    <definedName name="ㅇㅎㅁㄴ" localSheetId="1" hidden="1">#REF!</definedName>
    <definedName name="ㅇㅎㅁㄴ" localSheetId="0" hidden="1">#REF!</definedName>
    <definedName name="ㅇㅎㅁㄴ" hidden="1">#REF!</definedName>
    <definedName name="ㅇㅎㅇㅎ" localSheetId="3" hidden="1">{"'용역비'!$A$4:$C$8"}</definedName>
    <definedName name="ㅇㅎㅇㅎ" localSheetId="4" hidden="1">{"'용역비'!$A$4:$C$8"}</definedName>
    <definedName name="ㅇㅎㅇㅎ" localSheetId="5" hidden="1">{"'용역비'!$A$4:$C$8"}</definedName>
    <definedName name="ㅇㅎㅇㅎ" localSheetId="6" hidden="1">{"'용역비'!$A$4:$C$8"}</definedName>
    <definedName name="ㅇㅎㅇㅎ" localSheetId="7" hidden="1">{"'용역비'!$A$4:$C$8"}</definedName>
    <definedName name="ㅇㅎㅇㅎ" localSheetId="1" hidden="1">{"'용역비'!$A$4:$C$8"}</definedName>
    <definedName name="ㅇㅎㅇㅎ" localSheetId="0" hidden="1">{"'용역비'!$A$4:$C$8"}</definedName>
    <definedName name="ㅇㅎㅇㅎ" hidden="1">{"'용역비'!$A$4:$C$8"}</definedName>
    <definedName name="ㅇ호" localSheetId="3" hidden="1">{"'용역비'!$A$4:$C$8"}</definedName>
    <definedName name="ㅇ호" localSheetId="4" hidden="1">{"'용역비'!$A$4:$C$8"}</definedName>
    <definedName name="ㅇ호" localSheetId="5" hidden="1">{"'용역비'!$A$4:$C$8"}</definedName>
    <definedName name="ㅇ호" localSheetId="6" hidden="1">{"'용역비'!$A$4:$C$8"}</definedName>
    <definedName name="ㅇ호" localSheetId="7" hidden="1">{"'용역비'!$A$4:$C$8"}</definedName>
    <definedName name="ㅇ호" localSheetId="1" hidden="1">{"'용역비'!$A$4:$C$8"}</definedName>
    <definedName name="ㅇ호" localSheetId="0" hidden="1">{"'용역비'!$A$4:$C$8"}</definedName>
    <definedName name="ㅇ호" hidden="1">{"'용역비'!$A$4:$C$8"}</definedName>
    <definedName name="ㅇ호ㅓ" localSheetId="3" hidden="1">{"'용역비'!$A$4:$C$8"}</definedName>
    <definedName name="ㅇ호ㅓ" localSheetId="4" hidden="1">{"'용역비'!$A$4:$C$8"}</definedName>
    <definedName name="ㅇ호ㅓ" localSheetId="5" hidden="1">{"'용역비'!$A$4:$C$8"}</definedName>
    <definedName name="ㅇ호ㅓ" localSheetId="6" hidden="1">{"'용역비'!$A$4:$C$8"}</definedName>
    <definedName name="ㅇ호ㅓ" localSheetId="7" hidden="1">{"'용역비'!$A$4:$C$8"}</definedName>
    <definedName name="ㅇ호ㅓ" localSheetId="1" hidden="1">{"'용역비'!$A$4:$C$8"}</definedName>
    <definedName name="ㅇ호ㅓ" localSheetId="0" hidden="1">{"'용역비'!$A$4:$C$8"}</definedName>
    <definedName name="ㅇ호ㅓ" hidden="1">{"'용역비'!$A$4:$C$8"}</definedName>
    <definedName name="ㅇ호ㅓㅇㅎ" localSheetId="3" hidden="1">{"'용역비'!$A$4:$C$8"}</definedName>
    <definedName name="ㅇ호ㅓㅇㅎ" localSheetId="4" hidden="1">{"'용역비'!$A$4:$C$8"}</definedName>
    <definedName name="ㅇ호ㅓㅇㅎ" localSheetId="5" hidden="1">{"'용역비'!$A$4:$C$8"}</definedName>
    <definedName name="ㅇ호ㅓㅇㅎ" localSheetId="6" hidden="1">{"'용역비'!$A$4:$C$8"}</definedName>
    <definedName name="ㅇ호ㅓㅇㅎ" localSheetId="7" hidden="1">{"'용역비'!$A$4:$C$8"}</definedName>
    <definedName name="ㅇ호ㅓㅇㅎ" localSheetId="1" hidden="1">{"'용역비'!$A$4:$C$8"}</definedName>
    <definedName name="ㅇ호ㅓㅇㅎ" localSheetId="0" hidden="1">{"'용역비'!$A$4:$C$8"}</definedName>
    <definedName name="ㅇ호ㅓㅇㅎ" hidden="1">{"'용역비'!$A$4:$C$8"}</definedName>
    <definedName name="ㅇ호ㅓㅇ호ㅓ" localSheetId="3" hidden="1">{"'용역비'!$A$4:$C$8"}</definedName>
    <definedName name="ㅇ호ㅓㅇ호ㅓ" localSheetId="4" hidden="1">{"'용역비'!$A$4:$C$8"}</definedName>
    <definedName name="ㅇ호ㅓㅇ호ㅓ" localSheetId="5" hidden="1">{"'용역비'!$A$4:$C$8"}</definedName>
    <definedName name="ㅇ호ㅓㅇ호ㅓ" localSheetId="6" hidden="1">{"'용역비'!$A$4:$C$8"}</definedName>
    <definedName name="ㅇ호ㅓㅇ호ㅓ" localSheetId="7" hidden="1">{"'용역비'!$A$4:$C$8"}</definedName>
    <definedName name="ㅇ호ㅓㅇ호ㅓ" localSheetId="1" hidden="1">{"'용역비'!$A$4:$C$8"}</definedName>
    <definedName name="ㅇ호ㅓㅇ호ㅓ" localSheetId="0" hidden="1">{"'용역비'!$A$4:$C$8"}</definedName>
    <definedName name="ㅇ호ㅓㅇ호ㅓ" hidden="1">{"'용역비'!$A$4:$C$8"}</definedName>
    <definedName name="ㅇ호ㅓㅎ" localSheetId="3" hidden="1">{"'용역비'!$A$4:$C$8"}</definedName>
    <definedName name="ㅇ호ㅓㅎ" localSheetId="4" hidden="1">{"'용역비'!$A$4:$C$8"}</definedName>
    <definedName name="ㅇ호ㅓㅎ" localSheetId="5" hidden="1">{"'용역비'!$A$4:$C$8"}</definedName>
    <definedName name="ㅇ호ㅓㅎ" localSheetId="6" hidden="1">{"'용역비'!$A$4:$C$8"}</definedName>
    <definedName name="ㅇ호ㅓㅎ" localSheetId="7" hidden="1">{"'용역비'!$A$4:$C$8"}</definedName>
    <definedName name="ㅇ호ㅓㅎ" localSheetId="1" hidden="1">{"'용역비'!$A$4:$C$8"}</definedName>
    <definedName name="ㅇ호ㅓㅎ" localSheetId="0" hidden="1">{"'용역비'!$A$4:$C$8"}</definedName>
    <definedName name="ㅇ호ㅓㅎ" hidden="1">{"'용역비'!$A$4:$C$8"}</definedName>
    <definedName name="ㅇ호ㅓ호ㅓ" localSheetId="3" hidden="1">{"'용역비'!$A$4:$C$8"}</definedName>
    <definedName name="ㅇ호ㅓ호ㅓ" localSheetId="4" hidden="1">{"'용역비'!$A$4:$C$8"}</definedName>
    <definedName name="ㅇ호ㅓ호ㅓ" localSheetId="5" hidden="1">{"'용역비'!$A$4:$C$8"}</definedName>
    <definedName name="ㅇ호ㅓ호ㅓ" localSheetId="6" hidden="1">{"'용역비'!$A$4:$C$8"}</definedName>
    <definedName name="ㅇ호ㅓ호ㅓ" localSheetId="7" hidden="1">{"'용역비'!$A$4:$C$8"}</definedName>
    <definedName name="ㅇ호ㅓ호ㅓ" localSheetId="1" hidden="1">{"'용역비'!$A$4:$C$8"}</definedName>
    <definedName name="ㅇ호ㅓ호ㅓ" localSheetId="0" hidden="1">{"'용역비'!$A$4:$C$8"}</definedName>
    <definedName name="ㅇ호ㅓ호ㅓ" hidden="1">{"'용역비'!$A$4:$C$8"}</definedName>
    <definedName name="아" localSheetId="3" hidden="1">{#N/A,#N/A,FALSE,"정공"}</definedName>
    <definedName name="아" localSheetId="4" hidden="1">{#N/A,#N/A,FALSE,"정공"}</definedName>
    <definedName name="아" localSheetId="5" hidden="1">{#N/A,#N/A,FALSE,"정공"}</definedName>
    <definedName name="아" localSheetId="6" hidden="1">{#N/A,#N/A,FALSE,"정공"}</definedName>
    <definedName name="아" localSheetId="7" hidden="1">{#N/A,#N/A,FALSE,"정공"}</definedName>
    <definedName name="아" localSheetId="1" hidden="1">{#N/A,#N/A,FALSE,"ALM-ASISC"}</definedName>
    <definedName name="아" localSheetId="0" hidden="1">{#N/A,#N/A,FALSE,"ALM-ASISC"}</definedName>
    <definedName name="아" hidden="1">{#N/A,#N/A,FALSE,"정공"}</definedName>
    <definedName name="아냐" localSheetId="3" hidden="1">{#N/A,#N/A,FALSE,"전열산출서"}</definedName>
    <definedName name="아냐" localSheetId="4" hidden="1">{#N/A,#N/A,FALSE,"전열산출서"}</definedName>
    <definedName name="아냐" localSheetId="5" hidden="1">{#N/A,#N/A,FALSE,"전열산출서"}</definedName>
    <definedName name="아냐" localSheetId="6" hidden="1">{#N/A,#N/A,FALSE,"전열산출서"}</definedName>
    <definedName name="아냐" localSheetId="7" hidden="1">{#N/A,#N/A,FALSE,"전열산출서"}</definedName>
    <definedName name="아냐" localSheetId="1" hidden="1">{#N/A,#N/A,FALSE,"전열산출서"}</definedName>
    <definedName name="아냐" localSheetId="0" hidden="1">{#N/A,#N/A,FALSE,"전열산출서"}</definedName>
    <definedName name="아냐" hidden="1">{#N/A,#N/A,FALSE,"전열산출서"}</definedName>
    <definedName name="아라" localSheetId="3" hidden="1">{#N/A,#N/A,FALSE,"정공"}</definedName>
    <definedName name="아라" localSheetId="4" hidden="1">{#N/A,#N/A,FALSE,"정공"}</definedName>
    <definedName name="아라" localSheetId="5" hidden="1">{#N/A,#N/A,FALSE,"정공"}</definedName>
    <definedName name="아라" localSheetId="6" hidden="1">{#N/A,#N/A,FALSE,"정공"}</definedName>
    <definedName name="아라" localSheetId="7" hidden="1">{#N/A,#N/A,FALSE,"정공"}</definedName>
    <definedName name="아라" localSheetId="1" hidden="1">{#N/A,#N/A,FALSE,"정공"}</definedName>
    <definedName name="아라" localSheetId="0" hidden="1">{#N/A,#N/A,FALSE,"정공"}</definedName>
    <definedName name="아라" hidden="1">{#N/A,#N/A,FALSE,"정공"}</definedName>
    <definedName name="아무" localSheetId="3" hidden="1">{#N/A,#N/A,FALSE,"배수2"}</definedName>
    <definedName name="아무" localSheetId="4" hidden="1">{#N/A,#N/A,FALSE,"배수2"}</definedName>
    <definedName name="아무" localSheetId="5" hidden="1">{#N/A,#N/A,FALSE,"배수2"}</definedName>
    <definedName name="아무" localSheetId="6" hidden="1">{#N/A,#N/A,FALSE,"배수2"}</definedName>
    <definedName name="아무" localSheetId="7" hidden="1">{#N/A,#N/A,FALSE,"배수2"}</definedName>
    <definedName name="아무" localSheetId="1" hidden="1">{#N/A,#N/A,FALSE,"배수2"}</definedName>
    <definedName name="아무" localSheetId="0" hidden="1">{#N/A,#N/A,FALSE,"배수2"}</definedName>
    <definedName name="아무" hidden="1">{#N/A,#N/A,FALSE,"배수2"}</definedName>
    <definedName name="아무거나" localSheetId="3" hidden="1">{#N/A,#N/A,FALSE,"배수2"}</definedName>
    <definedName name="아무거나" localSheetId="4" hidden="1">{#N/A,#N/A,FALSE,"배수2"}</definedName>
    <definedName name="아무거나" localSheetId="5" hidden="1">{#N/A,#N/A,FALSE,"배수2"}</definedName>
    <definedName name="아무거나" localSheetId="6" hidden="1">{#N/A,#N/A,FALSE,"배수2"}</definedName>
    <definedName name="아무거나" localSheetId="7" hidden="1">{#N/A,#N/A,FALSE,"배수2"}</definedName>
    <definedName name="아무거나" localSheetId="1" hidden="1">{#N/A,#N/A,FALSE,"배수2"}</definedName>
    <definedName name="아무거나" localSheetId="0" hidden="1">{#N/A,#N/A,FALSE,"배수2"}</definedName>
    <definedName name="아무거나" hidden="1">{#N/A,#N/A,FALSE,"배수2"}</definedName>
    <definedName name="아야" localSheetId="3" hidden="1">{#N/A,#N/A,FALSE,"정공"}</definedName>
    <definedName name="아야" localSheetId="4" hidden="1">{#N/A,#N/A,FALSE,"정공"}</definedName>
    <definedName name="아야" localSheetId="5" hidden="1">{#N/A,#N/A,FALSE,"정공"}</definedName>
    <definedName name="아야" localSheetId="6" hidden="1">{#N/A,#N/A,FALSE,"정공"}</definedName>
    <definedName name="아야" localSheetId="7" hidden="1">{#N/A,#N/A,FALSE,"정공"}</definedName>
    <definedName name="아야" localSheetId="1" hidden="1">{#N/A,#N/A,FALSE,"정공"}</definedName>
    <definedName name="아야" localSheetId="0" hidden="1">{#N/A,#N/A,FALSE,"정공"}</definedName>
    <definedName name="아야" hidden="1">{#N/A,#N/A,FALSE,"정공"}</definedName>
    <definedName name="아ㅏㅓ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3" hidden="1">{#N/A,#N/A,FALSE,"ALM-ASISC"}</definedName>
    <definedName name="아ㅓㄹ" localSheetId="4" hidden="1">{#N/A,#N/A,FALSE,"ALM-ASISC"}</definedName>
    <definedName name="아ㅓㄹ" localSheetId="5" hidden="1">{#N/A,#N/A,FALSE,"ALM-ASISC"}</definedName>
    <definedName name="아ㅓㄹ" localSheetId="6" hidden="1">{#N/A,#N/A,FALSE,"ALM-ASISC"}</definedName>
    <definedName name="아ㅓㄹ" localSheetId="1" hidden="1">{#N/A,#N/A,FALSE,"ALM-ASISC"}</definedName>
    <definedName name="아ㅓㄹ" hidden="1">{#N/A,#N/A,FALSE,"ALM-ASISC"}</definedName>
    <definedName name="아ㅓㄹ지" localSheetId="3" hidden="1">{#N/A,#N/A,FALSE,"ALM-ASISC"}</definedName>
    <definedName name="아ㅓㄹ지" localSheetId="4" hidden="1">{#N/A,#N/A,FALSE,"ALM-ASISC"}</definedName>
    <definedName name="아ㅓㄹ지" localSheetId="5" hidden="1">{#N/A,#N/A,FALSE,"ALM-ASISC"}</definedName>
    <definedName name="아ㅓㄹ지" localSheetId="6" hidden="1">{#N/A,#N/A,FALSE,"ALM-ASISC"}</definedName>
    <definedName name="아ㅓㄹ지" localSheetId="1" hidden="1">{#N/A,#N/A,FALSE,"ALM-ASISC"}</definedName>
    <definedName name="아ㅓㄹ지" hidden="1">{#N/A,#N/A,FALSE,"ALM-ASISC"}</definedName>
    <definedName name="아ㅓ림" localSheetId="3" hidden="1">{#N/A,#N/A,FALSE,"포장1";#N/A,#N/A,FALSE,"포장1"}</definedName>
    <definedName name="아ㅓ림" localSheetId="4" hidden="1">{#N/A,#N/A,FALSE,"포장1";#N/A,#N/A,FALSE,"포장1"}</definedName>
    <definedName name="아ㅓ림" localSheetId="5" hidden="1">{#N/A,#N/A,FALSE,"포장1";#N/A,#N/A,FALSE,"포장1"}</definedName>
    <definedName name="아ㅓ림" localSheetId="6" hidden="1">{#N/A,#N/A,FALSE,"포장1";#N/A,#N/A,FALSE,"포장1"}</definedName>
    <definedName name="아ㅓ림" localSheetId="7" hidden="1">{#N/A,#N/A,FALSE,"포장1";#N/A,#N/A,FALSE,"포장1"}</definedName>
    <definedName name="아ㅓ림" localSheetId="1" hidden="1">{#N/A,#N/A,FALSE,"포장1";#N/A,#N/A,FALSE,"포장1"}</definedName>
    <definedName name="아ㅓ림" localSheetId="0" hidden="1">{#N/A,#N/A,FALSE,"포장1";#N/A,#N/A,FALSE,"포장1"}</definedName>
    <definedName name="아ㅓ림" hidden="1">{#N/A,#N/A,FALSE,"포장1";#N/A,#N/A,FALSE,"포장1"}</definedName>
    <definedName name="아ㅓㅈ" localSheetId="3" hidden="1">{#N/A,#N/A,FALSE,"ALM-ASISC"}</definedName>
    <definedName name="아ㅓㅈ" localSheetId="4" hidden="1">{#N/A,#N/A,FALSE,"ALM-ASISC"}</definedName>
    <definedName name="아ㅓㅈ" localSheetId="5" hidden="1">{#N/A,#N/A,FALSE,"ALM-ASISC"}</definedName>
    <definedName name="아ㅓㅈ" localSheetId="6" hidden="1">{#N/A,#N/A,FALSE,"ALM-ASISC"}</definedName>
    <definedName name="아ㅓㅈ" localSheetId="1" hidden="1">{#N/A,#N/A,FALSE,"ALM-ASISC"}</definedName>
    <definedName name="아ㅓㅈ" hidden="1">{#N/A,#N/A,FALSE,"ALM-ASISC"}</definedName>
    <definedName name="아ㅓㅗㄹ" localSheetId="3" hidden="1">{#N/A,#N/A,FALSE,"ALM-ASISC"}</definedName>
    <definedName name="아ㅓㅗㄹ" localSheetId="4" hidden="1">{#N/A,#N/A,FALSE,"ALM-ASISC"}</definedName>
    <definedName name="아ㅓㅗㄹ" localSheetId="5" hidden="1">{#N/A,#N/A,FALSE,"ALM-ASISC"}</definedName>
    <definedName name="아ㅓㅗㄹ" localSheetId="6" hidden="1">{#N/A,#N/A,FALSE,"ALM-ASISC"}</definedName>
    <definedName name="아ㅓㅗㄹ" localSheetId="1" hidden="1">{#N/A,#N/A,FALSE,"ALM-ASISC"}</definedName>
    <definedName name="아ㅓㅗㄹ" hidden="1">{#N/A,#N/A,FALSE,"ALM-ASISC"}</definedName>
    <definedName name="아ㅣㅈ" localSheetId="3" hidden="1">{#N/A,#N/A,FALSE,"ALM-ASISC"}</definedName>
    <definedName name="아ㅣㅈ" localSheetId="4" hidden="1">{#N/A,#N/A,FALSE,"ALM-ASISC"}</definedName>
    <definedName name="아ㅣㅈ" localSheetId="5" hidden="1">{#N/A,#N/A,FALSE,"ALM-ASISC"}</definedName>
    <definedName name="아ㅣㅈ" localSheetId="6" hidden="1">{#N/A,#N/A,FALSE,"ALM-ASISC"}</definedName>
    <definedName name="아ㅣㅈ" localSheetId="1" hidden="1">{#N/A,#N/A,FALSE,"ALM-ASISC"}</definedName>
    <definedName name="아ㅣㅈ" hidden="1">{#N/A,#N/A,FALSE,"ALM-ASISC"}</definedName>
    <definedName name="아ㅣㅈㅂ" localSheetId="3" hidden="1">{#N/A,#N/A,FALSE,"ALM-ASISC"}</definedName>
    <definedName name="아ㅣㅈㅂ" localSheetId="4" hidden="1">{#N/A,#N/A,FALSE,"ALM-ASISC"}</definedName>
    <definedName name="아ㅣㅈㅂ" localSheetId="5" hidden="1">{#N/A,#N/A,FALSE,"ALM-ASISC"}</definedName>
    <definedName name="아ㅣㅈㅂ" localSheetId="6" hidden="1">{#N/A,#N/A,FALSE,"ALM-ASISC"}</definedName>
    <definedName name="아ㅣㅈㅂ" localSheetId="1" hidden="1">{#N/A,#N/A,FALSE,"ALM-ASISC"}</definedName>
    <definedName name="아ㅣㅈㅂ" hidden="1">{#N/A,#N/A,FALSE,"ALM-ASISC"}</definedName>
    <definedName name="양식" localSheetId="3" hidden="1">{#N/A,#N/A,FALSE,"전력간선"}</definedName>
    <definedName name="양식" localSheetId="4" hidden="1">{#N/A,#N/A,FALSE,"전력간선"}</definedName>
    <definedName name="양식" localSheetId="5" hidden="1">{#N/A,#N/A,FALSE,"전력간선"}</definedName>
    <definedName name="양식" localSheetId="6" hidden="1">{#N/A,#N/A,FALSE,"전력간선"}</definedName>
    <definedName name="양식" localSheetId="7" hidden="1">{#N/A,#N/A,FALSE,"전력간선"}</definedName>
    <definedName name="양식" localSheetId="1" hidden="1">{#N/A,#N/A,FALSE,"전력간선"}</definedName>
    <definedName name="양식" localSheetId="0" hidden="1">{#N/A,#N/A,FALSE,"전력간선"}</definedName>
    <definedName name="양식" hidden="1">{#N/A,#N/A,FALSE,"전력간선"}</definedName>
    <definedName name="어" localSheetId="3" hidden="1">{"'용역비'!$A$4:$C$8"}</definedName>
    <definedName name="어" localSheetId="4" hidden="1">{"'용역비'!$A$4:$C$8"}</definedName>
    <definedName name="어" localSheetId="5" hidden="1">{"'용역비'!$A$4:$C$8"}</definedName>
    <definedName name="어" localSheetId="6" hidden="1">{"'용역비'!$A$4:$C$8"}</definedName>
    <definedName name="어" localSheetId="7" hidden="1">{"'용역비'!$A$4:$C$8"}</definedName>
    <definedName name="어" localSheetId="1" hidden="1">{"'용역비'!$A$4:$C$8"}</definedName>
    <definedName name="어" localSheetId="0" hidden="1">{"'용역비'!$A$4:$C$8"}</definedName>
    <definedName name="어" hidden="1">{"'용역비'!$A$4:$C$8"}</definedName>
    <definedName name="어어" localSheetId="3" hidden="1">{#N/A,#N/A,FALSE,"정공"}</definedName>
    <definedName name="어어" localSheetId="4" hidden="1">{#N/A,#N/A,FALSE,"정공"}</definedName>
    <definedName name="어어" localSheetId="5" hidden="1">{#N/A,#N/A,FALSE,"정공"}</definedName>
    <definedName name="어어" localSheetId="6" hidden="1">{#N/A,#N/A,FALSE,"정공"}</definedName>
    <definedName name="어어" localSheetId="7" hidden="1">{#N/A,#N/A,FALSE,"정공"}</definedName>
    <definedName name="어어" localSheetId="1" hidden="1">{#N/A,#N/A,FALSE,"정공"}</definedName>
    <definedName name="어어" localSheetId="0" hidden="1">{#N/A,#N/A,FALSE,"정공"}</definedName>
    <definedName name="어어" hidden="1">{#N/A,#N/A,FALSE,"정공"}</definedName>
    <definedName name="어플리케이션명">[47]setup!#REF!</definedName>
    <definedName name="어ㅓㅓ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3" hidden="1">{#N/A,#N/A,FALSE,"2~8번"}</definedName>
    <definedName name="억이상" localSheetId="4" hidden="1">{#N/A,#N/A,FALSE,"2~8번"}</definedName>
    <definedName name="억이상" localSheetId="5" hidden="1">{#N/A,#N/A,FALSE,"2~8번"}</definedName>
    <definedName name="억이상" localSheetId="6" hidden="1">{#N/A,#N/A,FALSE,"2~8번"}</definedName>
    <definedName name="억이상" localSheetId="7" hidden="1">{#N/A,#N/A,FALSE,"2~8번"}</definedName>
    <definedName name="억이상" localSheetId="1" hidden="1">{#N/A,#N/A,FALSE,"2~8번"}</definedName>
    <definedName name="억이상" localSheetId="0" hidden="1">{#N/A,#N/A,FALSE,"2~8번"}</definedName>
    <definedName name="억이상" hidden="1">{#N/A,#N/A,FALSE,"2~8번"}</definedName>
    <definedName name="업" localSheetId="3" hidden="1">{#N/A,#N/A,FALSE,"포장2"}</definedName>
    <definedName name="업" localSheetId="4" hidden="1">{#N/A,#N/A,FALSE,"포장2"}</definedName>
    <definedName name="업" localSheetId="5" hidden="1">{#N/A,#N/A,FALSE,"포장2"}</definedName>
    <definedName name="업" localSheetId="6" hidden="1">{#N/A,#N/A,FALSE,"포장2"}</definedName>
    <definedName name="업" localSheetId="7" hidden="1">{#N/A,#N/A,FALSE,"포장2"}</definedName>
    <definedName name="업" localSheetId="1" hidden="1">{#N/A,#N/A,FALSE,"포장2"}</definedName>
    <definedName name="업" localSheetId="0" hidden="1">{#N/A,#N/A,FALSE,"포장2"}</definedName>
    <definedName name="업" hidden="1">{#N/A,#N/A,FALSE,"포장2"}</definedName>
    <definedName name="업무협력비" hidden="1">[5]합천내역!#REF!</definedName>
    <definedName name="업종" localSheetId="3" hidden="1">{#N/A,#N/A,FALSE,"포장2"}</definedName>
    <definedName name="업종" localSheetId="4" hidden="1">{#N/A,#N/A,FALSE,"포장2"}</definedName>
    <definedName name="업종" localSheetId="5" hidden="1">{#N/A,#N/A,FALSE,"포장2"}</definedName>
    <definedName name="업종" localSheetId="6" hidden="1">{#N/A,#N/A,FALSE,"포장2"}</definedName>
    <definedName name="업종" localSheetId="7" hidden="1">{#N/A,#N/A,FALSE,"포장2"}</definedName>
    <definedName name="업종" localSheetId="1" hidden="1">{#N/A,#N/A,FALSE,"포장2"}</definedName>
    <definedName name="업종" localSheetId="0" hidden="1">{#N/A,#N/A,FALSE,"포장2"}</definedName>
    <definedName name="업종" hidden="1">{#N/A,#N/A,FALSE,"포장2"}</definedName>
    <definedName name="업체" localSheetId="3" hidden="1">{#N/A,#N/A,FALSE,"구조2"}</definedName>
    <definedName name="업체" localSheetId="4" hidden="1">{#N/A,#N/A,FALSE,"구조2"}</definedName>
    <definedName name="업체" localSheetId="5" hidden="1">{#N/A,#N/A,FALSE,"구조2"}</definedName>
    <definedName name="업체" localSheetId="6" hidden="1">{#N/A,#N/A,FALSE,"구조2"}</definedName>
    <definedName name="업체" localSheetId="7" hidden="1">{#N/A,#N/A,FALSE,"구조2"}</definedName>
    <definedName name="업체" localSheetId="1" hidden="1">{#N/A,#N/A,FALSE,"구조2"}</definedName>
    <definedName name="업체" localSheetId="0" hidden="1">{#N/A,#N/A,FALSE,"구조2"}</definedName>
    <definedName name="업체" hidden="1">{#N/A,#N/A,FALSE,"구조2"}</definedName>
    <definedName name="업체순위" localSheetId="3" hidden="1">{#N/A,#N/A,FALSE,"배수2"}</definedName>
    <definedName name="업체순위" localSheetId="4" hidden="1">{#N/A,#N/A,FALSE,"배수2"}</definedName>
    <definedName name="업체순위" localSheetId="5" hidden="1">{#N/A,#N/A,FALSE,"배수2"}</definedName>
    <definedName name="업체순위" localSheetId="6" hidden="1">{#N/A,#N/A,FALSE,"배수2"}</definedName>
    <definedName name="업체순위" localSheetId="7" hidden="1">{#N/A,#N/A,FALSE,"배수2"}</definedName>
    <definedName name="업체순위" localSheetId="1" hidden="1">{#N/A,#N/A,FALSE,"배수2"}</definedName>
    <definedName name="업체순위" localSheetId="0" hidden="1">{#N/A,#N/A,FALSE,"배수2"}</definedName>
    <definedName name="업체순위" hidden="1">{#N/A,#N/A,FALSE,"배수2"}</definedName>
    <definedName name="연습"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INDEX" hidden="1">#REF!</definedName>
    <definedName name="영시스템" hidden="1">[48]수량산출!#REF!</definedName>
    <definedName name="예산내역" localSheetId="3" hidden="1">{"'용역비'!$A$4:$C$8"}</definedName>
    <definedName name="예산내역" localSheetId="4" hidden="1">{"'용역비'!$A$4:$C$8"}</definedName>
    <definedName name="예산내역" localSheetId="5" hidden="1">{"'용역비'!$A$4:$C$8"}</definedName>
    <definedName name="예산내역" localSheetId="6" hidden="1">{"'용역비'!$A$4:$C$8"}</definedName>
    <definedName name="예산내역" localSheetId="7" hidden="1">{"'용역비'!$A$4:$C$8"}</definedName>
    <definedName name="예산내역" localSheetId="1" hidden="1">{"'용역비'!$A$4:$C$8"}</definedName>
    <definedName name="예산내역" localSheetId="0" hidden="1">{"'용역비'!$A$4:$C$8"}</definedName>
    <definedName name="예산내역" hidden="1">{"'용역비'!$A$4:$C$8"}</definedName>
    <definedName name="예정가" localSheetId="3" hidden="1">{#N/A,#N/A,FALSE,"포장2"}</definedName>
    <definedName name="예정가" localSheetId="4" hidden="1">{#N/A,#N/A,FALSE,"포장2"}</definedName>
    <definedName name="예정가" localSheetId="5" hidden="1">{#N/A,#N/A,FALSE,"포장2"}</definedName>
    <definedName name="예정가" localSheetId="6" hidden="1">{#N/A,#N/A,FALSE,"포장2"}</definedName>
    <definedName name="예정가" localSheetId="7" hidden="1">{#N/A,#N/A,FALSE,"포장2"}</definedName>
    <definedName name="예정가" localSheetId="1" hidden="1">{#N/A,#N/A,FALSE,"포장2"}</definedName>
    <definedName name="예정가" localSheetId="0" hidden="1">{#N/A,#N/A,FALSE,"포장2"}</definedName>
    <definedName name="예정가" hidden="1">{#N/A,#N/A,FALSE,"포장2"}</definedName>
    <definedName name="오" hidden="1">[21]실행철강하도!$A$1:$A$4</definedName>
    <definedName name="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도" localSheetId="3" hidden="1">{#N/A,#N/A,FALSE,"포장2"}</definedName>
    <definedName name="완도" localSheetId="4" hidden="1">{#N/A,#N/A,FALSE,"포장2"}</definedName>
    <definedName name="완도" localSheetId="5" hidden="1">{#N/A,#N/A,FALSE,"포장2"}</definedName>
    <definedName name="완도" localSheetId="6" hidden="1">{#N/A,#N/A,FALSE,"포장2"}</definedName>
    <definedName name="완도" localSheetId="7" hidden="1">{#N/A,#N/A,FALSE,"포장2"}</definedName>
    <definedName name="완도" localSheetId="1" hidden="1">{#N/A,#N/A,FALSE,"포장2"}</definedName>
    <definedName name="완도" localSheetId="0" hidden="1">{#N/A,#N/A,FALSE,"포장2"}</definedName>
    <definedName name="완도" hidden="1">{#N/A,#N/A,FALSE,"포장2"}</definedName>
    <definedName name="완료보고_시작">[11]WBS!$H$70:$H$71</definedName>
    <definedName name="완료보고_종료">[11]WBS!$I$70:$I$71</definedName>
    <definedName name="완료보고_현황">[11]WBS!$F$70:$F$71</definedName>
    <definedName name="용용" localSheetId="3" hidden="1">{#N/A,#N/A,FALSE,"포장2"}</definedName>
    <definedName name="용용" localSheetId="4" hidden="1">{#N/A,#N/A,FALSE,"포장2"}</definedName>
    <definedName name="용용" localSheetId="5" hidden="1">{#N/A,#N/A,FALSE,"포장2"}</definedName>
    <definedName name="용용" localSheetId="6" hidden="1">{#N/A,#N/A,FALSE,"포장2"}</definedName>
    <definedName name="용용" localSheetId="7" hidden="1">{#N/A,#N/A,FALSE,"포장2"}</definedName>
    <definedName name="용용" localSheetId="1" hidden="1">{#N/A,#N/A,FALSE,"포장2"}</definedName>
    <definedName name="용용" localSheetId="0" hidden="1">{#N/A,#N/A,FALSE,"포장2"}</definedName>
    <definedName name="용용" hidden="1">{#N/A,#N/A,FALSE,"포장2"}</definedName>
    <definedName name="원가1" localSheetId="3" hidden="1">{#N/A,#N/A,FALSE,"현장 NCR 분석";#N/A,#N/A,FALSE,"현장품질감사";#N/A,#N/A,FALSE,"현장품질감사"}</definedName>
    <definedName name="원가1" localSheetId="4" hidden="1">{#N/A,#N/A,FALSE,"현장 NCR 분석";#N/A,#N/A,FALSE,"현장품질감사";#N/A,#N/A,FALSE,"현장품질감사"}</definedName>
    <definedName name="원가1" localSheetId="5" hidden="1">{#N/A,#N/A,FALSE,"현장 NCR 분석";#N/A,#N/A,FALSE,"현장품질감사";#N/A,#N/A,FALSE,"현장품질감사"}</definedName>
    <definedName name="원가1" localSheetId="6" hidden="1">{#N/A,#N/A,FALSE,"현장 NCR 분석";#N/A,#N/A,FALSE,"현장품질감사";#N/A,#N/A,FALSE,"현장품질감사"}</definedName>
    <definedName name="원가1" localSheetId="1" hidden="1">{#N/A,#N/A,FALSE,"현장 NCR 분석";#N/A,#N/A,FALSE,"현장품질감사";#N/A,#N/A,FALSE,"현장품질감사"}</definedName>
    <definedName name="원가1" hidden="1">{#N/A,#N/A,FALSE,"현장 NCR 분석";#N/A,#N/A,FALSE,"현장품질감사";#N/A,#N/A,FALSE,"현장품질감사"}</definedName>
    <definedName name="원가계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적용" localSheetId="3" hidden="1">{#N/A,#N/A,FALSE,"정공"}</definedName>
    <definedName name="원가적용" localSheetId="4" hidden="1">{#N/A,#N/A,FALSE,"정공"}</definedName>
    <definedName name="원가적용" localSheetId="5" hidden="1">{#N/A,#N/A,FALSE,"정공"}</definedName>
    <definedName name="원가적용" localSheetId="6" hidden="1">{#N/A,#N/A,FALSE,"정공"}</definedName>
    <definedName name="원가적용" localSheetId="7" hidden="1">{#N/A,#N/A,FALSE,"정공"}</definedName>
    <definedName name="원가적용" localSheetId="1" hidden="1">{#N/A,#N/A,FALSE,"정공"}</definedName>
    <definedName name="원가적용" localSheetId="0" hidden="1">{#N/A,#N/A,FALSE,"정공"}</definedName>
    <definedName name="원가적용" hidden="1">{#N/A,#N/A,FALSE,"정공"}</definedName>
    <definedName name="원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[49]실행철강하도!$A$1:$A$4</definedName>
    <definedName name="원원가" localSheetId="3" hidden="1">{"'공사부문'!$A$6:$A$32"}</definedName>
    <definedName name="원원가" localSheetId="4" hidden="1">{"'공사부문'!$A$6:$A$32"}</definedName>
    <definedName name="원원가" localSheetId="5" hidden="1">{"'공사부문'!$A$6:$A$32"}</definedName>
    <definedName name="원원가" localSheetId="6" hidden="1">{"'공사부문'!$A$6:$A$32"}</definedName>
    <definedName name="원원가" localSheetId="7" hidden="1">{"'공사부문'!$A$6:$A$32"}</definedName>
    <definedName name="원원가" localSheetId="1" hidden="1">{"'공사부문'!$A$6:$A$32"}</definedName>
    <definedName name="원원가" localSheetId="0" hidden="1">{"'공사부문'!$A$6:$A$32"}</definedName>
    <definedName name="원원가" hidden="1">{"'공사부문'!$A$6:$A$32"}</definedName>
    <definedName name="원자력" localSheetId="3" hidden="1">{#N/A,#N/A,TRUE,"진도율산정기준";#N/A,#N/A,TRUE,"S_CUR";#N/A,#N/A,TRUE,"사업공통"}</definedName>
    <definedName name="원자력" localSheetId="4" hidden="1">{#N/A,#N/A,TRUE,"진도율산정기준";#N/A,#N/A,TRUE,"S_CUR";#N/A,#N/A,TRUE,"사업공통"}</definedName>
    <definedName name="원자력" localSheetId="5" hidden="1">{#N/A,#N/A,TRUE,"진도율산정기준";#N/A,#N/A,TRUE,"S_CUR";#N/A,#N/A,TRUE,"사업공통"}</definedName>
    <definedName name="원자력" localSheetId="6" hidden="1">{#N/A,#N/A,TRUE,"진도율산정기준";#N/A,#N/A,TRUE,"S_CUR";#N/A,#N/A,TRUE,"사업공통"}</definedName>
    <definedName name="원자력" localSheetId="7" hidden="1">{#N/A,#N/A,TRUE,"진도율산정기준";#N/A,#N/A,TRUE,"S_CUR";#N/A,#N/A,TRUE,"사업공통"}</definedName>
    <definedName name="원자력" localSheetId="1" hidden="1">{#N/A,#N/A,TRUE,"진도율산정기준";#N/A,#N/A,TRUE,"S_CUR";#N/A,#N/A,TRUE,"사업공통"}</definedName>
    <definedName name="원자력" localSheetId="0" hidden="1">{#N/A,#N/A,TRUE,"진도율산정기준";#N/A,#N/A,TRUE,"S_CUR";#N/A,#N/A,TRUE,"사업공통"}</definedName>
    <definedName name="원자력" hidden="1">{#N/A,#N/A,TRUE,"진도율산정기준";#N/A,#N/A,TRUE,"S_CUR";#N/A,#N/A,TRUE,"사업공통"}</definedName>
    <definedName name="월간보고_시작">[11]WBS!$H$61:$H$65</definedName>
    <definedName name="월간보고_종료">[11]WBS!$I$61:$I$65</definedName>
    <definedName name="월간보고_현황">[11]WBS!$F$61:$F$65</definedName>
    <definedName name="유형">[29]작성가이드!#REF!</definedName>
    <definedName name="유형1" localSheetId="3" hidden="1">{#N/A,#N/A,TRUE,"진도율산정기준";#N/A,#N/A,TRUE,"S_CUR";#N/A,#N/A,TRUE,"사업공통"}</definedName>
    <definedName name="유형1" localSheetId="4" hidden="1">{#N/A,#N/A,TRUE,"진도율산정기준";#N/A,#N/A,TRUE,"S_CUR";#N/A,#N/A,TRUE,"사업공통"}</definedName>
    <definedName name="유형1" localSheetId="5" hidden="1">{#N/A,#N/A,TRUE,"진도율산정기준";#N/A,#N/A,TRUE,"S_CUR";#N/A,#N/A,TRUE,"사업공통"}</definedName>
    <definedName name="유형1" localSheetId="6" hidden="1">{#N/A,#N/A,TRUE,"진도율산정기준";#N/A,#N/A,TRUE,"S_CUR";#N/A,#N/A,TRUE,"사업공통"}</definedName>
    <definedName name="유형1" localSheetId="7" hidden="1">{#N/A,#N/A,TRUE,"진도율산정기준";#N/A,#N/A,TRUE,"S_CUR";#N/A,#N/A,TRUE,"사업공통"}</definedName>
    <definedName name="유형1" localSheetId="1" hidden="1">{#N/A,#N/A,TRUE,"진도율산정기준";#N/A,#N/A,TRUE,"S_CUR";#N/A,#N/A,TRUE,"사업공통"}</definedName>
    <definedName name="유형1" localSheetId="0" hidden="1">{#N/A,#N/A,TRUE,"진도율산정기준";#N/A,#N/A,TRUE,"S_CUR";#N/A,#N/A,TRUE,"사업공통"}</definedName>
    <definedName name="유형1" hidden="1">{#N/A,#N/A,TRUE,"진도율산정기준";#N/A,#N/A,TRUE,"S_CUR";#N/A,#N/A,TRUE,"사업공통"}</definedName>
    <definedName name="응용" localSheetId="3" hidden="1">{"'용역비'!$A$4:$C$8"}</definedName>
    <definedName name="응용" localSheetId="4" hidden="1">{"'용역비'!$A$4:$C$8"}</definedName>
    <definedName name="응용" localSheetId="5" hidden="1">{"'용역비'!$A$4:$C$8"}</definedName>
    <definedName name="응용" localSheetId="6" hidden="1">{"'용역비'!$A$4:$C$8"}</definedName>
    <definedName name="응용" localSheetId="7" hidden="1">{"'용역비'!$A$4:$C$8"}</definedName>
    <definedName name="응용" localSheetId="1" hidden="1">{"'용역비'!$A$4:$C$8"}</definedName>
    <definedName name="응용" localSheetId="0" hidden="1">{"'용역비'!$A$4:$C$8"}</definedName>
    <definedName name="응용" hidden="1">{"'용역비'!$A$4:$C$8"}</definedName>
    <definedName name="의" localSheetId="3" hidden="1">{#N/A,#N/A,FALSE,"운반시간"}</definedName>
    <definedName name="의" localSheetId="4" hidden="1">{#N/A,#N/A,FALSE,"운반시간"}</definedName>
    <definedName name="의" localSheetId="5" hidden="1">{#N/A,#N/A,FALSE,"운반시간"}</definedName>
    <definedName name="의" localSheetId="6" hidden="1">{#N/A,#N/A,FALSE,"운반시간"}</definedName>
    <definedName name="의" localSheetId="7" hidden="1">{#N/A,#N/A,FALSE,"운반시간"}</definedName>
    <definedName name="의" localSheetId="1" hidden="1">{#N/A,#N/A,FALSE,"운반시간"}</definedName>
    <definedName name="의" localSheetId="0" hidden="1">{#N/A,#N/A,FALSE,"운반시간"}</definedName>
    <definedName name="의" hidden="1">{#N/A,#N/A,FALSE,"운반시간"}</definedName>
    <definedName name="이름" localSheetId="3" hidden="1">{#N/A,#N/A,FALSE,"구조1"}</definedName>
    <definedName name="이름" localSheetId="4" hidden="1">{#N/A,#N/A,FALSE,"구조1"}</definedName>
    <definedName name="이름" localSheetId="5" hidden="1">{#N/A,#N/A,FALSE,"구조1"}</definedName>
    <definedName name="이름" localSheetId="6" hidden="1">{#N/A,#N/A,FALSE,"구조1"}</definedName>
    <definedName name="이름" localSheetId="7" hidden="1">{#N/A,#N/A,FALSE,"구조1"}</definedName>
    <definedName name="이름" localSheetId="1" hidden="1">#REF!</definedName>
    <definedName name="이름" localSheetId="0" hidden="1">#REF!</definedName>
    <definedName name="이름" hidden="1">{#N/A,#N/A,FALSE,"구조1"}</definedName>
    <definedName name="이이잉" localSheetId="3" hidden="1">{#N/A,#N/A,FALSE,"전열산출서"}</definedName>
    <definedName name="이이잉" localSheetId="4" hidden="1">{#N/A,#N/A,FALSE,"전열산출서"}</definedName>
    <definedName name="이이잉" localSheetId="5" hidden="1">{#N/A,#N/A,FALSE,"전열산출서"}</definedName>
    <definedName name="이이잉" localSheetId="6" hidden="1">{#N/A,#N/A,FALSE,"전열산출서"}</definedName>
    <definedName name="이이잉" localSheetId="7" hidden="1">{#N/A,#N/A,FALSE,"전열산출서"}</definedName>
    <definedName name="이이잉" localSheetId="1" hidden="1">{#N/A,#N/A,FALSE,"전열산출서"}</definedName>
    <definedName name="이이잉" localSheetId="0" hidden="1">{#N/A,#N/A,FALSE,"전열산출서"}</definedName>
    <definedName name="이이잉" hidden="1">{#N/A,#N/A,FALSE,"전열산출서"}</definedName>
    <definedName name="이천순복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[21]실행철강하도!$A$1:$A$4</definedName>
    <definedName name="일위" localSheetId="3" hidden="1">{#N/A,#N/A,FALSE,"3가";#N/A,#N/A,FALSE,"3나";#N/A,#N/A,FALSE,"3다"}</definedName>
    <definedName name="일위" localSheetId="4" hidden="1">{#N/A,#N/A,FALSE,"3가";#N/A,#N/A,FALSE,"3나";#N/A,#N/A,FALSE,"3다"}</definedName>
    <definedName name="일위" localSheetId="5" hidden="1">{#N/A,#N/A,FALSE,"3가";#N/A,#N/A,FALSE,"3나";#N/A,#N/A,FALSE,"3다"}</definedName>
    <definedName name="일위" localSheetId="6" hidden="1">{#N/A,#N/A,FALSE,"3가";#N/A,#N/A,FALSE,"3나";#N/A,#N/A,FALSE,"3다"}</definedName>
    <definedName name="일위" localSheetId="1" hidden="1">{#N/A,#N/A,FALSE,"3가";#N/A,#N/A,FALSE,"3나";#N/A,#N/A,FALSE,"3다"}</definedName>
    <definedName name="일위" hidden="1">{#N/A,#N/A,FALSE,"3가";#N/A,#N/A,FALSE,"3나";#N/A,#N/A,FALSE,"3다"}</definedName>
    <definedName name="일집" localSheetId="1" hidden="1">#REF!</definedName>
    <definedName name="일집" localSheetId="0" hidden="1">#REF!</definedName>
    <definedName name="일집" hidden="1">#REF!</definedName>
    <definedName name="임ㄴ" localSheetId="3" hidden="1">{"'공사부문'!$A$6:$A$32"}</definedName>
    <definedName name="임ㄴ" localSheetId="4" hidden="1">{"'공사부문'!$A$6:$A$32"}</definedName>
    <definedName name="임ㄴ" localSheetId="5" hidden="1">{"'공사부문'!$A$6:$A$32"}</definedName>
    <definedName name="임ㄴ" localSheetId="6" hidden="1">{"'공사부문'!$A$6:$A$32"}</definedName>
    <definedName name="임ㄴ" localSheetId="7" hidden="1">{"'공사부문'!$A$6:$A$32"}</definedName>
    <definedName name="임ㄴ" localSheetId="1" hidden="1">{"'공사부문'!$A$6:$A$32"}</definedName>
    <definedName name="임ㄴ" localSheetId="0" hidden="1">{"'공사부문'!$A$6:$A$32"}</definedName>
    <definedName name="임ㄴ" hidden="1">{"'공사부문'!$A$6:$A$32"}</definedName>
    <definedName name="임시" localSheetId="3" hidden="1">{#N/A,#N/A,TRUE,"토적및재료집계";#N/A,#N/A,TRUE,"토적및재료집계";#N/A,#N/A,TRUE,"단위량"}</definedName>
    <definedName name="임시" localSheetId="4" hidden="1">{#N/A,#N/A,TRUE,"토적및재료집계";#N/A,#N/A,TRUE,"토적및재료집계";#N/A,#N/A,TRUE,"단위량"}</definedName>
    <definedName name="임시" localSheetId="5" hidden="1">{#N/A,#N/A,TRUE,"토적및재료집계";#N/A,#N/A,TRUE,"토적및재료집계";#N/A,#N/A,TRUE,"단위량"}</definedName>
    <definedName name="임시" localSheetId="6" hidden="1">{#N/A,#N/A,TRUE,"토적및재료집계";#N/A,#N/A,TRUE,"토적및재료집계";#N/A,#N/A,TRUE,"단위량"}</definedName>
    <definedName name="임시" localSheetId="7" hidden="1">{#N/A,#N/A,TRUE,"토적및재료집계";#N/A,#N/A,TRUE,"토적및재료집계";#N/A,#N/A,TRUE,"단위량"}</definedName>
    <definedName name="임시" localSheetId="1" hidden="1">{#N/A,#N/A,TRUE,"토적및재료집계";#N/A,#N/A,TRUE,"토적및재료집계";#N/A,#N/A,TRUE,"단위량"}</definedName>
    <definedName name="임시" localSheetId="0" hidden="1">{#N/A,#N/A,TRUE,"토적및재료집계";#N/A,#N/A,TRUE,"토적및재료집계";#N/A,#N/A,TRUE,"단위량"}</definedName>
    <definedName name="임시" hidden="1">{#N/A,#N/A,TRUE,"토적및재료집계";#N/A,#N/A,TRUE,"토적및재료집계";#N/A,#N/A,TRUE,"단위량"}</definedName>
    <definedName name="임형" localSheetId="3" hidden="1">{#N/A,#N/A,FALSE,"포장2"}</definedName>
    <definedName name="임형" localSheetId="4" hidden="1">{#N/A,#N/A,FALSE,"포장2"}</definedName>
    <definedName name="임형" localSheetId="5" hidden="1">{#N/A,#N/A,FALSE,"포장2"}</definedName>
    <definedName name="임형" localSheetId="6" hidden="1">{#N/A,#N/A,FALSE,"포장2"}</definedName>
    <definedName name="임형" localSheetId="7" hidden="1">{#N/A,#N/A,FALSE,"포장2"}</definedName>
    <definedName name="임형" localSheetId="1" hidden="1">{#N/A,#N/A,FALSE,"포장2"}</definedName>
    <definedName name="임형" localSheetId="0" hidden="1">{#N/A,#N/A,FALSE,"포장2"}</definedName>
    <definedName name="임형" hidden="1">{#N/A,#N/A,FALSE,"포장2"}</definedName>
    <definedName name="입찰금액안" hidden="1">[50]집계표!#REF!</definedName>
    <definedName name="잊" localSheetId="3" hidden="1">{#N/A,#N/A,FALSE,"ALM-ASISC"}</definedName>
    <definedName name="잊" localSheetId="4" hidden="1">{#N/A,#N/A,FALSE,"ALM-ASISC"}</definedName>
    <definedName name="잊" localSheetId="5" hidden="1">{#N/A,#N/A,FALSE,"ALM-ASISC"}</definedName>
    <definedName name="잊" localSheetId="6" hidden="1">{#N/A,#N/A,FALSE,"ALM-ASISC"}</definedName>
    <definedName name="잊" localSheetId="1" hidden="1">{#N/A,#N/A,FALSE,"ALM-ASISC"}</definedName>
    <definedName name="잊" hidden="1">{#N/A,#N/A,FALSE,"ALM-ASISC"}</definedName>
    <definedName name="ㅈ" localSheetId="3" hidden="1">{#N/A,#N/A,TRUE,"토적및재료집계";#N/A,#N/A,TRUE,"토적및재료집계";#N/A,#N/A,TRUE,"단위량"}</definedName>
    <definedName name="ㅈ" localSheetId="4" hidden="1">{#N/A,#N/A,TRUE,"토적및재료집계";#N/A,#N/A,TRUE,"토적및재료집계";#N/A,#N/A,TRUE,"단위량"}</definedName>
    <definedName name="ㅈ" localSheetId="5" hidden="1">{#N/A,#N/A,TRUE,"토적및재료집계";#N/A,#N/A,TRUE,"토적및재료집계";#N/A,#N/A,TRUE,"단위량"}</definedName>
    <definedName name="ㅈ" localSheetId="6" hidden="1">{#N/A,#N/A,TRUE,"토적및재료집계";#N/A,#N/A,TRUE,"토적및재료집계";#N/A,#N/A,TRUE,"단위량"}</definedName>
    <definedName name="ㅈ" localSheetId="7" hidden="1">{#N/A,#N/A,TRUE,"토적및재료집계";#N/A,#N/A,TRUE,"토적및재료집계";#N/A,#N/A,TRUE,"단위량"}</definedName>
    <definedName name="ㅈ" localSheetId="1" hidden="1">{#N/A,#N/A,FALSE,"ALM-ASISC"}</definedName>
    <definedName name="ㅈ" localSheetId="0" hidden="1">{#N/A,#N/A,FALSE,"ALM-ASISC"}</definedName>
    <definedName name="ㅈ" hidden="1">{#N/A,#N/A,TRUE,"토적및재료집계";#N/A,#N/A,TRUE,"토적및재료집계";#N/A,#N/A,TRUE,"단위량"}</definedName>
    <definedName name="ㅈ56ㅕ" localSheetId="3" hidden="1">{"'용역비'!$A$4:$C$8"}</definedName>
    <definedName name="ㅈ56ㅕ" localSheetId="4" hidden="1">{"'용역비'!$A$4:$C$8"}</definedName>
    <definedName name="ㅈ56ㅕ" localSheetId="5" hidden="1">{"'용역비'!$A$4:$C$8"}</definedName>
    <definedName name="ㅈ56ㅕ" localSheetId="6" hidden="1">{"'용역비'!$A$4:$C$8"}</definedName>
    <definedName name="ㅈ56ㅕ" localSheetId="7" hidden="1">{"'용역비'!$A$4:$C$8"}</definedName>
    <definedName name="ㅈ56ㅕ" localSheetId="1" hidden="1">{"'용역비'!$A$4:$C$8"}</definedName>
    <definedName name="ㅈ56ㅕ" localSheetId="0" hidden="1">{"'용역비'!$A$4:$C$8"}</definedName>
    <definedName name="ㅈ56ㅕ" hidden="1">{"'용역비'!$A$4:$C$8"}</definedName>
    <definedName name="ㅈㄷㄱㄷㄱㄷ" localSheetId="3" hidden="1">{"'용역비'!$A$4:$C$8"}</definedName>
    <definedName name="ㅈㄷㄱㄷㄱㄷ" localSheetId="4" hidden="1">{"'용역비'!$A$4:$C$8"}</definedName>
    <definedName name="ㅈㄷㄱㄷㄱㄷ" localSheetId="5" hidden="1">{"'용역비'!$A$4:$C$8"}</definedName>
    <definedName name="ㅈㄷㄱㄷㄱㄷ" localSheetId="6" hidden="1">{"'용역비'!$A$4:$C$8"}</definedName>
    <definedName name="ㅈㄷㄱㄷㄱㄷ" localSheetId="7" hidden="1">{"'용역비'!$A$4:$C$8"}</definedName>
    <definedName name="ㅈㄷㄱㄷㄱㄷ" localSheetId="1" hidden="1">{"'용역비'!$A$4:$C$8"}</definedName>
    <definedName name="ㅈㄷㄱㄷㄱㄷ" localSheetId="0" hidden="1">{"'용역비'!$A$4:$C$8"}</definedName>
    <definedName name="ㅈㄷㄱㄷㄱㄷ" hidden="1">{"'용역비'!$A$4:$C$8"}</definedName>
    <definedName name="ㅈㅂㄷㅈㅂㄷ" localSheetId="3" hidden="1">{#N/A,#N/A,FALSE,"ALM-ASISC"}</definedName>
    <definedName name="ㅈㅂㄷㅈㅂㄷ" localSheetId="4" hidden="1">{#N/A,#N/A,FALSE,"ALM-ASISC"}</definedName>
    <definedName name="ㅈㅂㄷㅈㅂㄷ" localSheetId="5" hidden="1">{#N/A,#N/A,FALSE,"ALM-ASISC"}</definedName>
    <definedName name="ㅈㅂㄷㅈㅂㄷ" localSheetId="6" hidden="1">{#N/A,#N/A,FALSE,"ALM-ASISC"}</definedName>
    <definedName name="ㅈㅂㄷㅈㅂㄷ" localSheetId="1" hidden="1">{#N/A,#N/A,FALSE,"ALM-ASISC"}</definedName>
    <definedName name="ㅈㅂㄷㅈㅂㄷ" hidden="1">{#N/A,#N/A,FALSE,"ALM-ASISC"}</definedName>
    <definedName name="ㅈㅇ" localSheetId="3" hidden="1">{"'용역비'!$A$4:$C$8"}</definedName>
    <definedName name="ㅈㅇ" localSheetId="4" hidden="1">{"'용역비'!$A$4:$C$8"}</definedName>
    <definedName name="ㅈㅇ" localSheetId="5" hidden="1">{"'용역비'!$A$4:$C$8"}</definedName>
    <definedName name="ㅈㅇ" localSheetId="6" hidden="1">{"'용역비'!$A$4:$C$8"}</definedName>
    <definedName name="ㅈㅇ" localSheetId="7" hidden="1">{"'용역비'!$A$4:$C$8"}</definedName>
    <definedName name="ㅈㅇ" localSheetId="1" hidden="1">{"'용역비'!$A$4:$C$8"}</definedName>
    <definedName name="ㅈㅇ" localSheetId="0" hidden="1">{"'용역비'!$A$4:$C$8"}</definedName>
    <definedName name="ㅈㅇ" hidden="1">{"'용역비'!$A$4:$C$8"}</definedName>
    <definedName name="ㅈㅈㅈ" localSheetId="3" hidden="1">{"'용역비'!$A$4:$C$8"}</definedName>
    <definedName name="ㅈㅈㅈ" localSheetId="4" hidden="1">{"'용역비'!$A$4:$C$8"}</definedName>
    <definedName name="ㅈㅈㅈ" localSheetId="5" hidden="1">{"'용역비'!$A$4:$C$8"}</definedName>
    <definedName name="ㅈㅈㅈ" localSheetId="6" hidden="1">{"'용역비'!$A$4:$C$8"}</definedName>
    <definedName name="ㅈㅈㅈ" localSheetId="7" hidden="1">{"'용역비'!$A$4:$C$8"}</definedName>
    <definedName name="ㅈㅈㅈ" localSheetId="1" hidden="1">{"'용역비'!$A$4:$C$8"}</definedName>
    <definedName name="ㅈㅈㅈ" localSheetId="0" hidden="1">{"'용역비'!$A$4:$C$8"}</definedName>
    <definedName name="ㅈㅈㅈ" hidden="1">{"'용역비'!$A$4:$C$8"}</definedName>
    <definedName name="ㅈㅈㅈㅈㅈㅈ" localSheetId="3" hidden="1">{"'용역비'!$A$4:$C$8"}</definedName>
    <definedName name="ㅈㅈㅈㅈㅈㅈ" localSheetId="4" hidden="1">{"'용역비'!$A$4:$C$8"}</definedName>
    <definedName name="ㅈㅈㅈㅈㅈㅈ" localSheetId="5" hidden="1">{"'용역비'!$A$4:$C$8"}</definedName>
    <definedName name="ㅈㅈㅈㅈㅈㅈ" localSheetId="6" hidden="1">{"'용역비'!$A$4:$C$8"}</definedName>
    <definedName name="ㅈㅈㅈㅈㅈㅈ" localSheetId="7" hidden="1">{"'용역비'!$A$4:$C$8"}</definedName>
    <definedName name="ㅈㅈㅈㅈㅈㅈ" localSheetId="1" hidden="1">{"'용역비'!$A$4:$C$8"}</definedName>
    <definedName name="ㅈㅈㅈㅈㅈㅈ" localSheetId="0" hidden="1">{"'용역비'!$A$4:$C$8"}</definedName>
    <definedName name="ㅈㅈㅈㅈㅈㅈ" hidden="1">{"'용역비'!$A$4:$C$8"}</definedName>
    <definedName name="자" localSheetId="3" hidden="1">{"'용역비'!$A$4:$C$8"}</definedName>
    <definedName name="자" localSheetId="4" hidden="1">{"'용역비'!$A$4:$C$8"}</definedName>
    <definedName name="자" localSheetId="5" hidden="1">{"'용역비'!$A$4:$C$8"}</definedName>
    <definedName name="자" localSheetId="6" hidden="1">{"'용역비'!$A$4:$C$8"}</definedName>
    <definedName name="자" localSheetId="7" hidden="1">{"'용역비'!$A$4:$C$8"}</definedName>
    <definedName name="자" localSheetId="1" hidden="1">{#N/A,#N/A,FALSE,"3가";#N/A,#N/A,FALSE,"3나";#N/A,#N/A,FALSE,"3다"}</definedName>
    <definedName name="자" localSheetId="0" hidden="1">{#N/A,#N/A,FALSE,"3가";#N/A,#N/A,FALSE,"3나";#N/A,#N/A,FALSE,"3다"}</definedName>
    <definedName name="자" hidden="1">{"'용역비'!$A$4:$C$8"}</definedName>
    <definedName name="자재" localSheetId="3" hidden="1">{#N/A,#N/A,FALSE,"포장2"}</definedName>
    <definedName name="자재" localSheetId="4" hidden="1">{#N/A,#N/A,FALSE,"포장2"}</definedName>
    <definedName name="자재" localSheetId="5" hidden="1">{#N/A,#N/A,FALSE,"포장2"}</definedName>
    <definedName name="자재" localSheetId="6" hidden="1">{#N/A,#N/A,FALSE,"포장2"}</definedName>
    <definedName name="자재" localSheetId="7" hidden="1">{#N/A,#N/A,FALSE,"포장2"}</definedName>
    <definedName name="자재" localSheetId="1" hidden="1">{#N/A,#N/A,FALSE,"포장2"}</definedName>
    <definedName name="자재" localSheetId="0" hidden="1">{#N/A,#N/A,FALSE,"포장2"}</definedName>
    <definedName name="자재" hidden="1">{#N/A,#N/A,FALSE,"포장2"}</definedName>
    <definedName name="자재1" localSheetId="3" hidden="1">{#N/A,#N/A,FALSE,"포장2"}</definedName>
    <definedName name="자재1" localSheetId="4" hidden="1">{#N/A,#N/A,FALSE,"포장2"}</definedName>
    <definedName name="자재1" localSheetId="5" hidden="1">{#N/A,#N/A,FALSE,"포장2"}</definedName>
    <definedName name="자재1" localSheetId="6" hidden="1">{#N/A,#N/A,FALSE,"포장2"}</definedName>
    <definedName name="자재1" localSheetId="7" hidden="1">{#N/A,#N/A,FALSE,"포장2"}</definedName>
    <definedName name="자재1" localSheetId="1" hidden="1">{#N/A,#N/A,FALSE,"포장2"}</definedName>
    <definedName name="자재1" localSheetId="0" hidden="1">{#N/A,#N/A,FALSE,"포장2"}</definedName>
    <definedName name="자재1" hidden="1">{#N/A,#N/A,FALSE,"포장2"}</definedName>
    <definedName name="자재2" localSheetId="3" hidden="1">{#N/A,#N/A,FALSE,"구조2"}</definedName>
    <definedName name="자재2" localSheetId="4" hidden="1">{#N/A,#N/A,FALSE,"구조2"}</definedName>
    <definedName name="자재2" localSheetId="5" hidden="1">{#N/A,#N/A,FALSE,"구조2"}</definedName>
    <definedName name="자재2" localSheetId="6" hidden="1">{#N/A,#N/A,FALSE,"구조2"}</definedName>
    <definedName name="자재2" localSheetId="7" hidden="1">{#N/A,#N/A,FALSE,"구조2"}</definedName>
    <definedName name="자재2" localSheetId="1" hidden="1">{#N/A,#N/A,FALSE,"구조2"}</definedName>
    <definedName name="자재2" localSheetId="0" hidden="1">{#N/A,#N/A,FALSE,"구조2"}</definedName>
    <definedName name="자재2" hidden="1">{#N/A,#N/A,FALSE,"구조2"}</definedName>
    <definedName name="자재비" localSheetId="3" hidden="1">{"'용역비'!$A$4:$C$8"}</definedName>
    <definedName name="자재비" localSheetId="4" hidden="1">{"'용역비'!$A$4:$C$8"}</definedName>
    <definedName name="자재비" localSheetId="5" hidden="1">{"'용역비'!$A$4:$C$8"}</definedName>
    <definedName name="자재비" localSheetId="6" hidden="1">{"'용역비'!$A$4:$C$8"}</definedName>
    <definedName name="자재비" localSheetId="7" hidden="1">{"'용역비'!$A$4:$C$8"}</definedName>
    <definedName name="자재비" localSheetId="1" hidden="1">{"'용역비'!$A$4:$C$8"}</definedName>
    <definedName name="자재비" localSheetId="0" hidden="1">{"'용역비'!$A$4:$C$8"}</definedName>
    <definedName name="자재비" hidden="1">{"'용역비'!$A$4:$C$8"}</definedName>
    <definedName name="자ㅓㄷ" localSheetId="3" hidden="1">{#N/A,#N/A,FALSE,"ALM-ASISC"}</definedName>
    <definedName name="자ㅓㄷ" localSheetId="4" hidden="1">{#N/A,#N/A,FALSE,"ALM-ASISC"}</definedName>
    <definedName name="자ㅓㄷ" localSheetId="5" hidden="1">{#N/A,#N/A,FALSE,"ALM-ASISC"}</definedName>
    <definedName name="자ㅓㄷ" localSheetId="6" hidden="1">{#N/A,#N/A,FALSE,"ALM-ASISC"}</definedName>
    <definedName name="자ㅓㄷ" localSheetId="1" hidden="1">{#N/A,#N/A,FALSE,"ALM-ASISC"}</definedName>
    <definedName name="자ㅓㄷ" hidden="1">{#N/A,#N/A,FALSE,"ALM-ASISC"}</definedName>
    <definedName name="장기성예금" hidden="1">[51]현금예금!$D$8:$D$49</definedName>
    <definedName name="장영규지후" localSheetId="3" hidden="1">{#N/A,#N/A,FALSE,"전력간선"}</definedName>
    <definedName name="장영규지후" localSheetId="4" hidden="1">{#N/A,#N/A,FALSE,"전력간선"}</definedName>
    <definedName name="장영규지후" localSheetId="5" hidden="1">{#N/A,#N/A,FALSE,"전력간선"}</definedName>
    <definedName name="장영규지후" localSheetId="6" hidden="1">{#N/A,#N/A,FALSE,"전력간선"}</definedName>
    <definedName name="장영규지후" localSheetId="7" hidden="1">{#N/A,#N/A,FALSE,"전력간선"}</definedName>
    <definedName name="장영규지후" localSheetId="1" hidden="1">{#N/A,#N/A,FALSE,"전력간선"}</definedName>
    <definedName name="장영규지후" localSheetId="0" hidden="1">{#N/A,#N/A,FALSE,"전력간선"}</definedName>
    <definedName name="장영규지후" hidden="1">{#N/A,#N/A,FALSE,"전력간선"}</definedName>
    <definedName name="장집" localSheetId="3" hidden="1">{"'용역비'!$A$4:$C$8"}</definedName>
    <definedName name="장집" localSheetId="4" hidden="1">{"'용역비'!$A$4:$C$8"}</definedName>
    <definedName name="장집" localSheetId="5" hidden="1">{"'용역비'!$A$4:$C$8"}</definedName>
    <definedName name="장집" localSheetId="6" hidden="1">{"'용역비'!$A$4:$C$8"}</definedName>
    <definedName name="장집" localSheetId="7" hidden="1">{"'용역비'!$A$4:$C$8"}</definedName>
    <definedName name="장집" localSheetId="1" hidden="1">{"'용역비'!$A$4:$C$8"}</definedName>
    <definedName name="장집" localSheetId="0" hidden="1">{"'용역비'!$A$4:$C$8"}</definedName>
    <definedName name="장집" hidden="1">{"'용역비'!$A$4:$C$8"}</definedName>
    <definedName name="장하다" hidden="1">#REF!</definedName>
    <definedName name="재집" localSheetId="3" hidden="1">{"'용역비'!$A$4:$C$8"}</definedName>
    <definedName name="재집" localSheetId="4" hidden="1">{"'용역비'!$A$4:$C$8"}</definedName>
    <definedName name="재집" localSheetId="5" hidden="1">{"'용역비'!$A$4:$C$8"}</definedName>
    <definedName name="재집" localSheetId="6" hidden="1">{"'용역비'!$A$4:$C$8"}</definedName>
    <definedName name="재집" localSheetId="7" hidden="1">{"'용역비'!$A$4:$C$8"}</definedName>
    <definedName name="재집" localSheetId="1" hidden="1">{"'용역비'!$A$4:$C$8"}</definedName>
    <definedName name="재집" localSheetId="0" hidden="1">{"'용역비'!$A$4:$C$8"}</definedName>
    <definedName name="재집" hidden="1">{"'용역비'!$A$4:$C$8"}</definedName>
    <definedName name="전2" localSheetId="3" hidden="1">{#N/A,#N/A,FALSE,"정공"}</definedName>
    <definedName name="전2" localSheetId="4" hidden="1">{#N/A,#N/A,FALSE,"정공"}</definedName>
    <definedName name="전2" localSheetId="5" hidden="1">{#N/A,#N/A,FALSE,"정공"}</definedName>
    <definedName name="전2" localSheetId="6" hidden="1">{#N/A,#N/A,FALSE,"정공"}</definedName>
    <definedName name="전2" localSheetId="7" hidden="1">{#N/A,#N/A,FALSE,"정공"}</definedName>
    <definedName name="전2" localSheetId="1" hidden="1">{#N/A,#N/A,FALSE,"정공"}</definedName>
    <definedName name="전2" localSheetId="0" hidden="1">{#N/A,#N/A,FALSE,"정공"}</definedName>
    <definedName name="전2" hidden="1">{#N/A,#N/A,FALSE,"정공"}</definedName>
    <definedName name="전략" localSheetId="3" hidden="1">{#N/A,#N/A,FALSE,"정공"}</definedName>
    <definedName name="전략" localSheetId="4" hidden="1">{#N/A,#N/A,FALSE,"정공"}</definedName>
    <definedName name="전략" localSheetId="5" hidden="1">{#N/A,#N/A,FALSE,"정공"}</definedName>
    <definedName name="전략" localSheetId="6" hidden="1">{#N/A,#N/A,FALSE,"정공"}</definedName>
    <definedName name="전략" localSheetId="7" hidden="1">{#N/A,#N/A,FALSE,"정공"}</definedName>
    <definedName name="전략" localSheetId="1" hidden="1">{#N/A,#N/A,FALSE,"정공"}</definedName>
    <definedName name="전략" localSheetId="0" hidden="1">{#N/A,#N/A,FALSE,"정공"}</definedName>
    <definedName name="전략" hidden="1">{#N/A,#N/A,FALSE,"정공"}</definedName>
    <definedName name="전략2" localSheetId="3" hidden="1">{#N/A,#N/A,FALSE,"정공"}</definedName>
    <definedName name="전략2" localSheetId="4" hidden="1">{#N/A,#N/A,FALSE,"정공"}</definedName>
    <definedName name="전략2" localSheetId="5" hidden="1">{#N/A,#N/A,FALSE,"정공"}</definedName>
    <definedName name="전략2" localSheetId="6" hidden="1">{#N/A,#N/A,FALSE,"정공"}</definedName>
    <definedName name="전략2" localSheetId="7" hidden="1">{#N/A,#N/A,FALSE,"정공"}</definedName>
    <definedName name="전략2" localSheetId="1" hidden="1">{#N/A,#N/A,FALSE,"정공"}</definedName>
    <definedName name="전략2" localSheetId="0" hidden="1">{#N/A,#N/A,FALSE,"정공"}</definedName>
    <definedName name="전략2" hidden="1">{#N/A,#N/A,FALSE,"정공"}</definedName>
    <definedName name="전략투" localSheetId="3" hidden="1">{#N/A,#N/A,FALSE,"정공"}</definedName>
    <definedName name="전략투" localSheetId="4" hidden="1">{#N/A,#N/A,FALSE,"정공"}</definedName>
    <definedName name="전략투" localSheetId="5" hidden="1">{#N/A,#N/A,FALSE,"정공"}</definedName>
    <definedName name="전략투" localSheetId="6" hidden="1">{#N/A,#N/A,FALSE,"정공"}</definedName>
    <definedName name="전략투" localSheetId="7" hidden="1">{#N/A,#N/A,FALSE,"정공"}</definedName>
    <definedName name="전략투" localSheetId="1" hidden="1">{#N/A,#N/A,FALSE,"정공"}</definedName>
    <definedName name="전략투" localSheetId="0" hidden="1">{#N/A,#N/A,FALSE,"정공"}</definedName>
    <definedName name="전략투" hidden="1">{#N/A,#N/A,FALSE,"정공"}</definedName>
    <definedName name="점검_시작">[11]WBS!$H$118:$H$120</definedName>
    <definedName name="점검_완료">[11]WBS!$I$118:$I$120</definedName>
    <definedName name="점검_현황">[11]WBS!$F$118:$F$120</definedName>
    <definedName name="정" localSheetId="3" hidden="1">{#N/A,#N/A,FALSE,"ALM-ASISC"}</definedName>
    <definedName name="정" localSheetId="4" hidden="1">{#N/A,#N/A,FALSE,"ALM-ASISC"}</definedName>
    <definedName name="정" localSheetId="5" hidden="1">{#N/A,#N/A,FALSE,"ALM-ASISC"}</definedName>
    <definedName name="정" localSheetId="6" hidden="1">{#N/A,#N/A,FALSE,"ALM-ASISC"}</definedName>
    <definedName name="정" localSheetId="1" hidden="1">{#N/A,#N/A,FALSE,"ALM-ASISC"}</definedName>
    <definedName name="정" hidden="1">{#N/A,#N/A,FALSE,"ALM-ASISC"}</definedName>
    <definedName name="제수추가" localSheetId="3" hidden="1">{"'용역비'!$A$4:$C$8"}</definedName>
    <definedName name="제수추가" localSheetId="4" hidden="1">{"'용역비'!$A$4:$C$8"}</definedName>
    <definedName name="제수추가" localSheetId="5" hidden="1">{"'용역비'!$A$4:$C$8"}</definedName>
    <definedName name="제수추가" localSheetId="6" hidden="1">{"'용역비'!$A$4:$C$8"}</definedName>
    <definedName name="제수추가" localSheetId="7" hidden="1">{"'용역비'!$A$4:$C$8"}</definedName>
    <definedName name="제수추가" localSheetId="1" hidden="1">{"'용역비'!$A$4:$C$8"}</definedName>
    <definedName name="제수추가" localSheetId="0" hidden="1">{"'용역비'!$A$4:$C$8"}</definedName>
    <definedName name="제수추가" hidden="1">{"'용역비'!$A$4:$C$8"}</definedName>
    <definedName name="제조_주요업무2" hidden="1">'[52]Contract Cover'!$I$2:$I$118</definedName>
    <definedName name="제조3"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주추가종합수정안" localSheetId="3" hidden="1">{#N/A,#N/A,FALSE,"3가";#N/A,#N/A,FALSE,"3나";#N/A,#N/A,FALSE,"3다"}</definedName>
    <definedName name="제주추가종합수정안" localSheetId="4" hidden="1">{#N/A,#N/A,FALSE,"3가";#N/A,#N/A,FALSE,"3나";#N/A,#N/A,FALSE,"3다"}</definedName>
    <definedName name="제주추가종합수정안" localSheetId="5" hidden="1">{#N/A,#N/A,FALSE,"3가";#N/A,#N/A,FALSE,"3나";#N/A,#N/A,FALSE,"3다"}</definedName>
    <definedName name="제주추가종합수정안" localSheetId="6" hidden="1">{#N/A,#N/A,FALSE,"3가";#N/A,#N/A,FALSE,"3나";#N/A,#N/A,FALSE,"3다"}</definedName>
    <definedName name="제주추가종합수정안" localSheetId="1" hidden="1">{#N/A,#N/A,FALSE,"3가";#N/A,#N/A,FALSE,"3나";#N/A,#N/A,FALSE,"3다"}</definedName>
    <definedName name="제주추가종합수정안" hidden="1">{#N/A,#N/A,FALSE,"3가";#N/A,#N/A,FALSE,"3나";#N/A,#N/A,FALSE,"3다"}</definedName>
    <definedName name="조별유형" hidden="1">#REF!</definedName>
    <definedName name="조사가" localSheetId="1" hidden="1">[53]입찰안!#REF!</definedName>
    <definedName name="조사가" localSheetId="0" hidden="1">[53]입찰안!#REF!</definedName>
    <definedName name="조사가" hidden="1">[53]입찰안!#REF!</definedName>
    <definedName name="종료감리_시작">[11]WBS!$H$91:$H$93</definedName>
    <definedName name="종료감리_완료">[11]WBS!$I$91:$I$93</definedName>
    <definedName name="종료감리_현황">[11]WBS!$F$91:$F$93</definedName>
    <definedName name="종합2" localSheetId="3" hidden="1">{#N/A,#N/A,FALSE,"정공"}</definedName>
    <definedName name="종합2" localSheetId="4" hidden="1">{#N/A,#N/A,FALSE,"정공"}</definedName>
    <definedName name="종합2" localSheetId="5" hidden="1">{#N/A,#N/A,FALSE,"정공"}</definedName>
    <definedName name="종합2" localSheetId="6" hidden="1">{#N/A,#N/A,FALSE,"정공"}</definedName>
    <definedName name="종합2" localSheetId="7" hidden="1">{#N/A,#N/A,FALSE,"정공"}</definedName>
    <definedName name="종합2" localSheetId="1" hidden="1">{#N/A,#N/A,FALSE,"정공"}</definedName>
    <definedName name="종합2" localSheetId="0" hidden="1">{#N/A,#N/A,FALSE,"정공"}</definedName>
    <definedName name="종합2" hidden="1">{#N/A,#N/A,FALSE,"정공"}</definedName>
    <definedName name="종합미래2" localSheetId="3" hidden="1">{#N/A,#N/A,FALSE,"정공"}</definedName>
    <definedName name="종합미래2" localSheetId="4" hidden="1">{#N/A,#N/A,FALSE,"정공"}</definedName>
    <definedName name="종합미래2" localSheetId="5" hidden="1">{#N/A,#N/A,FALSE,"정공"}</definedName>
    <definedName name="종합미래2" localSheetId="6" hidden="1">{#N/A,#N/A,FALSE,"정공"}</definedName>
    <definedName name="종합미래2" localSheetId="7" hidden="1">{#N/A,#N/A,FALSE,"정공"}</definedName>
    <definedName name="종합미래2" localSheetId="1" hidden="1">{#N/A,#N/A,FALSE,"정공"}</definedName>
    <definedName name="종합미래2" localSheetId="0" hidden="1">{#N/A,#N/A,FALSE,"정공"}</definedName>
    <definedName name="종합미래2" hidden="1">{#N/A,#N/A,FALSE,"정공"}</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보고_현황">[11]WBS!$F$37:$F$58</definedName>
    <definedName name="중간보고_시작">[11]WBS!$H$67:$H$68</definedName>
    <definedName name="중간보고_종료">[11]WBS!$I$67:$I$68</definedName>
    <definedName name="중간보고_현황">[11]WBS!$F$67:$F$68</definedName>
    <definedName name="중요도">[29]작성가이드!#REF!</definedName>
    <definedName name="지더" localSheetId="3" hidden="1">{#N/A,#N/A,FALSE,"ALM-ASISC"}</definedName>
    <definedName name="지더" localSheetId="4" hidden="1">{#N/A,#N/A,FALSE,"ALM-ASISC"}</definedName>
    <definedName name="지더" localSheetId="5" hidden="1">{#N/A,#N/A,FALSE,"ALM-ASISC"}</definedName>
    <definedName name="지더" localSheetId="6" hidden="1">{#N/A,#N/A,FALSE,"ALM-ASISC"}</definedName>
    <definedName name="지더" localSheetId="1" hidden="1">{#N/A,#N/A,FALSE,"ALM-ASISC"}</definedName>
    <definedName name="지더" hidden="1">{#N/A,#N/A,FALSE,"ALM-ASISC"}</definedName>
    <definedName name="지두" localSheetId="3" hidden="1">{#N/A,#N/A,FALSE,"ALM-ASISC"}</definedName>
    <definedName name="지두" localSheetId="4" hidden="1">{#N/A,#N/A,FALSE,"ALM-ASISC"}</definedName>
    <definedName name="지두" localSheetId="5" hidden="1">{#N/A,#N/A,FALSE,"ALM-ASISC"}</definedName>
    <definedName name="지두" localSheetId="6" hidden="1">{#N/A,#N/A,FALSE,"ALM-ASISC"}</definedName>
    <definedName name="지두" localSheetId="1" hidden="1">{#N/A,#N/A,FALSE,"ALM-ASISC"}</definedName>
    <definedName name="지두" hidden="1">{#N/A,#N/A,FALSE,"ALM-ASISC"}</definedName>
    <definedName name="지역" localSheetId="3" hidden="1">{#N/A,#N/A,FALSE,"포장2"}</definedName>
    <definedName name="지역" localSheetId="4" hidden="1">{#N/A,#N/A,FALSE,"포장2"}</definedName>
    <definedName name="지역" localSheetId="5" hidden="1">{#N/A,#N/A,FALSE,"포장2"}</definedName>
    <definedName name="지역" localSheetId="6" hidden="1">{#N/A,#N/A,FALSE,"포장2"}</definedName>
    <definedName name="지역" localSheetId="7" hidden="1">{#N/A,#N/A,FALSE,"포장2"}</definedName>
    <definedName name="지역" localSheetId="1" hidden="1">{#N/A,#N/A,FALSE,"포장2"}</definedName>
    <definedName name="지역" localSheetId="0" hidden="1">{#N/A,#N/A,FALSE,"포장2"}</definedName>
    <definedName name="지역" hidden="1">{#N/A,#N/A,FALSE,"포장2"}</definedName>
    <definedName name="지역업체" localSheetId="3" hidden="1">{#N/A,#N/A,FALSE,"배수2"}</definedName>
    <definedName name="지역업체" localSheetId="4" hidden="1">{#N/A,#N/A,FALSE,"배수2"}</definedName>
    <definedName name="지역업체" localSheetId="5" hidden="1">{#N/A,#N/A,FALSE,"배수2"}</definedName>
    <definedName name="지역업체" localSheetId="6" hidden="1">{#N/A,#N/A,FALSE,"배수2"}</definedName>
    <definedName name="지역업체" localSheetId="7" hidden="1">{#N/A,#N/A,FALSE,"배수2"}</definedName>
    <definedName name="지역업체" localSheetId="1" hidden="1">{#N/A,#N/A,FALSE,"배수2"}</definedName>
    <definedName name="지역업체" localSheetId="0" hidden="1">{#N/A,#N/A,FALSE,"배수2"}</definedName>
    <definedName name="지역업체" hidden="1">{#N/A,#N/A,FALSE,"배수2"}</definedName>
    <definedName name="지철" localSheetId="3" hidden="1">{#N/A,#N/A,FALSE,"포장2"}</definedName>
    <definedName name="지철" localSheetId="4" hidden="1">{#N/A,#N/A,FALSE,"포장2"}</definedName>
    <definedName name="지철" localSheetId="5" hidden="1">{#N/A,#N/A,FALSE,"포장2"}</definedName>
    <definedName name="지철" localSheetId="6" hidden="1">{#N/A,#N/A,FALSE,"포장2"}</definedName>
    <definedName name="지철" localSheetId="7" hidden="1">{#N/A,#N/A,FALSE,"포장2"}</definedName>
    <definedName name="지철" localSheetId="1" hidden="1">{#N/A,#N/A,FALSE,"포장2"}</definedName>
    <definedName name="지철" localSheetId="0" hidden="1">{#N/A,#N/A,FALSE,"포장2"}</definedName>
    <definedName name="지철" hidden="1">{#N/A,#N/A,FALSE,"포장2"}</definedName>
    <definedName name="지철자재" localSheetId="3" hidden="1">{#N/A,#N/A,FALSE,"포장2"}</definedName>
    <definedName name="지철자재" localSheetId="4" hidden="1">{#N/A,#N/A,FALSE,"포장2"}</definedName>
    <definedName name="지철자재" localSheetId="5" hidden="1">{#N/A,#N/A,FALSE,"포장2"}</definedName>
    <definedName name="지철자재" localSheetId="6" hidden="1">{#N/A,#N/A,FALSE,"포장2"}</definedName>
    <definedName name="지철자재" localSheetId="7" hidden="1">{#N/A,#N/A,FALSE,"포장2"}</definedName>
    <definedName name="지철자재" localSheetId="1" hidden="1">{#N/A,#N/A,FALSE,"포장2"}</definedName>
    <definedName name="지철자재" localSheetId="0" hidden="1">{#N/A,#N/A,FALSE,"포장2"}</definedName>
    <definedName name="지철자재" hidden="1">{#N/A,#N/A,FALSE,"포장2"}</definedName>
    <definedName name="지침_시작">[11]WBS!$H$27:$H$31</definedName>
    <definedName name="지침_종료">[11]WBS!$I$27:$I$31</definedName>
    <definedName name="지토" localSheetId="3" hidden="1">{#N/A,#N/A,FALSE,"포장1";#N/A,#N/A,FALSE,"포장1"}</definedName>
    <definedName name="지토" localSheetId="4" hidden="1">{#N/A,#N/A,FALSE,"포장1";#N/A,#N/A,FALSE,"포장1"}</definedName>
    <definedName name="지토" localSheetId="5" hidden="1">{#N/A,#N/A,FALSE,"포장1";#N/A,#N/A,FALSE,"포장1"}</definedName>
    <definedName name="지토" localSheetId="6" hidden="1">{#N/A,#N/A,FALSE,"포장1";#N/A,#N/A,FALSE,"포장1"}</definedName>
    <definedName name="지토" localSheetId="7" hidden="1">{#N/A,#N/A,FALSE,"포장1";#N/A,#N/A,FALSE,"포장1"}</definedName>
    <definedName name="지토" localSheetId="1" hidden="1">{#N/A,#N/A,FALSE,"포장1";#N/A,#N/A,FALSE,"포장1"}</definedName>
    <definedName name="지토" localSheetId="0" hidden="1">{#N/A,#N/A,FALSE,"포장1";#N/A,#N/A,FALSE,"포장1"}</definedName>
    <definedName name="지토" hidden="1">{#N/A,#N/A,FALSE,"포장1";#N/A,#N/A,FALSE,"포장1"}</definedName>
    <definedName name="지토자재" localSheetId="3" hidden="1">{#N/A,#N/A,FALSE,"포장2"}</definedName>
    <definedName name="지토자재" localSheetId="4" hidden="1">{#N/A,#N/A,FALSE,"포장2"}</definedName>
    <definedName name="지토자재" localSheetId="5" hidden="1">{#N/A,#N/A,FALSE,"포장2"}</definedName>
    <definedName name="지토자재" localSheetId="6" hidden="1">{#N/A,#N/A,FALSE,"포장2"}</definedName>
    <definedName name="지토자재" localSheetId="7" hidden="1">{#N/A,#N/A,FALSE,"포장2"}</definedName>
    <definedName name="지토자재" localSheetId="1" hidden="1">{#N/A,#N/A,FALSE,"포장2"}</definedName>
    <definedName name="지토자재" localSheetId="0" hidden="1">{#N/A,#N/A,FALSE,"포장2"}</definedName>
    <definedName name="지토자재" hidden="1">{#N/A,#N/A,FALSE,"포장2"}</definedName>
    <definedName name="직매54P" localSheetId="3" hidden="1">{#N/A,#N/A,TRUE,"토적및재료집계";#N/A,#N/A,TRUE,"토적및재료집계";#N/A,#N/A,TRUE,"단위량"}</definedName>
    <definedName name="직매54P" localSheetId="4" hidden="1">{#N/A,#N/A,TRUE,"토적및재료집계";#N/A,#N/A,TRUE,"토적및재료집계";#N/A,#N/A,TRUE,"단위량"}</definedName>
    <definedName name="직매54P" localSheetId="5" hidden="1">{#N/A,#N/A,TRUE,"토적및재료집계";#N/A,#N/A,TRUE,"토적및재료집계";#N/A,#N/A,TRUE,"단위량"}</definedName>
    <definedName name="직매54P" localSheetId="6" hidden="1">{#N/A,#N/A,TRUE,"토적및재료집계";#N/A,#N/A,TRUE,"토적및재료집계";#N/A,#N/A,TRUE,"단위량"}</definedName>
    <definedName name="직매54P" localSheetId="7" hidden="1">{#N/A,#N/A,TRUE,"토적및재료집계";#N/A,#N/A,TRUE,"토적및재료집계";#N/A,#N/A,TRUE,"단위량"}</definedName>
    <definedName name="직매54P" localSheetId="1" hidden="1">{#N/A,#N/A,TRUE,"토적및재료집계";#N/A,#N/A,TRUE,"토적및재료집계";#N/A,#N/A,TRUE,"단위량"}</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재" localSheetId="3" hidden="1">{"'용역비'!$A$4:$C$8"}</definedName>
    <definedName name="직재" localSheetId="4" hidden="1">{"'용역비'!$A$4:$C$8"}</definedName>
    <definedName name="직재" localSheetId="5" hidden="1">{"'용역비'!$A$4:$C$8"}</definedName>
    <definedName name="직재" localSheetId="6" hidden="1">{"'용역비'!$A$4:$C$8"}</definedName>
    <definedName name="직재" localSheetId="7" hidden="1">{"'용역비'!$A$4:$C$8"}</definedName>
    <definedName name="직재" localSheetId="1" hidden="1">{"'용역비'!$A$4:$C$8"}</definedName>
    <definedName name="직재" localSheetId="0" hidden="1">{"'용역비'!$A$4:$C$8"}</definedName>
    <definedName name="직재" hidden="1">{"'용역비'!$A$4:$C$8"}</definedName>
    <definedName name="직재_2" localSheetId="3" hidden="1">{"'용역비'!$A$4:$C$8"}</definedName>
    <definedName name="직재_2" localSheetId="4" hidden="1">{"'용역비'!$A$4:$C$8"}</definedName>
    <definedName name="직재_2" localSheetId="5" hidden="1">{"'용역비'!$A$4:$C$8"}</definedName>
    <definedName name="직재_2" localSheetId="6" hidden="1">{"'용역비'!$A$4:$C$8"}</definedName>
    <definedName name="직재_2" localSheetId="7" hidden="1">{"'용역비'!$A$4:$C$8"}</definedName>
    <definedName name="직재_2" localSheetId="1" hidden="1">{"'용역비'!$A$4:$C$8"}</definedName>
    <definedName name="직재_2" localSheetId="0" hidden="1">{"'용역비'!$A$4:$C$8"}</definedName>
    <definedName name="직재_2" hidden="1">{"'용역비'!$A$4:$C$8"}</definedName>
    <definedName name="직접경비1" localSheetId="3" hidden="1">{"'용역비'!$A$4:$C$8"}</definedName>
    <definedName name="직접경비1" localSheetId="4" hidden="1">{"'용역비'!$A$4:$C$8"}</definedName>
    <definedName name="직접경비1" localSheetId="5" hidden="1">{"'용역비'!$A$4:$C$8"}</definedName>
    <definedName name="직접경비1" localSheetId="6" hidden="1">{"'용역비'!$A$4:$C$8"}</definedName>
    <definedName name="직접경비1" localSheetId="7" hidden="1">{"'용역비'!$A$4:$C$8"}</definedName>
    <definedName name="직접경비1" localSheetId="1" hidden="1">{"'용역비'!$A$4:$C$8"}</definedName>
    <definedName name="직접경비1" localSheetId="0" hidden="1">{"'용역비'!$A$4:$C$8"}</definedName>
    <definedName name="직접경비1" hidden="1">{"'용역비'!$A$4:$C$8"}</definedName>
    <definedName name="차" localSheetId="3" hidden="1">{#N/A,#N/A,FALSE,"ALM-ASISC"}</definedName>
    <definedName name="차" localSheetId="4" hidden="1">{#N/A,#N/A,FALSE,"ALM-ASISC"}</definedName>
    <definedName name="차" localSheetId="5" hidden="1">{#N/A,#N/A,FALSE,"ALM-ASISC"}</definedName>
    <definedName name="차" localSheetId="6" hidden="1">{#N/A,#N/A,FALSE,"ALM-ASISC"}</definedName>
    <definedName name="차" localSheetId="1" hidden="1">{#N/A,#N/A,FALSE,"ALM-ASISC"}</definedName>
    <definedName name="차" hidden="1">{#N/A,#N/A,FALSE,"ALM-ASISC"}</definedName>
    <definedName name="차트" localSheetId="3" hidden="1">{#N/A,#N/A,FALSE,"정공"}</definedName>
    <definedName name="차트" localSheetId="4" hidden="1">{#N/A,#N/A,FALSE,"정공"}</definedName>
    <definedName name="차트" localSheetId="5" hidden="1">{#N/A,#N/A,FALSE,"정공"}</definedName>
    <definedName name="차트" localSheetId="6" hidden="1">{#N/A,#N/A,FALSE,"정공"}</definedName>
    <definedName name="차트" localSheetId="7" hidden="1">{#N/A,#N/A,FALSE,"정공"}</definedName>
    <definedName name="차트" localSheetId="1" hidden="1">{#N/A,#N/A,FALSE,"정공"}</definedName>
    <definedName name="차트" localSheetId="0" hidden="1">{#N/A,#N/A,FALSE,"정공"}</definedName>
    <definedName name="차트" hidden="1">{#N/A,#N/A,FALSE,"정공"}</definedName>
    <definedName name="착수_종료">[11]WBS!$I$19:$I$25</definedName>
    <definedName name="착수계획_현황">[11]WBS!$F$19:$F$25</definedName>
    <definedName name="착수보고_시작">[11]WBS!$H$33:$H$34</definedName>
    <definedName name="착수보고_종료">[11]WBS!$I$33:$I$34</definedName>
    <definedName name="착수보고_현황">[11]WBS!$F$33:$F$34</definedName>
    <definedName name="착수일">'[54]0.총괄'!$B$3</definedName>
    <definedName name="천사" localSheetId="3" hidden="1">{"'용역비'!$A$4:$C$8"}</definedName>
    <definedName name="천사" localSheetId="4" hidden="1">{"'용역비'!$A$4:$C$8"}</definedName>
    <definedName name="천사" localSheetId="5" hidden="1">{"'용역비'!$A$4:$C$8"}</definedName>
    <definedName name="천사" localSheetId="6" hidden="1">{"'용역비'!$A$4:$C$8"}</definedName>
    <definedName name="천사" localSheetId="7" hidden="1">{"'용역비'!$A$4:$C$8"}</definedName>
    <definedName name="천사" localSheetId="1" hidden="1">{"'용역비'!$A$4:$C$8"}</definedName>
    <definedName name="천사" localSheetId="0" hidden="1">{"'용역비'!$A$4:$C$8"}</definedName>
    <definedName name="천사" hidden="1">{"'용역비'!$A$4:$C$8"}</definedName>
    <definedName name="철골협의" localSheetId="3" hidden="1">{#N/A,#N/A,FALSE,"현장 NCR 분석";#N/A,#N/A,FALSE,"현장품질감사";#N/A,#N/A,FALSE,"현장품질감사"}</definedName>
    <definedName name="철골협의" localSheetId="4" hidden="1">{#N/A,#N/A,FALSE,"현장 NCR 분석";#N/A,#N/A,FALSE,"현장품질감사";#N/A,#N/A,FALSE,"현장품질감사"}</definedName>
    <definedName name="철골협의" localSheetId="5" hidden="1">{#N/A,#N/A,FALSE,"현장 NCR 분석";#N/A,#N/A,FALSE,"현장품질감사";#N/A,#N/A,FALSE,"현장품질감사"}</definedName>
    <definedName name="철골협의" localSheetId="6" hidden="1">{#N/A,#N/A,FALSE,"현장 NCR 분석";#N/A,#N/A,FALSE,"현장품질감사";#N/A,#N/A,FALSE,"현장품질감사"}</definedName>
    <definedName name="철골협의" localSheetId="1" hidden="1">{#N/A,#N/A,FALSE,"현장 NCR 분석";#N/A,#N/A,FALSE,"현장품질감사";#N/A,#N/A,FALSE,"현장품질감사"}</definedName>
    <definedName name="철골협의" hidden="1">{#N/A,#N/A,FALSE,"현장 NCR 분석";#N/A,#N/A,FALSE,"현장품질감사";#N/A,#N/A,FALSE,"현장품질감사"}</definedName>
    <definedName name="총" localSheetId="3" hidden="1">{#N/A,#N/A,FALSE,"부대1"}</definedName>
    <definedName name="총" localSheetId="4" hidden="1">{#N/A,#N/A,FALSE,"부대1"}</definedName>
    <definedName name="총" localSheetId="5" hidden="1">{#N/A,#N/A,FALSE,"부대1"}</definedName>
    <definedName name="총" localSheetId="6" hidden="1">{#N/A,#N/A,FALSE,"부대1"}</definedName>
    <definedName name="총" localSheetId="7" hidden="1">{#N/A,#N/A,FALSE,"부대1"}</definedName>
    <definedName name="총" localSheetId="1" hidden="1">{#N/A,#N/A,FALSE,"부대1"}</definedName>
    <definedName name="총" localSheetId="0" hidden="1">{#N/A,#N/A,FALSE,"부대1"}</definedName>
    <definedName name="총" hidden="1">{#N/A,#N/A,FALSE,"부대1"}</definedName>
    <definedName name="총괄11" localSheetId="3" hidden="1">{#N/A,#N/A,FALSE,"3가";#N/A,#N/A,FALSE,"3나";#N/A,#N/A,FALSE,"3다"}</definedName>
    <definedName name="총괄11" localSheetId="4" hidden="1">{#N/A,#N/A,FALSE,"3가";#N/A,#N/A,FALSE,"3나";#N/A,#N/A,FALSE,"3다"}</definedName>
    <definedName name="총괄11" localSheetId="5" hidden="1">{#N/A,#N/A,FALSE,"3가";#N/A,#N/A,FALSE,"3나";#N/A,#N/A,FALSE,"3다"}</definedName>
    <definedName name="총괄11" localSheetId="6" hidden="1">{#N/A,#N/A,FALSE,"3가";#N/A,#N/A,FALSE,"3나";#N/A,#N/A,FALSE,"3다"}</definedName>
    <definedName name="총괄11" localSheetId="1" hidden="1">{#N/A,#N/A,FALSE,"3가";#N/A,#N/A,FALSE,"3나";#N/A,#N/A,FALSE,"3다"}</definedName>
    <definedName name="총괄11" hidden="1">{#N/A,#N/A,FALSE,"3가";#N/A,#N/A,FALSE,"3나";#N/A,#N/A,FALSE,"3다"}</definedName>
    <definedName name="총괄표" localSheetId="1" hidden="1">#REF!</definedName>
    <definedName name="총괄표" localSheetId="0" hidden="1">#REF!</definedName>
    <definedName name="총괄표" hidden="1">#REF!</definedName>
    <definedName name="최영" localSheetId="3" hidden="1">{#N/A,#N/A,FALSE,"정공"}</definedName>
    <definedName name="최영" localSheetId="4" hidden="1">{#N/A,#N/A,FALSE,"정공"}</definedName>
    <definedName name="최영" localSheetId="5" hidden="1">{#N/A,#N/A,FALSE,"정공"}</definedName>
    <definedName name="최영" localSheetId="6" hidden="1">{#N/A,#N/A,FALSE,"정공"}</definedName>
    <definedName name="최영" localSheetId="7" hidden="1">{#N/A,#N/A,FALSE,"정공"}</definedName>
    <definedName name="최영" localSheetId="1" hidden="1">{#N/A,#N/A,FALSE,"정공"}</definedName>
    <definedName name="최영" localSheetId="0" hidden="1">{#N/A,#N/A,FALSE,"정공"}</definedName>
    <definedName name="최영" hidden="1">{#N/A,#N/A,FALSE,"정공"}</definedName>
    <definedName name="추공내역서" hidden="1">#REF!</definedName>
    <definedName name="추정" localSheetId="3" hidden="1">{#N/A,#N/A,FALSE,"포장2"}</definedName>
    <definedName name="추정" localSheetId="4" hidden="1">{#N/A,#N/A,FALSE,"포장2"}</definedName>
    <definedName name="추정" localSheetId="5" hidden="1">{#N/A,#N/A,FALSE,"포장2"}</definedName>
    <definedName name="추정" localSheetId="6" hidden="1">{#N/A,#N/A,FALSE,"포장2"}</definedName>
    <definedName name="추정" localSheetId="7" hidden="1">{#N/A,#N/A,FALSE,"포장2"}</definedName>
    <definedName name="추정" localSheetId="1" hidden="1">{#N/A,#N/A,FALSE,"포장2"}</definedName>
    <definedName name="추정" localSheetId="0" hidden="1">{#N/A,#N/A,FALSE,"포장2"}</definedName>
    <definedName name="추정" hidden="1">{#N/A,#N/A,FALSE,"포장2"}</definedName>
    <definedName name="추진" localSheetId="3" hidden="1">{#N/A,#N/A,FALSE,"정공"}</definedName>
    <definedName name="추진" localSheetId="4" hidden="1">{#N/A,#N/A,FALSE,"정공"}</definedName>
    <definedName name="추진" localSheetId="5" hidden="1">{#N/A,#N/A,FALSE,"정공"}</definedName>
    <definedName name="추진" localSheetId="6" hidden="1">{#N/A,#N/A,FALSE,"정공"}</definedName>
    <definedName name="추진" localSheetId="7" hidden="1">{#N/A,#N/A,FALSE,"정공"}</definedName>
    <definedName name="추진" localSheetId="1" hidden="1">{#N/A,#N/A,FALSE,"정공"}</definedName>
    <definedName name="추진" localSheetId="0" hidden="1">{#N/A,#N/A,FALSE,"정공"}</definedName>
    <definedName name="추진" hidden="1">{#N/A,#N/A,FALSE,"정공"}</definedName>
    <definedName name="추진전략" localSheetId="3" hidden="1">{#N/A,#N/A,FALSE,"정공"}</definedName>
    <definedName name="추진전략" localSheetId="4" hidden="1">{#N/A,#N/A,FALSE,"정공"}</definedName>
    <definedName name="추진전략" localSheetId="5" hidden="1">{#N/A,#N/A,FALSE,"정공"}</definedName>
    <definedName name="추진전략" localSheetId="6" hidden="1">{#N/A,#N/A,FALSE,"정공"}</definedName>
    <definedName name="추진전략" localSheetId="7" hidden="1">{#N/A,#N/A,FALSE,"정공"}</definedName>
    <definedName name="추진전략" localSheetId="1" hidden="1">{#N/A,#N/A,FALSE,"정공"}</definedName>
    <definedName name="추진전략" localSheetId="0" hidden="1">{#N/A,#N/A,FALSE,"정공"}</definedName>
    <definedName name="추진전략" hidden="1">{#N/A,#N/A,FALSE,"정공"}</definedName>
    <definedName name="출" hidden="1">[6]합천내역!#REF!</definedName>
    <definedName name="출장경비" hidden="1">#REF!</definedName>
    <definedName name="ㅋ" localSheetId="1" hidden="1">#REF!</definedName>
    <definedName name="ㅋ" localSheetId="0" hidden="1">#REF!</definedName>
    <definedName name="ㅋ" hidden="1">#REF!</definedName>
    <definedName name="ㅋㅌ" localSheetId="3" hidden="1">{"'용역비'!$A$4:$C$8"}</definedName>
    <definedName name="ㅋㅌ" localSheetId="4" hidden="1">{"'용역비'!$A$4:$C$8"}</definedName>
    <definedName name="ㅋㅌ" localSheetId="5" hidden="1">{"'용역비'!$A$4:$C$8"}</definedName>
    <definedName name="ㅋㅌ" localSheetId="6" hidden="1">{"'용역비'!$A$4:$C$8"}</definedName>
    <definedName name="ㅋㅌ" localSheetId="7" hidden="1">{"'용역비'!$A$4:$C$8"}</definedName>
    <definedName name="ㅋㅌ" localSheetId="1" hidden="1">{"'용역비'!$A$4:$C$8"}</definedName>
    <definedName name="ㅋㅌ" localSheetId="0" hidden="1">{"'용역비'!$A$4:$C$8"}</definedName>
    <definedName name="ㅋㅌ" hidden="1">{"'용역비'!$A$4:$C$8"}</definedName>
    <definedName name="카" localSheetId="3" hidden="1">{#N/A,#N/A,FALSE,"ALM-ASISC"}</definedName>
    <definedName name="카" localSheetId="4" hidden="1">{#N/A,#N/A,FALSE,"ALM-ASISC"}</definedName>
    <definedName name="카" localSheetId="5" hidden="1">{#N/A,#N/A,FALSE,"ALM-ASISC"}</definedName>
    <definedName name="카" localSheetId="6" hidden="1">{#N/A,#N/A,FALSE,"ALM-ASISC"}</definedName>
    <definedName name="카" localSheetId="1" hidden="1">{#N/A,#N/A,FALSE,"ALM-ASISC"}</definedName>
    <definedName name="카" hidden="1">{#N/A,#N/A,FALSE,"ALM-ASISC"}</definedName>
    <definedName name="케이블간지" localSheetId="3" hidden="1">{#N/A,#N/A,TRUE,"토적및재료집계";#N/A,#N/A,TRUE,"토적및재료집계";#N/A,#N/A,TRUE,"단위량"}</definedName>
    <definedName name="케이블간지" localSheetId="4" hidden="1">{#N/A,#N/A,TRUE,"토적및재료집계";#N/A,#N/A,TRUE,"토적및재료집계";#N/A,#N/A,TRUE,"단위량"}</definedName>
    <definedName name="케이블간지" localSheetId="5" hidden="1">{#N/A,#N/A,TRUE,"토적및재료집계";#N/A,#N/A,TRUE,"토적및재료집계";#N/A,#N/A,TRUE,"단위량"}</definedName>
    <definedName name="케이블간지" localSheetId="6" hidden="1">{#N/A,#N/A,TRUE,"토적및재료집계";#N/A,#N/A,TRUE,"토적및재료집계";#N/A,#N/A,TRUE,"단위량"}</definedName>
    <definedName name="케이블간지" localSheetId="7" hidden="1">{#N/A,#N/A,TRUE,"토적및재료집계";#N/A,#N/A,TRUE,"토적및재료집계";#N/A,#N/A,TRUE,"단위량"}</definedName>
    <definedName name="케이블간지" localSheetId="1" hidden="1">{#N/A,#N/A,TRUE,"토적및재료집계";#N/A,#N/A,TRUE,"토적및재료집계";#N/A,#N/A,TRUE,"단위량"}</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ㅌㅍㅁㄴㅋ" hidden="1">'[33]N賃率-職'!$I$5:$I$30</definedName>
    <definedName name="타" localSheetId="3" hidden="1">{#N/A,#N/A,FALSE,"ALM-ASISC"}</definedName>
    <definedName name="타" localSheetId="4" hidden="1">{#N/A,#N/A,FALSE,"ALM-ASISC"}</definedName>
    <definedName name="타" localSheetId="5" hidden="1">{#N/A,#N/A,FALSE,"ALM-ASISC"}</definedName>
    <definedName name="타" localSheetId="6" hidden="1">{#N/A,#N/A,FALSE,"ALM-ASISC"}</definedName>
    <definedName name="타" localSheetId="1" hidden="1">{#N/A,#N/A,FALSE,"ALM-ASISC"}</definedName>
    <definedName name="타" hidden="1">{#N/A,#N/A,FALSE,"ALM-ASISC"}</definedName>
    <definedName name="타견적" hidden="1">[48]수량산출!$A$1:$A$8282</definedName>
    <definedName name="태영지급" localSheetId="3" hidden="1">{#N/A,#N/A,FALSE,"부대1"}</definedName>
    <definedName name="태영지급" localSheetId="4" hidden="1">{#N/A,#N/A,FALSE,"부대1"}</definedName>
    <definedName name="태영지급" localSheetId="5" hidden="1">{#N/A,#N/A,FALSE,"부대1"}</definedName>
    <definedName name="태영지급" localSheetId="6" hidden="1">{#N/A,#N/A,FALSE,"부대1"}</definedName>
    <definedName name="태영지급" localSheetId="7" hidden="1">{#N/A,#N/A,FALSE,"부대1"}</definedName>
    <definedName name="태영지급" localSheetId="1" hidden="1">{#N/A,#N/A,FALSE,"부대1"}</definedName>
    <definedName name="태영지급" localSheetId="0" hidden="1">{#N/A,#N/A,FALSE,"부대1"}</definedName>
    <definedName name="태영지급" hidden="1">{#N/A,#N/A,FALSE,"부대1"}</definedName>
    <definedName name="토" hidden="1">#REF!</definedName>
    <definedName name="토공" localSheetId="3" hidden="1">{#N/A,#N/A,FALSE,"포장2"}</definedName>
    <definedName name="토공" localSheetId="4" hidden="1">{#N/A,#N/A,FALSE,"포장2"}</definedName>
    <definedName name="토공" localSheetId="5" hidden="1">{#N/A,#N/A,FALSE,"포장2"}</definedName>
    <definedName name="토공" localSheetId="6" hidden="1">{#N/A,#N/A,FALSE,"포장2"}</definedName>
    <definedName name="토공" localSheetId="7" hidden="1">{#N/A,#N/A,FALSE,"포장2"}</definedName>
    <definedName name="토공" localSheetId="1" hidden="1">{#N/A,#N/A,FALSE,"포장2"}</definedName>
    <definedName name="토공" localSheetId="0" hidden="1">{#N/A,#N/A,FALSE,"포장2"}</definedName>
    <definedName name="토공" hidden="1">{#N/A,#N/A,FALSE,"포장2"}</definedName>
    <definedName name="토공11" localSheetId="3" hidden="1">{#N/A,#N/A,FALSE,"포장2"}</definedName>
    <definedName name="토공11" localSheetId="4" hidden="1">{#N/A,#N/A,FALSE,"포장2"}</definedName>
    <definedName name="토공11" localSheetId="5" hidden="1">{#N/A,#N/A,FALSE,"포장2"}</definedName>
    <definedName name="토공11" localSheetId="6" hidden="1">{#N/A,#N/A,FALSE,"포장2"}</definedName>
    <definedName name="토공11" localSheetId="7" hidden="1">{#N/A,#N/A,FALSE,"포장2"}</definedName>
    <definedName name="토공11" localSheetId="1" hidden="1">{#N/A,#N/A,FALSE,"포장2"}</definedName>
    <definedName name="토공11" localSheetId="0" hidden="1">{#N/A,#N/A,FALSE,"포장2"}</definedName>
    <definedName name="토공11" hidden="1">{#N/A,#N/A,FALSE,"포장2"}</definedName>
    <definedName name="토목설계" localSheetId="3" hidden="1">{#N/A,#N/A,FALSE,"골재소요량";#N/A,#N/A,FALSE,"골재소요량"}</definedName>
    <definedName name="토목설계" localSheetId="4" hidden="1">{#N/A,#N/A,FALSE,"골재소요량";#N/A,#N/A,FALSE,"골재소요량"}</definedName>
    <definedName name="토목설계" localSheetId="5" hidden="1">{#N/A,#N/A,FALSE,"골재소요량";#N/A,#N/A,FALSE,"골재소요량"}</definedName>
    <definedName name="토목설계" localSheetId="6" hidden="1">{#N/A,#N/A,FALSE,"골재소요량";#N/A,#N/A,FALSE,"골재소요량"}</definedName>
    <definedName name="토목설계" localSheetId="7" hidden="1">{#N/A,#N/A,FALSE,"골재소요량";#N/A,#N/A,FALSE,"골재소요량"}</definedName>
    <definedName name="토목설계" localSheetId="1"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투3" localSheetId="3" hidden="1">{#N/A,#N/A,FALSE,"배수2"}</definedName>
    <definedName name="투3" localSheetId="4" hidden="1">{#N/A,#N/A,FALSE,"배수2"}</definedName>
    <definedName name="투3" localSheetId="5" hidden="1">{#N/A,#N/A,FALSE,"배수2"}</definedName>
    <definedName name="투3" localSheetId="6" hidden="1">{#N/A,#N/A,FALSE,"배수2"}</definedName>
    <definedName name="투3" localSheetId="7" hidden="1">{#N/A,#N/A,FALSE,"배수2"}</definedName>
    <definedName name="투3" localSheetId="1" hidden="1">{#N/A,#N/A,FALSE,"배수2"}</definedName>
    <definedName name="투3" localSheetId="0" hidden="1">{#N/A,#N/A,FALSE,"배수2"}</definedName>
    <definedName name="투3" hidden="1">{#N/A,#N/A,FALSE,"배수2"}</definedName>
    <definedName name="투찰표" localSheetId="3" hidden="1">{#N/A,#N/A,FALSE,"부대1"}</definedName>
    <definedName name="투찰표" localSheetId="4" hidden="1">{#N/A,#N/A,FALSE,"부대1"}</definedName>
    <definedName name="투찰표" localSheetId="5" hidden="1">{#N/A,#N/A,FALSE,"부대1"}</definedName>
    <definedName name="투찰표" localSheetId="6" hidden="1">{#N/A,#N/A,FALSE,"부대1"}</definedName>
    <definedName name="투찰표" localSheetId="7" hidden="1">{#N/A,#N/A,FALSE,"부대1"}</definedName>
    <definedName name="투찰표" localSheetId="1" hidden="1">{#N/A,#N/A,FALSE,"부대1"}</definedName>
    <definedName name="투찰표" localSheetId="0" hidden="1">{#N/A,#N/A,FALSE,"부대1"}</definedName>
    <definedName name="투찰표" hidden="1">{#N/A,#N/A,FALSE,"부대1"}</definedName>
    <definedName name="특별시방서1" localSheetId="3" hidden="1">{#N/A,#N/A,FALSE,"ALM-ASISC"}</definedName>
    <definedName name="특별시방서1" localSheetId="4" hidden="1">{#N/A,#N/A,FALSE,"ALM-ASISC"}</definedName>
    <definedName name="특별시방서1" localSheetId="5" hidden="1">{#N/A,#N/A,FALSE,"ALM-ASISC"}</definedName>
    <definedName name="특별시방서1" localSheetId="6" hidden="1">{#N/A,#N/A,FALSE,"ALM-ASISC"}</definedName>
    <definedName name="특별시방서1" localSheetId="1" hidden="1">{#N/A,#N/A,FALSE,"ALM-ASISC"}</definedName>
    <definedName name="특별시방서1" hidden="1">{#N/A,#N/A,FALSE,"ALM-ASISC"}</definedName>
    <definedName name="ㅍ" localSheetId="3" hidden="1">{"'용역비'!$A$4:$C$8"}</definedName>
    <definedName name="ㅍ" localSheetId="4" hidden="1">{"'용역비'!$A$4:$C$8"}</definedName>
    <definedName name="ㅍ" localSheetId="5" hidden="1">{"'용역비'!$A$4:$C$8"}</definedName>
    <definedName name="ㅍ" localSheetId="6" hidden="1">{"'용역비'!$A$4:$C$8"}</definedName>
    <definedName name="ㅍ" localSheetId="7" hidden="1">{"'용역비'!$A$4:$C$8"}</definedName>
    <definedName name="ㅍ" localSheetId="1" hidden="1">{#N/A,#N/A,FALSE,"3가";#N/A,#N/A,FALSE,"3나";#N/A,#N/A,FALSE,"3다"}</definedName>
    <definedName name="ㅍ" localSheetId="0" hidden="1">{#N/A,#N/A,FALSE,"3가";#N/A,#N/A,FALSE,"3나";#N/A,#N/A,FALSE,"3다"}</definedName>
    <definedName name="ㅍ" hidden="1">{"'용역비'!$A$4:$C$8"}</definedName>
    <definedName name="ㅍ큪ㅊㅋ" localSheetId="1" hidden="1">#REF!</definedName>
    <definedName name="ㅍ큪ㅊㅋ" localSheetId="0" hidden="1">#REF!</definedName>
    <definedName name="ㅍ큪ㅊㅋ" hidden="1">#REF!</definedName>
    <definedName name="파일" localSheetId="1" hidden="1">#REF!</definedName>
    <definedName name="파일" localSheetId="0" hidden="1">#REF!</definedName>
    <definedName name="파일" hidden="1">#REF!</definedName>
    <definedName name="팔" localSheetId="1" hidden="1">#REF!</definedName>
    <definedName name="팔" localSheetId="0" hidden="1">#REF!</definedName>
    <definedName name="팔" hidden="1">#REF!</definedName>
    <definedName name="표지1" hidden="1">'[55]3.일반사상'!$B$5:$B$32</definedName>
    <definedName name="품질검수_시작">[11]WBS!$H$138:$H$140</definedName>
    <definedName name="품질검수_완료">[11]WBS!$I$138:$I$140</definedName>
    <definedName name="품질검수_현황">[11]WBS!$F$138:$F$140</definedName>
    <definedName name="품질납품_시작">[11]WBS!$H$122:$H$136</definedName>
    <definedName name="품질납품_완료">[11]WBS!$I$122:$I$136</definedName>
    <definedName name="품질납품_현황">[11]WBS!$F$122:$F$136</definedName>
    <definedName name="품질점검_시작">[11]WBS!$H$76:$H$79</definedName>
    <definedName name="품질점검_종료">[11]WBS!$I$76:$I$79</definedName>
    <definedName name="품질점검_현황">[11]WBS!$F$76:$F$79</definedName>
    <definedName name="품질점검검토회의_시작">[11]WBS!$H$81:$H$84</definedName>
    <definedName name="품질점검검토회의_종료">[11]WBS!$I$81:$I$84</definedName>
    <definedName name="품질점검검토회의_현황">[11]WBS!$F$81:$F$84</definedName>
    <definedName name="프로젝트명" localSheetId="9">'[39]1.표지 '!$C$3</definedName>
    <definedName name="프로젝트명" localSheetId="5">'[40]1.표지 '!$C$3</definedName>
    <definedName name="프로젝트명" localSheetId="6">'[41]1.표지 '!$C$3</definedName>
    <definedName name="프로젝트명" localSheetId="7">'[42]1.표지 '!$C$3</definedName>
    <definedName name="프로젝트명" localSheetId="1">'[43]1.표지 '!$C$3</definedName>
    <definedName name="프로젝트명" localSheetId="0">'[43]1.표지 '!$C$3</definedName>
    <definedName name="프로젝트명">#REF!</definedName>
    <definedName name="프로젝트약자" localSheetId="9">#REF!</definedName>
    <definedName name="프로젝트약자" localSheetId="5">#REF!</definedName>
    <definedName name="프로젝트약자">#REF!</definedName>
    <definedName name="ㅎㄴ" hidden="1">'[33]N賃率-職'!$I$5:$I$30</definedName>
    <definedName name="ㅎㄹ" localSheetId="5" hidden="1">#REF!</definedName>
    <definedName name="ㅎㄹ" localSheetId="1" hidden="1">#REF!</definedName>
    <definedName name="ㅎㄹ" localSheetId="0" hidden="1">#REF!</definedName>
    <definedName name="ㅎㄹ" hidden="1">#REF!</definedName>
    <definedName name="ㅎㄹ오하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3" hidden="1">{"'용역비'!$A$4:$C$8"}</definedName>
    <definedName name="ㅎㅇ" localSheetId="4" hidden="1">{"'용역비'!$A$4:$C$8"}</definedName>
    <definedName name="ㅎㅇ" localSheetId="5" hidden="1">{"'용역비'!$A$4:$C$8"}</definedName>
    <definedName name="ㅎㅇ" localSheetId="6" hidden="1">{"'용역비'!$A$4:$C$8"}</definedName>
    <definedName name="ㅎㅇ" localSheetId="7" hidden="1">{"'용역비'!$A$4:$C$8"}</definedName>
    <definedName name="ㅎㅇ" localSheetId="1" hidden="1">{"'용역비'!$A$4:$C$8"}</definedName>
    <definedName name="ㅎㅇ" localSheetId="0" hidden="1">{"'용역비'!$A$4:$C$8"}</definedName>
    <definedName name="ㅎㅇ" hidden="1">{"'용역비'!$A$4:$C$8"}</definedName>
    <definedName name="ㅎㅇㄶㄷㄱ" hidden="1">#REF!</definedName>
    <definedName name="ㅎ오" localSheetId="3" hidden="1">{"'용역비'!$A$4:$C$8"}</definedName>
    <definedName name="ㅎ오" localSheetId="4" hidden="1">{"'용역비'!$A$4:$C$8"}</definedName>
    <definedName name="ㅎ오" localSheetId="5" hidden="1">{"'용역비'!$A$4:$C$8"}</definedName>
    <definedName name="ㅎ오" localSheetId="6" hidden="1">{"'용역비'!$A$4:$C$8"}</definedName>
    <definedName name="ㅎ오" localSheetId="7" hidden="1">{"'용역비'!$A$4:$C$8"}</definedName>
    <definedName name="ㅎ오" localSheetId="1" hidden="1">{"'용역비'!$A$4:$C$8"}</definedName>
    <definedName name="ㅎ오" localSheetId="0" hidden="1">{"'용역비'!$A$4:$C$8"}</definedName>
    <definedName name="ㅎ오" hidden="1">{"'용역비'!$A$4:$C$8"}</definedName>
    <definedName name="ㅎㅎㅎ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 localSheetId="3" hidden="1">{#N/A,#N/A,FALSE,"ALM-ASISC"}</definedName>
    <definedName name="하" localSheetId="4" hidden="1">{#N/A,#N/A,FALSE,"ALM-ASISC"}</definedName>
    <definedName name="하" localSheetId="5" hidden="1">{#N/A,#N/A,FALSE,"ALM-ASISC"}</definedName>
    <definedName name="하" localSheetId="6" hidden="1">{#N/A,#N/A,FALSE,"ALM-ASISC"}</definedName>
    <definedName name="하" localSheetId="1" hidden="1">{#N/A,#N/A,FALSE,"ALM-ASISC"}</definedName>
    <definedName name="하" hidden="1">{#N/A,#N/A,FALSE,"ALM-ASISC"}</definedName>
    <definedName name="하도" localSheetId="3" hidden="1">{#N/A,#N/A,FALSE,"이정표"}</definedName>
    <definedName name="하도" localSheetId="4" hidden="1">{#N/A,#N/A,FALSE,"이정표"}</definedName>
    <definedName name="하도" localSheetId="5" hidden="1">{#N/A,#N/A,FALSE,"이정표"}</definedName>
    <definedName name="하도" localSheetId="6" hidden="1">{#N/A,#N/A,FALSE,"이정표"}</definedName>
    <definedName name="하도" localSheetId="7" hidden="1">{#N/A,#N/A,FALSE,"이정표"}</definedName>
    <definedName name="하도" localSheetId="1" hidden="1">{#N/A,#N/A,FALSE,"이정표"}</definedName>
    <definedName name="하도" localSheetId="0" hidden="1">{#N/A,#N/A,FALSE,"이정표"}</definedName>
    <definedName name="하도" hidden="1">{#N/A,#N/A,FALSE,"이정표"}</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localSheetId="3" hidden="1">{#N/A,#N/A,FALSE,"배수2"}</definedName>
    <definedName name="하한선" localSheetId="4" hidden="1">{#N/A,#N/A,FALSE,"배수2"}</definedName>
    <definedName name="하한선" localSheetId="5" hidden="1">{#N/A,#N/A,FALSE,"배수2"}</definedName>
    <definedName name="하한선" localSheetId="6" hidden="1">{#N/A,#N/A,FALSE,"배수2"}</definedName>
    <definedName name="하한선" localSheetId="7" hidden="1">{#N/A,#N/A,FALSE,"배수2"}</definedName>
    <definedName name="하한선" localSheetId="1" hidden="1">{#N/A,#N/A,FALSE,"배수2"}</definedName>
    <definedName name="하한선" localSheetId="0" hidden="1">{#N/A,#N/A,FALSE,"배수2"}</definedName>
    <definedName name="하한선" hidden="1">{#N/A,#N/A,FALSE,"배수2"}</definedName>
    <definedName name="학교" localSheetId="3" hidden="1">{#N/A,#N/A,FALSE,"전력간선"}</definedName>
    <definedName name="학교" localSheetId="4" hidden="1">{#N/A,#N/A,FALSE,"전력간선"}</definedName>
    <definedName name="학교" localSheetId="5" hidden="1">{#N/A,#N/A,FALSE,"전력간선"}</definedName>
    <definedName name="학교" localSheetId="6" hidden="1">{#N/A,#N/A,FALSE,"전력간선"}</definedName>
    <definedName name="학교" localSheetId="7" hidden="1">{#N/A,#N/A,FALSE,"전력간선"}</definedName>
    <definedName name="학교" localSheetId="1" hidden="1">{#N/A,#N/A,FALSE,"전력간선"}</definedName>
    <definedName name="학교" localSheetId="0" hidden="1">{#N/A,#N/A,FALSE,"전력간선"}</definedName>
    <definedName name="학교" hidden="1">{#N/A,#N/A,FALSE,"전력간선"}</definedName>
    <definedName name="한" localSheetId="3" hidden="1">{#N/A,#N/A,FALSE,"3가";#N/A,#N/A,FALSE,"3나";#N/A,#N/A,FALSE,"3다"}</definedName>
    <definedName name="한" localSheetId="4" hidden="1">{#N/A,#N/A,FALSE,"3가";#N/A,#N/A,FALSE,"3나";#N/A,#N/A,FALSE,"3다"}</definedName>
    <definedName name="한" localSheetId="5" hidden="1">{#N/A,#N/A,FALSE,"3가";#N/A,#N/A,FALSE,"3나";#N/A,#N/A,FALSE,"3다"}</definedName>
    <definedName name="한" localSheetId="6" hidden="1">{#N/A,#N/A,FALSE,"3가";#N/A,#N/A,FALSE,"3나";#N/A,#N/A,FALSE,"3다"}</definedName>
    <definedName name="한" localSheetId="1" hidden="1">{#N/A,#N/A,FALSE,"3가";#N/A,#N/A,FALSE,"3나";#N/A,#N/A,FALSE,"3다"}</definedName>
    <definedName name="한" hidden="1">{#N/A,#N/A,FALSE,"3가";#N/A,#N/A,FALSE,"3나";#N/A,#N/A,FALSE,"3다"}</definedName>
    <definedName name="항목1">[56]Sheet3!$A$5:$A$13</definedName>
    <definedName name="현대" localSheetId="3" hidden="1">{#N/A,#N/A,FALSE,"정공"}</definedName>
    <definedName name="현대" localSheetId="4" hidden="1">{#N/A,#N/A,FALSE,"정공"}</definedName>
    <definedName name="현대" localSheetId="5" hidden="1">{#N/A,#N/A,FALSE,"정공"}</definedName>
    <definedName name="현대" localSheetId="6" hidden="1">{#N/A,#N/A,FALSE,"정공"}</definedName>
    <definedName name="현대" localSheetId="7" hidden="1">{#N/A,#N/A,FALSE,"정공"}</definedName>
    <definedName name="현대" localSheetId="1" hidden="1">{#N/A,#N/A,FALSE,"정공"}</definedName>
    <definedName name="현대" localSheetId="0" hidden="1">{#N/A,#N/A,FALSE,"정공"}</definedName>
    <definedName name="현대" hidden="1">{#N/A,#N/A,FALSE,"정공"}</definedName>
    <definedName name="협" localSheetId="3" hidden="1">{#N/A,#N/A,FALSE,"배수2"}</definedName>
    <definedName name="협" localSheetId="4" hidden="1">{#N/A,#N/A,FALSE,"배수2"}</definedName>
    <definedName name="협" localSheetId="5" hidden="1">{#N/A,#N/A,FALSE,"배수2"}</definedName>
    <definedName name="협" localSheetId="6" hidden="1">{#N/A,#N/A,FALSE,"배수2"}</definedName>
    <definedName name="협" localSheetId="7" hidden="1">{#N/A,#N/A,FALSE,"배수2"}</definedName>
    <definedName name="협" localSheetId="1" hidden="1">{#N/A,#N/A,FALSE,"배수2"}</definedName>
    <definedName name="협" localSheetId="0" hidden="1">{#N/A,#N/A,FALSE,"배수2"}</definedName>
    <definedName name="협" hidden="1">{#N/A,#N/A,FALSE,"배수2"}</definedName>
    <definedName name="협력" localSheetId="3" hidden="1">{#N/A,#N/A,FALSE,"포장2"}</definedName>
    <definedName name="협력" localSheetId="4" hidden="1">{#N/A,#N/A,FALSE,"포장2"}</definedName>
    <definedName name="협력" localSheetId="5" hidden="1">{#N/A,#N/A,FALSE,"포장2"}</definedName>
    <definedName name="협력" localSheetId="6" hidden="1">{#N/A,#N/A,FALSE,"포장2"}</definedName>
    <definedName name="협력" localSheetId="7" hidden="1">{#N/A,#N/A,FALSE,"포장2"}</definedName>
    <definedName name="협력" localSheetId="1" hidden="1">{#N/A,#N/A,FALSE,"포장2"}</definedName>
    <definedName name="협력" localSheetId="0" hidden="1">{#N/A,#N/A,FALSE,"포장2"}</definedName>
    <definedName name="협력" hidden="1">{#N/A,#N/A,FALSE,"포장2"}</definedName>
    <definedName name="협력업체" localSheetId="3" hidden="1">{#N/A,#N/A,FALSE,"포장2"}</definedName>
    <definedName name="협력업체" localSheetId="4" hidden="1">{#N/A,#N/A,FALSE,"포장2"}</definedName>
    <definedName name="협력업체" localSheetId="5" hidden="1">{#N/A,#N/A,FALSE,"포장2"}</definedName>
    <definedName name="협력업체" localSheetId="6" hidden="1">{#N/A,#N/A,FALSE,"포장2"}</definedName>
    <definedName name="협력업체" localSheetId="7" hidden="1">{#N/A,#N/A,FALSE,"포장2"}</definedName>
    <definedName name="협력업체" localSheetId="1" hidden="1">{#N/A,#N/A,FALSE,"포장2"}</definedName>
    <definedName name="협력업체" localSheetId="0" hidden="1">{#N/A,#N/A,FALSE,"포장2"}</definedName>
    <definedName name="협력업체" hidden="1">{#N/A,#N/A,FALSE,"포장2"}</definedName>
    <definedName name="협철" localSheetId="3" hidden="1">{#N/A,#N/A,FALSE,"포장2"}</definedName>
    <definedName name="협철" localSheetId="4" hidden="1">{#N/A,#N/A,FALSE,"포장2"}</definedName>
    <definedName name="협철" localSheetId="5" hidden="1">{#N/A,#N/A,FALSE,"포장2"}</definedName>
    <definedName name="협철" localSheetId="6" hidden="1">{#N/A,#N/A,FALSE,"포장2"}</definedName>
    <definedName name="협철" localSheetId="7" hidden="1">{#N/A,#N/A,FALSE,"포장2"}</definedName>
    <definedName name="협철" localSheetId="1" hidden="1">{#N/A,#N/A,FALSE,"포장2"}</definedName>
    <definedName name="협철" localSheetId="0" hidden="1">{#N/A,#N/A,FALSE,"포장2"}</definedName>
    <definedName name="협철" hidden="1">{#N/A,#N/A,FALSE,"포장2"}</definedName>
    <definedName name="협토" localSheetId="3" hidden="1">{#N/A,#N/A,FALSE,"포장1";#N/A,#N/A,FALSE,"포장1"}</definedName>
    <definedName name="협토" localSheetId="4" hidden="1">{#N/A,#N/A,FALSE,"포장1";#N/A,#N/A,FALSE,"포장1"}</definedName>
    <definedName name="협토" localSheetId="5" hidden="1">{#N/A,#N/A,FALSE,"포장1";#N/A,#N/A,FALSE,"포장1"}</definedName>
    <definedName name="협토" localSheetId="6" hidden="1">{#N/A,#N/A,FALSE,"포장1";#N/A,#N/A,FALSE,"포장1"}</definedName>
    <definedName name="협토" localSheetId="7" hidden="1">{#N/A,#N/A,FALSE,"포장1";#N/A,#N/A,FALSE,"포장1"}</definedName>
    <definedName name="협토" localSheetId="1" hidden="1">{#N/A,#N/A,FALSE,"포장1";#N/A,#N/A,FALSE,"포장1"}</definedName>
    <definedName name="협토" localSheetId="0" hidden="1">{#N/A,#N/A,FALSE,"포장1";#N/A,#N/A,FALSE,"포장1"}</definedName>
    <definedName name="협토" hidden="1">{#N/A,#N/A,FALSE,"포장1";#N/A,#N/A,FALSE,"포장1"}</definedName>
    <definedName name="협토1" localSheetId="3" hidden="1">{#N/A,#N/A,FALSE,"포장2"}</definedName>
    <definedName name="협토1" localSheetId="4" hidden="1">{#N/A,#N/A,FALSE,"포장2"}</definedName>
    <definedName name="협토1" localSheetId="5" hidden="1">{#N/A,#N/A,FALSE,"포장2"}</definedName>
    <definedName name="협토1" localSheetId="6" hidden="1">{#N/A,#N/A,FALSE,"포장2"}</definedName>
    <definedName name="협토1" localSheetId="7" hidden="1">{#N/A,#N/A,FALSE,"포장2"}</definedName>
    <definedName name="협토1" localSheetId="1" hidden="1">{#N/A,#N/A,FALSE,"포장2"}</definedName>
    <definedName name="협토1" localSheetId="0" hidden="1">{#N/A,#N/A,FALSE,"포장2"}</definedName>
    <definedName name="협토1" hidden="1">{#N/A,#N/A,FALSE,"포장2"}</definedName>
    <definedName name="협토자재" localSheetId="3" hidden="1">{#N/A,#N/A,FALSE,"포장2"}</definedName>
    <definedName name="협토자재" localSheetId="4" hidden="1">{#N/A,#N/A,FALSE,"포장2"}</definedName>
    <definedName name="협토자재" localSheetId="5" hidden="1">{#N/A,#N/A,FALSE,"포장2"}</definedName>
    <definedName name="협토자재" localSheetId="6" hidden="1">{#N/A,#N/A,FALSE,"포장2"}</definedName>
    <definedName name="협토자재" localSheetId="7" hidden="1">{#N/A,#N/A,FALSE,"포장2"}</definedName>
    <definedName name="협토자재" localSheetId="1" hidden="1">{#N/A,#N/A,FALSE,"포장2"}</definedName>
    <definedName name="협토자재" localSheetId="0" hidden="1">{#N/A,#N/A,FALSE,"포장2"}</definedName>
    <definedName name="협토자재" hidden="1">{#N/A,#N/A,FALSE,"포장2"}</definedName>
    <definedName name="형제" localSheetId="3" hidden="1">{#N/A,#N/A,FALSE,"포장2"}</definedName>
    <definedName name="형제" localSheetId="4" hidden="1">{#N/A,#N/A,FALSE,"포장2"}</definedName>
    <definedName name="형제" localSheetId="5" hidden="1">{#N/A,#N/A,FALSE,"포장2"}</definedName>
    <definedName name="형제" localSheetId="6" hidden="1">{#N/A,#N/A,FALSE,"포장2"}</definedName>
    <definedName name="형제" localSheetId="7" hidden="1">{#N/A,#N/A,FALSE,"포장2"}</definedName>
    <definedName name="형제" localSheetId="1" hidden="1">{#N/A,#N/A,FALSE,"포장2"}</definedName>
    <definedName name="형제" localSheetId="0" hidden="1">{#N/A,#N/A,FALSE,"포장2"}</definedName>
    <definedName name="형제" hidden="1">{#N/A,#N/A,FALSE,"포장2"}</definedName>
    <definedName name="호호" localSheetId="3" hidden="1">{#N/A,#N/A,FALSE,"부대1"}</definedName>
    <definedName name="호호" localSheetId="4" hidden="1">{#N/A,#N/A,FALSE,"부대1"}</definedName>
    <definedName name="호호" localSheetId="5" hidden="1">{#N/A,#N/A,FALSE,"부대1"}</definedName>
    <definedName name="호호" localSheetId="6" hidden="1">{#N/A,#N/A,FALSE,"부대1"}</definedName>
    <definedName name="호호" localSheetId="7" hidden="1">{#N/A,#N/A,FALSE,"부대1"}</definedName>
    <definedName name="호호" localSheetId="1" hidden="1">{#N/A,#N/A,FALSE,"부대1"}</definedName>
    <definedName name="호호" localSheetId="0" hidden="1">{#N/A,#N/A,FALSE,"부대1"}</definedName>
    <definedName name="호호" hidden="1">{#N/A,#N/A,FALSE,"부대1"}</definedName>
    <definedName name="호ㅓ" localSheetId="3" hidden="1">{"'용역비'!$A$4:$C$8"}</definedName>
    <definedName name="호ㅓ" localSheetId="4" hidden="1">{"'용역비'!$A$4:$C$8"}</definedName>
    <definedName name="호ㅓ" localSheetId="5" hidden="1">{"'용역비'!$A$4:$C$8"}</definedName>
    <definedName name="호ㅓ" localSheetId="6" hidden="1">{"'용역비'!$A$4:$C$8"}</definedName>
    <definedName name="호ㅓ" localSheetId="7" hidden="1">{"'용역비'!$A$4:$C$8"}</definedName>
    <definedName name="호ㅓ" localSheetId="1" hidden="1">{"'용역비'!$A$4:$C$8"}</definedName>
    <definedName name="호ㅓ" localSheetId="0" hidden="1">{"'용역비'!$A$4:$C$8"}</definedName>
    <definedName name="호ㅓ" hidden="1">{"'용역비'!$A$4:$C$8"}</definedName>
    <definedName name="호ㅓㅕㅏ6ㅅ서ㅛㅓ" hidden="1">[57]입찰안!#REF!</definedName>
    <definedName name="홍ㄹㄴㄷㄱ" localSheetId="5" hidden="1">#REF!</definedName>
    <definedName name="홍ㄹㄴㄷㄱ" localSheetId="1" hidden="1">#REF!</definedName>
    <definedName name="홍ㄹㄴㄷㄱ" localSheetId="0" hidden="1">#REF!</definedName>
    <definedName name="홍ㄹㄴㄷㄱ" hidden="1">#REF!</definedName>
    <definedName name="홍ㅇ호" localSheetId="3" hidden="1">{"'용역비'!$A$4:$C$8"}</definedName>
    <definedName name="홍ㅇ호" localSheetId="4" hidden="1">{"'용역비'!$A$4:$C$8"}</definedName>
    <definedName name="홍ㅇ호" localSheetId="5" hidden="1">{"'용역비'!$A$4:$C$8"}</definedName>
    <definedName name="홍ㅇ호" localSheetId="6" hidden="1">{"'용역비'!$A$4:$C$8"}</definedName>
    <definedName name="홍ㅇ호" localSheetId="7" hidden="1">{"'용역비'!$A$4:$C$8"}</definedName>
    <definedName name="홍ㅇ호" localSheetId="1" hidden="1">{"'용역비'!$A$4:$C$8"}</definedName>
    <definedName name="홍ㅇ호" localSheetId="0" hidden="1">{"'용역비'!$A$4:$C$8"}</definedName>
    <definedName name="홍ㅇ호" hidden="1">{"'용역비'!$A$4:$C$8"}</definedName>
    <definedName name="홎ㅅㄱ도" localSheetId="3" hidden="1">{#N/A,#N/A,FALSE,"ALM-ASISC"}</definedName>
    <definedName name="홎ㅅㄱ도" localSheetId="4" hidden="1">{#N/A,#N/A,FALSE,"ALM-ASISC"}</definedName>
    <definedName name="홎ㅅㄱ도" localSheetId="5" hidden="1">{#N/A,#N/A,FALSE,"ALM-ASISC"}</definedName>
    <definedName name="홎ㅅㄱ도" localSheetId="6" hidden="1">{#N/A,#N/A,FALSE,"ALM-ASISC"}</definedName>
    <definedName name="홎ㅅㄱ도" localSheetId="1" hidden="1">{#N/A,#N/A,FALSE,"ALM-ASISC"}</definedName>
    <definedName name="홎ㅅㄱ도" hidden="1">{#N/A,#N/A,FALSE,"ALM-ASISC"}</definedName>
    <definedName name="휴일" localSheetId="1">#REF!</definedName>
    <definedName name="휴일" localSheetId="0">#REF!</definedName>
    <definedName name="휴일">#REF!</definedName>
    <definedName name="ㅏ나마" localSheetId="1" hidden="1">#REF!</definedName>
    <definedName name="ㅏ나마" localSheetId="0" hidden="1">#REF!</definedName>
    <definedName name="ㅏ나마" hidden="1">#REF!</definedName>
    <definedName name="ㅏㄷ" localSheetId="3" hidden="1">{#N/A,#N/A,FALSE,"ALM-ASISC"}</definedName>
    <definedName name="ㅏㄷ" localSheetId="4" hidden="1">{#N/A,#N/A,FALSE,"ALM-ASISC"}</definedName>
    <definedName name="ㅏㄷ" localSheetId="5" hidden="1">{#N/A,#N/A,FALSE,"ALM-ASISC"}</definedName>
    <definedName name="ㅏㄷ" localSheetId="6" hidden="1">{#N/A,#N/A,FALSE,"ALM-ASISC"}</definedName>
    <definedName name="ㅏㄷ" localSheetId="1" hidden="1">{#N/A,#N/A,FALSE,"ALM-ASISC"}</definedName>
    <definedName name="ㅏㄷ" hidden="1">{#N/A,#N/A,FALSE,"ALM-ASISC"}</definedName>
    <definedName name="ㅏ딪" localSheetId="3" hidden="1">{#N/A,#N/A,FALSE,"ALM-ASISC"}</definedName>
    <definedName name="ㅏ딪" localSheetId="4" hidden="1">{#N/A,#N/A,FALSE,"ALM-ASISC"}</definedName>
    <definedName name="ㅏ딪" localSheetId="5" hidden="1">{#N/A,#N/A,FALSE,"ALM-ASISC"}</definedName>
    <definedName name="ㅏ딪" localSheetId="6" hidden="1">{#N/A,#N/A,FALSE,"ALM-ASISC"}</definedName>
    <definedName name="ㅏ딪" localSheetId="1" hidden="1">{#N/A,#N/A,FALSE,"ALM-ASISC"}</definedName>
    <definedName name="ㅏ딪" hidden="1">{#N/A,#N/A,FALSE,"ALM-ASISC"}</definedName>
    <definedName name="ㅏㅇ" localSheetId="3" hidden="1">{#N/A,#N/A,FALSE,"ALM-ASISC"}</definedName>
    <definedName name="ㅏㅇ" localSheetId="4" hidden="1">{#N/A,#N/A,FALSE,"ALM-ASISC"}</definedName>
    <definedName name="ㅏㅇ" localSheetId="5" hidden="1">{#N/A,#N/A,FALSE,"ALM-ASISC"}</definedName>
    <definedName name="ㅏㅇ" localSheetId="6" hidden="1">{#N/A,#N/A,FALSE,"ALM-ASISC"}</definedName>
    <definedName name="ㅏㅇ" localSheetId="1" hidden="1">{#N/A,#N/A,FALSE,"ALM-ASISC"}</definedName>
    <definedName name="ㅏㅇ" hidden="1">{#N/A,#N/A,FALSE,"ALM-ASISC"}</definedName>
    <definedName name="ㅏ잊" localSheetId="3" hidden="1">{#N/A,#N/A,FALSE,"ALM-ASISC"}</definedName>
    <definedName name="ㅏ잊" localSheetId="4" hidden="1">{#N/A,#N/A,FALSE,"ALM-ASISC"}</definedName>
    <definedName name="ㅏ잊" localSheetId="5" hidden="1">{#N/A,#N/A,FALSE,"ALM-ASISC"}</definedName>
    <definedName name="ㅏ잊" localSheetId="6" hidden="1">{#N/A,#N/A,FALSE,"ALM-ASISC"}</definedName>
    <definedName name="ㅏ잊" localSheetId="1" hidden="1">{#N/A,#N/A,FALSE,"ALM-ASISC"}</definedName>
    <definedName name="ㅏ잊" hidden="1">{#N/A,#N/A,FALSE,"ALM-ASISC"}</definedName>
    <definedName name="ㅏ짇" localSheetId="3" hidden="1">{#N/A,#N/A,FALSE,"ALM-ASISC"}</definedName>
    <definedName name="ㅏ짇" localSheetId="4" hidden="1">{#N/A,#N/A,FALSE,"ALM-ASISC"}</definedName>
    <definedName name="ㅏ짇" localSheetId="5" hidden="1">{#N/A,#N/A,FALSE,"ALM-ASISC"}</definedName>
    <definedName name="ㅏ짇" localSheetId="6" hidden="1">{#N/A,#N/A,FALSE,"ALM-ASISC"}</definedName>
    <definedName name="ㅏ짇" localSheetId="1" hidden="1">{#N/A,#N/A,FALSE,"ALM-ASISC"}</definedName>
    <definedName name="ㅏ짇" hidden="1">{#N/A,#N/A,FALSE,"ALM-ASISC"}</definedName>
    <definedName name="ㅏㅏㅏ"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hidden="1">'[33]N賃率-職'!$I$5:$I$30</definedName>
    <definedName name="ㅏㅣㄴ" localSheetId="3" hidden="1">{#N/A,#N/A,FALSE,"ALM-ASISC"}</definedName>
    <definedName name="ㅏㅣㄴ" localSheetId="4" hidden="1">{#N/A,#N/A,FALSE,"ALM-ASISC"}</definedName>
    <definedName name="ㅏㅣㄴ" localSheetId="5" hidden="1">{#N/A,#N/A,FALSE,"ALM-ASISC"}</definedName>
    <definedName name="ㅏㅣㄴ" localSheetId="6" hidden="1">{#N/A,#N/A,FALSE,"ALM-ASISC"}</definedName>
    <definedName name="ㅏㅣㄴ" localSheetId="1" hidden="1">{#N/A,#N/A,FALSE,"ALM-ASISC"}</definedName>
    <definedName name="ㅏㅣㄴ" hidden="1">{#N/A,#N/A,FALSE,"ALM-ASISC"}</definedName>
    <definedName name="ㅏㅣㄷ" localSheetId="3" hidden="1">{#N/A,#N/A,FALSE,"ALM-ASISC"}</definedName>
    <definedName name="ㅏㅣㄷ" localSheetId="4" hidden="1">{#N/A,#N/A,FALSE,"ALM-ASISC"}</definedName>
    <definedName name="ㅏㅣㄷ" localSheetId="5" hidden="1">{#N/A,#N/A,FALSE,"ALM-ASISC"}</definedName>
    <definedName name="ㅏㅣㄷ" localSheetId="6" hidden="1">{#N/A,#N/A,FALSE,"ALM-ASISC"}</definedName>
    <definedName name="ㅏㅣㄷ" localSheetId="1" hidden="1">{#N/A,#N/A,FALSE,"ALM-ASISC"}</definedName>
    <definedName name="ㅏㅣㄷ" hidden="1">{#N/A,#N/A,FALSE,"ALM-ASISC"}</definedName>
    <definedName name="ㅑㅑ" localSheetId="3" hidden="1">{"'용역비'!$A$4:$C$8"}</definedName>
    <definedName name="ㅑㅑ" localSheetId="4" hidden="1">{"'용역비'!$A$4:$C$8"}</definedName>
    <definedName name="ㅑㅑ" localSheetId="5" hidden="1">{"'용역비'!$A$4:$C$8"}</definedName>
    <definedName name="ㅑㅑ" localSheetId="6" hidden="1">{"'용역비'!$A$4:$C$8"}</definedName>
    <definedName name="ㅑㅑ" localSheetId="7" hidden="1">{"'용역비'!$A$4:$C$8"}</definedName>
    <definedName name="ㅑㅑ" localSheetId="1" hidden="1">{"'용역비'!$A$4:$C$8"}</definedName>
    <definedName name="ㅑㅑ" localSheetId="0" hidden="1">{"'용역비'!$A$4:$C$8"}</definedName>
    <definedName name="ㅑㅑ" hidden="1">{"'용역비'!$A$4:$C$8"}</definedName>
    <definedName name="ㅑㅑ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3" hidden="1">{"'용역비'!$A$4:$C$8"}</definedName>
    <definedName name="ㅑㅑㅑㅑㅑ" localSheetId="4" hidden="1">{"'용역비'!$A$4:$C$8"}</definedName>
    <definedName name="ㅑㅑㅑㅑㅑ" localSheetId="5" hidden="1">{"'용역비'!$A$4:$C$8"}</definedName>
    <definedName name="ㅑㅑㅑㅑㅑ" localSheetId="6" hidden="1">{"'용역비'!$A$4:$C$8"}</definedName>
    <definedName name="ㅑㅑㅑㅑㅑ" localSheetId="7" hidden="1">{"'용역비'!$A$4:$C$8"}</definedName>
    <definedName name="ㅑㅑㅑㅑㅑ" localSheetId="1" hidden="1">{"'용역비'!$A$4:$C$8"}</definedName>
    <definedName name="ㅑㅑㅑㅑㅑ" localSheetId="0" hidden="1">{"'용역비'!$A$4:$C$8"}</definedName>
    <definedName name="ㅑㅑㅑㅑㅑ" hidden="1">{"'용역비'!$A$4:$C$8"}</definedName>
    <definedName name="ㅑㅑㅑㅑㅑㅑ" localSheetId="3" hidden="1">{"'용역비'!$A$4:$C$8"}</definedName>
    <definedName name="ㅑㅑㅑㅑㅑㅑ" localSheetId="4" hidden="1">{"'용역비'!$A$4:$C$8"}</definedName>
    <definedName name="ㅑㅑㅑㅑㅑㅑ" localSheetId="5" hidden="1">{"'용역비'!$A$4:$C$8"}</definedName>
    <definedName name="ㅑㅑㅑㅑㅑㅑ" localSheetId="6" hidden="1">{"'용역비'!$A$4:$C$8"}</definedName>
    <definedName name="ㅑㅑㅑㅑㅑㅑ" localSheetId="7" hidden="1">{"'용역비'!$A$4:$C$8"}</definedName>
    <definedName name="ㅑㅑㅑㅑㅑㅑ" localSheetId="1" hidden="1">{"'용역비'!$A$4:$C$8"}</definedName>
    <definedName name="ㅑㅑㅑㅑㅑㅑ" localSheetId="0" hidden="1">{"'용역비'!$A$4:$C$8"}</definedName>
    <definedName name="ㅑㅑㅑㅑㅑㅑ" hidden="1">{"'용역비'!$A$4:$C$8"}</definedName>
    <definedName name="ㅑㅕㅑ" localSheetId="3" hidden="1">{#N/A,#N/A,FALSE,"전력간선"}</definedName>
    <definedName name="ㅑㅕㅑ" localSheetId="4" hidden="1">{#N/A,#N/A,FALSE,"전력간선"}</definedName>
    <definedName name="ㅑㅕㅑ" localSheetId="5" hidden="1">{#N/A,#N/A,FALSE,"전력간선"}</definedName>
    <definedName name="ㅑㅕㅑ" localSheetId="6" hidden="1">{#N/A,#N/A,FALSE,"전력간선"}</definedName>
    <definedName name="ㅑㅕㅑ" localSheetId="7" hidden="1">{#N/A,#N/A,FALSE,"전력간선"}</definedName>
    <definedName name="ㅑㅕㅑ" localSheetId="1" hidden="1">{#N/A,#N/A,FALSE,"전력간선"}</definedName>
    <definedName name="ㅑㅕㅑ" localSheetId="0" hidden="1">{#N/A,#N/A,FALSE,"전력간선"}</definedName>
    <definedName name="ㅑㅕㅑ" hidden="1">{#N/A,#N/A,FALSE,"전력간선"}</definedName>
    <definedName name="ㅑㅕㅕ" localSheetId="3" hidden="1">{"'용역비'!$A$4:$C$8"}</definedName>
    <definedName name="ㅑㅕㅕ" localSheetId="4" hidden="1">{"'용역비'!$A$4:$C$8"}</definedName>
    <definedName name="ㅑㅕㅕ" localSheetId="5" hidden="1">{"'용역비'!$A$4:$C$8"}</definedName>
    <definedName name="ㅑㅕㅕ" localSheetId="6" hidden="1">{"'용역비'!$A$4:$C$8"}</definedName>
    <definedName name="ㅑㅕㅕ" localSheetId="7" hidden="1">{"'용역비'!$A$4:$C$8"}</definedName>
    <definedName name="ㅑㅕㅕ" localSheetId="1" hidden="1">{"'용역비'!$A$4:$C$8"}</definedName>
    <definedName name="ㅑㅕㅕ" localSheetId="0" hidden="1">{"'용역비'!$A$4:$C$8"}</definedName>
    <definedName name="ㅑㅕㅕ" hidden="1">{"'용역비'!$A$4:$C$8"}</definedName>
    <definedName name="ㅓㄴㄱ" hidden="1">[44]실행철강하도!$A$1:$A$4</definedName>
    <definedName name="ㅓ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아ㅣㄷ" localSheetId="3" hidden="1">{#N/A,#N/A,FALSE,"ALM-ASISC"}</definedName>
    <definedName name="ㅓ아ㅣㄷ" localSheetId="4" hidden="1">{#N/A,#N/A,FALSE,"ALM-ASISC"}</definedName>
    <definedName name="ㅓ아ㅣㄷ" localSheetId="5" hidden="1">{#N/A,#N/A,FALSE,"ALM-ASISC"}</definedName>
    <definedName name="ㅓ아ㅣㄷ" localSheetId="6" hidden="1">{#N/A,#N/A,FALSE,"ALM-ASISC"}</definedName>
    <definedName name="ㅓ아ㅣㄷ" localSheetId="1" hidden="1">{#N/A,#N/A,FALSE,"ALM-ASISC"}</definedName>
    <definedName name="ㅓ아ㅣㄷ" hidden="1">{#N/A,#N/A,FALSE,"ALM-ASISC"}</definedName>
    <definedName name="ㅓ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3" hidden="1">{#N/A,#N/A,FALSE,"전력간선"}</definedName>
    <definedName name="ㅓㅓㅓ" localSheetId="4" hidden="1">{#N/A,#N/A,FALSE,"전력간선"}</definedName>
    <definedName name="ㅓㅓㅓ" localSheetId="5" hidden="1">{#N/A,#N/A,FALSE,"전력간선"}</definedName>
    <definedName name="ㅓㅓㅓ" localSheetId="6" hidden="1">{#N/A,#N/A,FALSE,"전력간선"}</definedName>
    <definedName name="ㅓㅓㅓ" localSheetId="7" hidden="1">{#N/A,#N/A,FALSE,"전력간선"}</definedName>
    <definedName name="ㅓㅓㅓ" localSheetId="1" hidden="1">{#N/A,#N/A,FALSE,"전력간선"}</definedName>
    <definedName name="ㅓㅓㅓ" localSheetId="0" hidden="1">{#N/A,#N/A,FALSE,"전력간선"}</definedName>
    <definedName name="ㅓㅓㅓ" hidden="1">{#N/A,#N/A,FALSE,"전력간선"}</definedName>
    <definedName name="ㅓㅓㅓ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#REF!</definedName>
    <definedName name="ㅔㅔ" hidden="1">[58]집계표!#REF!</definedName>
    <definedName name="ㅔㅣ" localSheetId="3" hidden="1">{"'용역비'!$A$4:$C$8"}</definedName>
    <definedName name="ㅔㅣ" localSheetId="4" hidden="1">{"'용역비'!$A$4:$C$8"}</definedName>
    <definedName name="ㅔㅣ" localSheetId="5" hidden="1">{"'용역비'!$A$4:$C$8"}</definedName>
    <definedName name="ㅔㅣ" localSheetId="6" hidden="1">{"'용역비'!$A$4:$C$8"}</definedName>
    <definedName name="ㅔㅣ" localSheetId="7" hidden="1">{"'용역비'!$A$4:$C$8"}</definedName>
    <definedName name="ㅔㅣ" localSheetId="1" hidden="1">{"'용역비'!$A$4:$C$8"}</definedName>
    <definedName name="ㅔㅣ" localSheetId="0" hidden="1">{"'용역비'!$A$4:$C$8"}</definedName>
    <definedName name="ㅔㅣ" hidden="1">{"'용역비'!$A$4:$C$8"}</definedName>
    <definedName name="ㅗ마ㅓ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localSheetId="3" hidden="1">{"'용역비'!$A$4:$C$8"}</definedName>
    <definedName name="ㅛ" localSheetId="4" hidden="1">{"'용역비'!$A$4:$C$8"}</definedName>
    <definedName name="ㅛ" localSheetId="5" hidden="1">{"'용역비'!$A$4:$C$8"}</definedName>
    <definedName name="ㅛ" localSheetId="6" hidden="1">{"'용역비'!$A$4:$C$8"}</definedName>
    <definedName name="ㅛ" localSheetId="7" hidden="1">{"'용역비'!$A$4:$C$8"}</definedName>
    <definedName name="ㅛ" localSheetId="1" hidden="1">{"'용역비'!$A$4:$C$8"}</definedName>
    <definedName name="ㅛ" localSheetId="0" hidden="1">{"'용역비'!$A$4:$C$8"}</definedName>
    <definedName name="ㅛ" hidden="1">{"'용역비'!$A$4:$C$8"}</definedName>
    <definedName name="ㅛㅕㅑ" hidden="1">'[46]N賃率-職'!$I$5:$I$30</definedName>
    <definedName name="ㅛㅛ" localSheetId="3" hidden="1">{"'용역비'!$A$4:$C$8"}</definedName>
    <definedName name="ㅛㅛ" localSheetId="4" hidden="1">{"'용역비'!$A$4:$C$8"}</definedName>
    <definedName name="ㅛㅛ" localSheetId="5" hidden="1">{"'용역비'!$A$4:$C$8"}</definedName>
    <definedName name="ㅛㅛ" localSheetId="6" hidden="1">{"'용역비'!$A$4:$C$8"}</definedName>
    <definedName name="ㅛㅛ" localSheetId="7" hidden="1">{"'용역비'!$A$4:$C$8"}</definedName>
    <definedName name="ㅛㅛ" localSheetId="1" hidden="1">{"'용역비'!$A$4:$C$8"}</definedName>
    <definedName name="ㅛㅛ" localSheetId="0" hidden="1">{"'용역비'!$A$4:$C$8"}</definedName>
    <definedName name="ㅛㅛ" hidden="1">{"'용역비'!$A$4:$C$8"}</definedName>
    <definedName name="ㅛㅛㅛ" localSheetId="3" hidden="1">{"'용역비'!$A$4:$C$8"}</definedName>
    <definedName name="ㅛㅛㅛ" localSheetId="4" hidden="1">{"'용역비'!$A$4:$C$8"}</definedName>
    <definedName name="ㅛㅛㅛ" localSheetId="5" hidden="1">{"'용역비'!$A$4:$C$8"}</definedName>
    <definedName name="ㅛㅛㅛ" localSheetId="6" hidden="1">{"'용역비'!$A$4:$C$8"}</definedName>
    <definedName name="ㅛㅛㅛ" localSheetId="7" hidden="1">{"'용역비'!$A$4:$C$8"}</definedName>
    <definedName name="ㅛㅛㅛ" localSheetId="1" hidden="1">{"'용역비'!$A$4:$C$8"}</definedName>
    <definedName name="ㅛㅛㅛ" localSheetId="0" hidden="1">{"'용역비'!$A$4:$C$8"}</definedName>
    <definedName name="ㅛㅛㅛ" hidden="1">{"'용역비'!$A$4:$C$8"}</definedName>
    <definedName name="ㅛㅛㅛㅛ" hidden="1">[59]수량산출!$A$1:$A$8561</definedName>
    <definedName name="ㅜ" hidden="1">[16]수량산출!#REF!</definedName>
    <definedName name="ㅜ다" localSheetId="3" hidden="1">{#N/A,#N/A,FALSE,"ALM-ASISC"}</definedName>
    <definedName name="ㅜ다" localSheetId="4" hidden="1">{#N/A,#N/A,FALSE,"ALM-ASISC"}</definedName>
    <definedName name="ㅜ다" localSheetId="5" hidden="1">{#N/A,#N/A,FALSE,"ALM-ASISC"}</definedName>
    <definedName name="ㅜ다" localSheetId="6" hidden="1">{#N/A,#N/A,FALSE,"ALM-ASISC"}</definedName>
    <definedName name="ㅜ다" localSheetId="1" hidden="1">{#N/A,#N/A,FALSE,"ALM-ASISC"}</definedName>
    <definedName name="ㅜ다" hidden="1">{#N/A,#N/A,FALSE,"ALM-ASISC"}</definedName>
    <definedName name="ㅜㅈ다" localSheetId="3" hidden="1">{#N/A,#N/A,FALSE,"ALM-ASISC"}</definedName>
    <definedName name="ㅜㅈ다" localSheetId="4" hidden="1">{#N/A,#N/A,FALSE,"ALM-ASISC"}</definedName>
    <definedName name="ㅜㅈ다" localSheetId="5" hidden="1">{#N/A,#N/A,FALSE,"ALM-ASISC"}</definedName>
    <definedName name="ㅜㅈ다" localSheetId="6" hidden="1">{#N/A,#N/A,FALSE,"ALM-ASISC"}</definedName>
    <definedName name="ㅜㅈ다" localSheetId="1" hidden="1">{#N/A,#N/A,FALSE,"ALM-ASISC"}</definedName>
    <definedName name="ㅜㅈ다" hidden="1">{#N/A,#N/A,FALSE,"ALM-ASISC"}</definedName>
    <definedName name="ㅜ자ㅣㅂ" localSheetId="3" hidden="1">{#N/A,#N/A,FALSE,"ALM-ASISC"}</definedName>
    <definedName name="ㅜ자ㅣㅂ" localSheetId="4" hidden="1">{#N/A,#N/A,FALSE,"ALM-ASISC"}</definedName>
    <definedName name="ㅜ자ㅣㅂ" localSheetId="5" hidden="1">{#N/A,#N/A,FALSE,"ALM-ASISC"}</definedName>
    <definedName name="ㅜ자ㅣㅂ" localSheetId="6" hidden="1">{#N/A,#N/A,FALSE,"ALM-ASISC"}</definedName>
    <definedName name="ㅜ자ㅣㅂ" localSheetId="1" hidden="1">{#N/A,#N/A,FALSE,"ALM-ASISC"}</definedName>
    <definedName name="ㅜ자ㅣㅂ" hidden="1">{#N/A,#N/A,FALSE,"ALM-ASISC"}</definedName>
    <definedName name="ㅜㅠㅊ퓨ㅜ" localSheetId="1" hidden="1">#REF!</definedName>
    <definedName name="ㅜㅠㅊ퓨ㅜ" localSheetId="0" hidden="1">#REF!</definedName>
    <definedName name="ㅜㅠㅊ퓨ㅜ" hidden="1">#REF!</definedName>
    <definedName name="ㅠ" localSheetId="3" hidden="1">{"'공사부문'!$A$6:$A$32"}</definedName>
    <definedName name="ㅠ" localSheetId="4" hidden="1">{"'공사부문'!$A$6:$A$32"}</definedName>
    <definedName name="ㅠ" localSheetId="5" hidden="1">{"'공사부문'!$A$6:$A$32"}</definedName>
    <definedName name="ㅠ" localSheetId="6" hidden="1">{"'공사부문'!$A$6:$A$32"}</definedName>
    <definedName name="ㅠ" localSheetId="7" hidden="1">{"'공사부문'!$A$6:$A$32"}</definedName>
    <definedName name="ㅠ" localSheetId="1" hidden="1">{"'공사부문'!$A$6:$A$32"}</definedName>
    <definedName name="ㅠ" localSheetId="0" hidden="1">{"'공사부문'!$A$6:$A$32"}</definedName>
    <definedName name="ㅠ" hidden="1">{"'공사부문'!$A$6:$A$32"}</definedName>
    <definedName name="ㅠㄱ" localSheetId="3" hidden="1">{"'용역비'!$A$4:$C$8"}</definedName>
    <definedName name="ㅠㄱ" localSheetId="4" hidden="1">{"'용역비'!$A$4:$C$8"}</definedName>
    <definedName name="ㅠㄱ" localSheetId="5" hidden="1">{"'용역비'!$A$4:$C$8"}</definedName>
    <definedName name="ㅠㄱ" localSheetId="6" hidden="1">{"'용역비'!$A$4:$C$8"}</definedName>
    <definedName name="ㅠㄱ" localSheetId="7" hidden="1">{"'용역비'!$A$4:$C$8"}</definedName>
    <definedName name="ㅠㄱ" localSheetId="1" hidden="1">{"'용역비'!$A$4:$C$8"}</definedName>
    <definedName name="ㅠㄱ" localSheetId="0" hidden="1">{"'용역비'!$A$4:$C$8"}</definedName>
    <definedName name="ㅠㄱ" hidden="1">{"'용역비'!$A$4:$C$8"}</definedName>
    <definedName name="ㅣ닺" localSheetId="3" hidden="1">{#N/A,#N/A,FALSE,"ALM-ASISC"}</definedName>
    <definedName name="ㅣ닺" localSheetId="4" hidden="1">{#N/A,#N/A,FALSE,"ALM-ASISC"}</definedName>
    <definedName name="ㅣ닺" localSheetId="5" hidden="1">{#N/A,#N/A,FALSE,"ALM-ASISC"}</definedName>
    <definedName name="ㅣ닺" localSheetId="6" hidden="1">{#N/A,#N/A,FALSE,"ALM-ASISC"}</definedName>
    <definedName name="ㅣ닺" localSheetId="1" hidden="1">{#N/A,#N/A,FALSE,"ALM-ASISC"}</definedName>
    <definedName name="ㅣ닺" hidden="1">{#N/A,#N/A,FALSE,"ALM-ASISC"}</definedName>
    <definedName name="ㅣㅇ" localSheetId="3" hidden="1">{#N/A,#N/A,FALSE,"ALM-ASISC"}</definedName>
    <definedName name="ㅣㅇ" localSheetId="4" hidden="1">{#N/A,#N/A,FALSE,"ALM-ASISC"}</definedName>
    <definedName name="ㅣㅇ" localSheetId="5" hidden="1">{#N/A,#N/A,FALSE,"ALM-ASISC"}</definedName>
    <definedName name="ㅣㅇ" localSheetId="6" hidden="1">{#N/A,#N/A,FALSE,"ALM-ASISC"}</definedName>
    <definedName name="ㅣㅇ" localSheetId="1" hidden="1">{#N/A,#N/A,FALSE,"ALM-ASISC"}</definedName>
    <definedName name="ㅣㅇ" hidden="1">{#N/A,#N/A,FALSE,"ALM-ASISC"}</definedName>
    <definedName name="ㅣㅈ다" localSheetId="3" hidden="1">{#N/A,#N/A,FALSE,"ALM-ASISC"}</definedName>
    <definedName name="ㅣㅈ다" localSheetId="4" hidden="1">{#N/A,#N/A,FALSE,"ALM-ASISC"}</definedName>
    <definedName name="ㅣㅈ다" localSheetId="5" hidden="1">{#N/A,#N/A,FALSE,"ALM-ASISC"}</definedName>
    <definedName name="ㅣㅈ다" localSheetId="6" hidden="1">{#N/A,#N/A,FALSE,"ALM-ASISC"}</definedName>
    <definedName name="ㅣㅈ다" localSheetId="1" hidden="1">{#N/A,#N/A,FALSE,"ALM-ASISC"}</definedName>
    <definedName name="ㅣㅈ다" hidden="1">{#N/A,#N/A,FALSE,"ALM-ASISC"}</definedName>
    <definedName name="ㅣ잗" localSheetId="3" hidden="1">{#N/A,#N/A,FALSE,"ALM-ASISC"}</definedName>
    <definedName name="ㅣ잗" localSheetId="4" hidden="1">{#N/A,#N/A,FALSE,"ALM-ASISC"}</definedName>
    <definedName name="ㅣ잗" localSheetId="5" hidden="1">{#N/A,#N/A,FALSE,"ALM-ASISC"}</definedName>
    <definedName name="ㅣ잗" localSheetId="6" hidden="1">{#N/A,#N/A,FALSE,"ALM-ASISC"}</definedName>
    <definedName name="ㅣ잗" localSheetId="1" hidden="1">{#N/A,#N/A,FALSE,"ALM-ASISC"}</definedName>
    <definedName name="ㅣ잗" hidden="1">{#N/A,#N/A,FALSE,"ALM-ASISC"}</definedName>
    <definedName name="ㅣ젇" localSheetId="3" hidden="1">{#N/A,#N/A,FALSE,"ALM-ASISC"}</definedName>
    <definedName name="ㅣ젇" localSheetId="4" hidden="1">{#N/A,#N/A,FALSE,"ALM-ASISC"}</definedName>
    <definedName name="ㅣ젇" localSheetId="5" hidden="1">{#N/A,#N/A,FALSE,"ALM-ASISC"}</definedName>
    <definedName name="ㅣ젇" localSheetId="6" hidden="1">{#N/A,#N/A,FALSE,"ALM-ASISC"}</definedName>
    <definedName name="ㅣ젇" localSheetId="1" hidden="1">{#N/A,#N/A,FALSE,"ALM-ASISC"}</definedName>
    <definedName name="ㅣ젇" hidden="1">{#N/A,#N/A,FALSE,"ALM-ASISC"}</definedName>
    <definedName name="ㅣㅏ아ㅓ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ㅗ" hidden="1">#REF!</definedName>
    <definedName name="ㅣㅣㅣ"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 i="56" l="1"/>
  <c r="Y1" i="55" l="1"/>
  <c r="Y1" i="52" l="1"/>
  <c r="Y1" i="51"/>
  <c r="X1" i="48" l="1"/>
  <c r="X2" i="48"/>
  <c r="M142" i="47" l="1"/>
  <c r="L142" i="47"/>
  <c r="N142" i="47" s="1"/>
  <c r="M141" i="47"/>
  <c r="L141" i="47"/>
  <c r="N141" i="47" s="1"/>
  <c r="M140" i="47"/>
  <c r="L140" i="47"/>
  <c r="M139" i="47"/>
  <c r="L139" i="47"/>
  <c r="M138" i="47"/>
  <c r="L138" i="47"/>
  <c r="N138" i="47" s="1"/>
  <c r="M137" i="47"/>
  <c r="L137" i="47"/>
  <c r="M136" i="47"/>
  <c r="L136" i="47"/>
  <c r="N136" i="47" s="1"/>
  <c r="M135" i="47"/>
  <c r="L135" i="47"/>
  <c r="M134" i="47"/>
  <c r="L134" i="47"/>
  <c r="N134" i="47" s="1"/>
  <c r="M133" i="47"/>
  <c r="L133" i="47"/>
  <c r="M132" i="47"/>
  <c r="L132" i="47"/>
  <c r="M131" i="47"/>
  <c r="L131" i="47"/>
  <c r="N131" i="47" s="1"/>
  <c r="M130" i="47"/>
  <c r="L130" i="47"/>
  <c r="M129" i="47"/>
  <c r="L129" i="47"/>
  <c r="M128" i="47"/>
  <c r="L128" i="47"/>
  <c r="N128" i="47" s="1"/>
  <c r="M127" i="47"/>
  <c r="L127" i="47"/>
  <c r="N127" i="47" s="1"/>
  <c r="M126" i="47"/>
  <c r="L126" i="47"/>
  <c r="N126" i="47" s="1"/>
  <c r="M125" i="47"/>
  <c r="N125" i="47" s="1"/>
  <c r="L125" i="47"/>
  <c r="M124" i="47"/>
  <c r="L124" i="47"/>
  <c r="M123" i="47"/>
  <c r="L123" i="47"/>
  <c r="M122" i="47"/>
  <c r="L122" i="47"/>
  <c r="N121" i="47"/>
  <c r="M121" i="47"/>
  <c r="L121" i="47"/>
  <c r="M120" i="47"/>
  <c r="L120" i="47"/>
  <c r="M119" i="47"/>
  <c r="L119" i="47"/>
  <c r="N119" i="47" s="1"/>
  <c r="M118" i="47"/>
  <c r="N118" i="47" s="1"/>
  <c r="L118" i="47"/>
  <c r="M117" i="47"/>
  <c r="L117" i="47"/>
  <c r="M116" i="47"/>
  <c r="N116" i="47" s="1"/>
  <c r="L116" i="47"/>
  <c r="M115" i="47"/>
  <c r="L115" i="47"/>
  <c r="N115" i="47" s="1"/>
  <c r="M114" i="47"/>
  <c r="L114" i="47"/>
  <c r="M113" i="47"/>
  <c r="L113" i="47"/>
  <c r="N113" i="47" s="1"/>
  <c r="M112" i="47"/>
  <c r="L112" i="47"/>
  <c r="N112" i="47" s="1"/>
  <c r="M111" i="47"/>
  <c r="L111" i="47"/>
  <c r="M110" i="47"/>
  <c r="L110" i="47"/>
  <c r="N110" i="47" s="1"/>
  <c r="M109" i="47"/>
  <c r="L109" i="47"/>
  <c r="M108" i="47"/>
  <c r="L108" i="47"/>
  <c r="M107" i="47"/>
  <c r="L107" i="47"/>
  <c r="N107" i="47" s="1"/>
  <c r="M106" i="47"/>
  <c r="L106" i="47"/>
  <c r="M105" i="47"/>
  <c r="L105" i="47"/>
  <c r="N105" i="47" s="1"/>
  <c r="M104" i="47"/>
  <c r="L104" i="47"/>
  <c r="N104" i="47" s="1"/>
  <c r="M103" i="47"/>
  <c r="L103" i="47"/>
  <c r="N103" i="47" s="1"/>
  <c r="M102" i="47"/>
  <c r="L102" i="47"/>
  <c r="N102" i="47" s="1"/>
  <c r="M101" i="47"/>
  <c r="N101" i="47" s="1"/>
  <c r="L101" i="47"/>
  <c r="M100" i="47"/>
  <c r="L100" i="47"/>
  <c r="M99" i="47"/>
  <c r="L99" i="47"/>
  <c r="M98" i="47"/>
  <c r="L98" i="47"/>
  <c r="N98" i="47" s="1"/>
  <c r="N97" i="47"/>
  <c r="M97" i="47"/>
  <c r="L97" i="47"/>
  <c r="M96" i="47"/>
  <c r="L96" i="47"/>
  <c r="N96" i="47" s="1"/>
  <c r="M95" i="47"/>
  <c r="L95" i="47"/>
  <c r="M94" i="47"/>
  <c r="L94" i="47"/>
  <c r="M93" i="47"/>
  <c r="L93" i="47"/>
  <c r="M92" i="47"/>
  <c r="N92" i="47" s="1"/>
  <c r="L92" i="47"/>
  <c r="M91" i="47"/>
  <c r="L91" i="47"/>
  <c r="N91" i="47" s="1"/>
  <c r="M90" i="47"/>
  <c r="L90" i="47"/>
  <c r="N90" i="47" s="1"/>
  <c r="M89" i="47"/>
  <c r="L89" i="47"/>
  <c r="N89" i="47" s="1"/>
  <c r="M88" i="47"/>
  <c r="L88" i="47"/>
  <c r="N88" i="47" s="1"/>
  <c r="M87" i="47"/>
  <c r="L87" i="47"/>
  <c r="M86" i="47"/>
  <c r="L86" i="47"/>
  <c r="N86" i="47" s="1"/>
  <c r="M85" i="47"/>
  <c r="L85" i="47"/>
  <c r="M84" i="47"/>
  <c r="L84" i="47"/>
  <c r="M83" i="47"/>
  <c r="L83" i="47"/>
  <c r="N83" i="47" s="1"/>
  <c r="M82" i="47"/>
  <c r="L82" i="47"/>
  <c r="M81" i="47"/>
  <c r="L81" i="47"/>
  <c r="N81" i="47" s="1"/>
  <c r="M80" i="47"/>
  <c r="N80" i="47" s="1"/>
  <c r="L80" i="47"/>
  <c r="M79" i="47"/>
  <c r="L79" i="47"/>
  <c r="N79" i="47" s="1"/>
  <c r="N78" i="47"/>
  <c r="M78" i="47"/>
  <c r="L78" i="47"/>
  <c r="M77" i="47"/>
  <c r="L77" i="47"/>
  <c r="M76" i="47"/>
  <c r="L76" i="47"/>
  <c r="M75" i="47"/>
  <c r="L75" i="47"/>
  <c r="N75" i="47" s="1"/>
  <c r="M74" i="47"/>
  <c r="L74" i="47"/>
  <c r="N74" i="47" s="1"/>
  <c r="M73" i="47"/>
  <c r="L73" i="47"/>
  <c r="N73" i="47" s="1"/>
  <c r="M72" i="47"/>
  <c r="L72" i="47"/>
  <c r="N72" i="47" s="1"/>
  <c r="M71" i="47"/>
  <c r="L71" i="47"/>
  <c r="M70" i="47"/>
  <c r="L70" i="47"/>
  <c r="M69" i="47"/>
  <c r="L69" i="47"/>
  <c r="M68" i="47"/>
  <c r="L68" i="47"/>
  <c r="M67" i="47"/>
  <c r="L67" i="47"/>
  <c r="N67" i="47" s="1"/>
  <c r="M66" i="47"/>
  <c r="L66" i="47"/>
  <c r="N66" i="47" s="1"/>
  <c r="M65" i="47"/>
  <c r="L65" i="47"/>
  <c r="N65" i="47" s="1"/>
  <c r="M64" i="47"/>
  <c r="L64" i="47"/>
  <c r="M63" i="47"/>
  <c r="L63" i="47"/>
  <c r="M62" i="47"/>
  <c r="L62" i="47"/>
  <c r="N62" i="47" s="1"/>
  <c r="M61" i="47"/>
  <c r="L61" i="47"/>
  <c r="M60" i="47"/>
  <c r="L60" i="47"/>
  <c r="M59" i="47"/>
  <c r="L59" i="47"/>
  <c r="N59" i="47" s="1"/>
  <c r="M58" i="47"/>
  <c r="L58" i="47"/>
  <c r="M57" i="47"/>
  <c r="L57" i="47"/>
  <c r="N57" i="47" s="1"/>
  <c r="M56" i="47"/>
  <c r="L56" i="47"/>
  <c r="N56" i="47" s="1"/>
  <c r="M55" i="47"/>
  <c r="L55" i="47"/>
  <c r="N55" i="47" s="1"/>
  <c r="M54" i="47"/>
  <c r="L54" i="47"/>
  <c r="N54" i="47" s="1"/>
  <c r="M53" i="47"/>
  <c r="L53" i="47"/>
  <c r="M52" i="47"/>
  <c r="L52" i="47"/>
  <c r="M51" i="47"/>
  <c r="N51" i="47" s="1"/>
  <c r="L51" i="47"/>
  <c r="M50" i="47"/>
  <c r="L50" i="47"/>
  <c r="N50" i="47" s="1"/>
  <c r="N49" i="47"/>
  <c r="M49" i="47"/>
  <c r="L49" i="47"/>
  <c r="M48" i="47"/>
  <c r="L48" i="47"/>
  <c r="N48" i="47" s="1"/>
  <c r="M47" i="47"/>
  <c r="L47" i="47"/>
  <c r="M46" i="47"/>
  <c r="N46" i="47" s="1"/>
  <c r="L46" i="47"/>
  <c r="M45" i="47"/>
  <c r="L45" i="47"/>
  <c r="M44" i="47"/>
  <c r="L44" i="47"/>
  <c r="M43" i="47"/>
  <c r="L43" i="47"/>
  <c r="N43" i="47" s="1"/>
  <c r="M42" i="47"/>
  <c r="L42" i="47"/>
  <c r="N42" i="47" s="1"/>
  <c r="M41" i="47"/>
  <c r="L41" i="47"/>
  <c r="N41" i="47" s="1"/>
  <c r="M40" i="47"/>
  <c r="L40" i="47"/>
  <c r="N40" i="47" s="1"/>
  <c r="M39" i="47"/>
  <c r="L39" i="47"/>
  <c r="M38" i="47"/>
  <c r="L38" i="47"/>
  <c r="N38" i="47" s="1"/>
  <c r="M37" i="47"/>
  <c r="L37" i="47"/>
  <c r="M36" i="47"/>
  <c r="L36" i="47"/>
  <c r="M35" i="47"/>
  <c r="L35" i="47"/>
  <c r="N35" i="47" s="1"/>
  <c r="M34" i="47"/>
  <c r="L34" i="47"/>
  <c r="M33" i="47"/>
  <c r="L33" i="47"/>
  <c r="N33" i="47" s="1"/>
  <c r="M32" i="47"/>
  <c r="N32" i="47" s="1"/>
  <c r="L32" i="47"/>
  <c r="M31" i="47"/>
  <c r="L31" i="47"/>
  <c r="N31" i="47" s="1"/>
  <c r="N30" i="47"/>
  <c r="M30" i="47"/>
  <c r="L30" i="47"/>
  <c r="M29" i="47"/>
  <c r="L29" i="47"/>
  <c r="M28" i="47"/>
  <c r="L28" i="47"/>
  <c r="M27" i="47"/>
  <c r="L27" i="47"/>
  <c r="M26" i="47"/>
  <c r="L26" i="47"/>
  <c r="N26" i="47" s="1"/>
  <c r="M25" i="47"/>
  <c r="N25" i="47" s="1"/>
  <c r="L25" i="47"/>
  <c r="M24" i="47"/>
  <c r="L24" i="47"/>
  <c r="N24" i="47" s="1"/>
  <c r="M23" i="47"/>
  <c r="L23" i="47"/>
  <c r="M22" i="47"/>
  <c r="L22" i="47"/>
  <c r="N22" i="47" s="1"/>
  <c r="M21" i="47"/>
  <c r="L21" i="47"/>
  <c r="M20" i="47"/>
  <c r="N20" i="47" s="1"/>
  <c r="L20" i="47"/>
  <c r="M19" i="47"/>
  <c r="L19" i="47"/>
  <c r="M18" i="47"/>
  <c r="L18" i="47"/>
  <c r="N18" i="47" s="1"/>
  <c r="M17" i="47"/>
  <c r="L17" i="47"/>
  <c r="M16" i="47"/>
  <c r="L16" i="47"/>
  <c r="N16" i="47" s="1"/>
  <c r="M15" i="47"/>
  <c r="L15" i="47"/>
  <c r="M14" i="47"/>
  <c r="L14" i="47"/>
  <c r="N14" i="47" s="1"/>
  <c r="M13" i="47"/>
  <c r="N13" i="47" s="1"/>
  <c r="L13" i="47"/>
  <c r="M12" i="47"/>
  <c r="L12" i="47"/>
  <c r="M11" i="47"/>
  <c r="L11" i="47"/>
  <c r="M10" i="47"/>
  <c r="L10" i="47"/>
  <c r="M9" i="47"/>
  <c r="L9" i="47"/>
  <c r="M8" i="47"/>
  <c r="L8" i="47"/>
  <c r="N8" i="47" s="1"/>
  <c r="M7" i="47"/>
  <c r="L7" i="47"/>
  <c r="N7" i="47" s="1"/>
  <c r="M6" i="47"/>
  <c r="N6" i="47" s="1"/>
  <c r="L6" i="47"/>
  <c r="M420" i="46"/>
  <c r="L420" i="46"/>
  <c r="M419" i="46"/>
  <c r="L419" i="46"/>
  <c r="M418" i="46"/>
  <c r="L418" i="46"/>
  <c r="N418" i="46" s="1"/>
  <c r="M417" i="46"/>
  <c r="L417" i="46"/>
  <c r="N417" i="46" s="1"/>
  <c r="M416" i="46"/>
  <c r="L416" i="46"/>
  <c r="N416" i="46" s="1"/>
  <c r="M415" i="46"/>
  <c r="L415" i="46"/>
  <c r="N415" i="46" s="1"/>
  <c r="M414" i="46"/>
  <c r="L414" i="46"/>
  <c r="M413" i="46"/>
  <c r="L413" i="46"/>
  <c r="M412" i="46"/>
  <c r="L412" i="46"/>
  <c r="M411" i="46"/>
  <c r="L411" i="46"/>
  <c r="M410" i="46"/>
  <c r="L410" i="46"/>
  <c r="M409" i="46"/>
  <c r="L409" i="46"/>
  <c r="N409" i="46" s="1"/>
  <c r="M408" i="46"/>
  <c r="N408" i="46" s="1"/>
  <c r="L408" i="46"/>
  <c r="M407" i="46"/>
  <c r="L407" i="46"/>
  <c r="M406" i="46"/>
  <c r="L406" i="46"/>
  <c r="M405" i="46"/>
  <c r="L405" i="46"/>
  <c r="N405" i="46" s="1"/>
  <c r="M404" i="46"/>
  <c r="N404" i="46" s="1"/>
  <c r="L404" i="46"/>
  <c r="M403" i="46"/>
  <c r="L403" i="46"/>
  <c r="M402" i="46"/>
  <c r="L402" i="46"/>
  <c r="M401" i="46"/>
  <c r="L401" i="46"/>
  <c r="M400" i="46"/>
  <c r="L400" i="46"/>
  <c r="M399" i="46"/>
  <c r="L399" i="46"/>
  <c r="N399" i="46" s="1"/>
  <c r="M398" i="46"/>
  <c r="L398" i="46"/>
  <c r="N398" i="46" s="1"/>
  <c r="M397" i="46"/>
  <c r="L397" i="46"/>
  <c r="N397" i="46" s="1"/>
  <c r="M396" i="46"/>
  <c r="L396" i="46"/>
  <c r="M395" i="46"/>
  <c r="L395" i="46"/>
  <c r="M394" i="46"/>
  <c r="L394" i="46"/>
  <c r="N394" i="46" s="1"/>
  <c r="M393" i="46"/>
  <c r="L393" i="46"/>
  <c r="N393" i="46" s="1"/>
  <c r="M392" i="46"/>
  <c r="N392" i="46" s="1"/>
  <c r="L392" i="46"/>
  <c r="M391" i="46"/>
  <c r="L391" i="46"/>
  <c r="N391" i="46" s="1"/>
  <c r="M390" i="46"/>
  <c r="L390" i="46"/>
  <c r="M389" i="46"/>
  <c r="N389" i="46" s="1"/>
  <c r="L389" i="46"/>
  <c r="M388" i="46"/>
  <c r="L388" i="46"/>
  <c r="M387" i="46"/>
  <c r="L387" i="46"/>
  <c r="M386" i="46"/>
  <c r="L386" i="46"/>
  <c r="M385" i="46"/>
  <c r="L385" i="46"/>
  <c r="N385" i="46" s="1"/>
  <c r="M384" i="46"/>
  <c r="L384" i="46"/>
  <c r="M383" i="46"/>
  <c r="L383" i="46"/>
  <c r="N383" i="46" s="1"/>
  <c r="M382" i="46"/>
  <c r="L382" i="46"/>
  <c r="M381" i="46"/>
  <c r="L381" i="46"/>
  <c r="N381" i="46" s="1"/>
  <c r="M380" i="46"/>
  <c r="N380" i="46" s="1"/>
  <c r="L380" i="46"/>
  <c r="M379" i="46"/>
  <c r="N379" i="46" s="1"/>
  <c r="L379" i="46"/>
  <c r="M378" i="46"/>
  <c r="L378" i="46"/>
  <c r="M377" i="46"/>
  <c r="L377" i="46"/>
  <c r="M376" i="46"/>
  <c r="L376" i="46"/>
  <c r="M375" i="46"/>
  <c r="L375" i="46"/>
  <c r="N375" i="46" s="1"/>
  <c r="M374" i="46"/>
  <c r="L374" i="46"/>
  <c r="N374" i="46" s="1"/>
  <c r="M373" i="46"/>
  <c r="N373" i="46" s="1"/>
  <c r="L373" i="46"/>
  <c r="M372" i="46"/>
  <c r="L372" i="46"/>
  <c r="M371" i="46"/>
  <c r="L371" i="46"/>
  <c r="M370" i="46"/>
  <c r="L370" i="46"/>
  <c r="N370" i="46" s="1"/>
  <c r="M369" i="46"/>
  <c r="L369" i="46"/>
  <c r="N369" i="46" s="1"/>
  <c r="N368" i="46"/>
  <c r="M368" i="46"/>
  <c r="L368" i="46"/>
  <c r="M367" i="46"/>
  <c r="L367" i="46"/>
  <c r="N367" i="46" s="1"/>
  <c r="M366" i="46"/>
  <c r="L366" i="46"/>
  <c r="M365" i="46"/>
  <c r="L365" i="46"/>
  <c r="M364" i="46"/>
  <c r="L364" i="46"/>
  <c r="M363" i="46"/>
  <c r="L363" i="46"/>
  <c r="M362" i="46"/>
  <c r="L362" i="46"/>
  <c r="M361" i="46"/>
  <c r="L361" i="46"/>
  <c r="N361" i="46" s="1"/>
  <c r="M360" i="46"/>
  <c r="L360" i="46"/>
  <c r="M359" i="46"/>
  <c r="L359" i="46"/>
  <c r="N359" i="46" s="1"/>
  <c r="M358" i="46"/>
  <c r="L358" i="46"/>
  <c r="M357" i="46"/>
  <c r="L357" i="46"/>
  <c r="N357" i="46" s="1"/>
  <c r="M356" i="46"/>
  <c r="N356" i="46" s="1"/>
  <c r="L356" i="46"/>
  <c r="M355" i="46"/>
  <c r="L355" i="46"/>
  <c r="M354" i="46"/>
  <c r="L354" i="46"/>
  <c r="M353" i="46"/>
  <c r="L353" i="46"/>
  <c r="M352" i="46"/>
  <c r="L352" i="46"/>
  <c r="M351" i="46"/>
  <c r="L351" i="46"/>
  <c r="N351" i="46" s="1"/>
  <c r="M350" i="46"/>
  <c r="L350" i="46"/>
  <c r="N350" i="46" s="1"/>
  <c r="N349" i="46"/>
  <c r="M349" i="46"/>
  <c r="L349" i="46"/>
  <c r="M348" i="46"/>
  <c r="L348" i="46"/>
  <c r="M347" i="46"/>
  <c r="L347" i="46"/>
  <c r="M346" i="46"/>
  <c r="L346" i="46"/>
  <c r="N346" i="46" s="1"/>
  <c r="M345" i="46"/>
  <c r="L345" i="46"/>
  <c r="N345" i="46" s="1"/>
  <c r="M344" i="46"/>
  <c r="N344" i="46" s="1"/>
  <c r="L344" i="46"/>
  <c r="M343" i="46"/>
  <c r="L343" i="46"/>
  <c r="N343" i="46" s="1"/>
  <c r="M342" i="46"/>
  <c r="L342" i="46"/>
  <c r="M341" i="46"/>
  <c r="L341" i="46"/>
  <c r="N341" i="46" s="1"/>
  <c r="M340" i="46"/>
  <c r="L340" i="46"/>
  <c r="M339" i="46"/>
  <c r="L339" i="46"/>
  <c r="M338" i="46"/>
  <c r="L338" i="46"/>
  <c r="M337" i="46"/>
  <c r="L337" i="46"/>
  <c r="N337" i="46" s="1"/>
  <c r="M336" i="46"/>
  <c r="L336" i="46"/>
  <c r="M335" i="46"/>
  <c r="L335" i="46"/>
  <c r="N335" i="46" s="1"/>
  <c r="M334" i="46"/>
  <c r="L334" i="46"/>
  <c r="M333" i="46"/>
  <c r="L333" i="46"/>
  <c r="N333" i="46" s="1"/>
  <c r="M332" i="46"/>
  <c r="N332" i="46" s="1"/>
  <c r="L332" i="46"/>
  <c r="M331" i="46"/>
  <c r="L331" i="46"/>
  <c r="M330" i="46"/>
  <c r="L330" i="46"/>
  <c r="M329" i="46"/>
  <c r="L329" i="46"/>
  <c r="M328" i="46"/>
  <c r="L328" i="46"/>
  <c r="M327" i="46"/>
  <c r="L327" i="46"/>
  <c r="N327" i="46" s="1"/>
  <c r="M326" i="46"/>
  <c r="L326" i="46"/>
  <c r="N326" i="46" s="1"/>
  <c r="M325" i="46"/>
  <c r="N325" i="46" s="1"/>
  <c r="L325" i="46"/>
  <c r="M324" i="46"/>
  <c r="L324" i="46"/>
  <c r="M323" i="46"/>
  <c r="L323" i="46"/>
  <c r="M322" i="46"/>
  <c r="L322" i="46"/>
  <c r="N322" i="46" s="1"/>
  <c r="M321" i="46"/>
  <c r="L321" i="46"/>
  <c r="N321" i="46" s="1"/>
  <c r="M320" i="46"/>
  <c r="N320" i="46" s="1"/>
  <c r="L320" i="46"/>
  <c r="M319" i="46"/>
  <c r="L319" i="46"/>
  <c r="N319" i="46" s="1"/>
  <c r="M318" i="46"/>
  <c r="L318" i="46"/>
  <c r="M317" i="46"/>
  <c r="L317" i="46"/>
  <c r="M316" i="46"/>
  <c r="L316" i="46"/>
  <c r="M315" i="46"/>
  <c r="L315" i="46"/>
  <c r="M314" i="46"/>
  <c r="L314" i="46"/>
  <c r="M313" i="46"/>
  <c r="L313" i="46"/>
  <c r="N313" i="46" s="1"/>
  <c r="M312" i="46"/>
  <c r="N312" i="46" s="1"/>
  <c r="L312" i="46"/>
  <c r="M311" i="46"/>
  <c r="L311" i="46"/>
  <c r="N311" i="46" s="1"/>
  <c r="M310" i="46"/>
  <c r="L310" i="46"/>
  <c r="M309" i="46"/>
  <c r="L309" i="46"/>
  <c r="N309" i="46" s="1"/>
  <c r="M308" i="46"/>
  <c r="N308" i="46" s="1"/>
  <c r="L308" i="46"/>
  <c r="M307" i="46"/>
  <c r="L307" i="46"/>
  <c r="M306" i="46"/>
  <c r="L306" i="46"/>
  <c r="M305" i="46"/>
  <c r="L305" i="46"/>
  <c r="M304" i="46"/>
  <c r="L304" i="46"/>
  <c r="M303" i="46"/>
  <c r="L303" i="46"/>
  <c r="N303" i="46" s="1"/>
  <c r="M302" i="46"/>
  <c r="L302" i="46"/>
  <c r="N302" i="46" s="1"/>
  <c r="M301" i="46"/>
  <c r="N301" i="46" s="1"/>
  <c r="L301" i="46"/>
  <c r="M300" i="46"/>
  <c r="L300" i="46"/>
  <c r="M299" i="46"/>
  <c r="L299" i="46"/>
  <c r="M298" i="46"/>
  <c r="L298" i="46"/>
  <c r="N298" i="46" s="1"/>
  <c r="M297" i="46"/>
  <c r="L297" i="46"/>
  <c r="N297" i="46" s="1"/>
  <c r="M296" i="46"/>
  <c r="L296" i="46"/>
  <c r="N296" i="46" s="1"/>
  <c r="M295" i="46"/>
  <c r="L295" i="46"/>
  <c r="N295" i="46" s="1"/>
  <c r="M294" i="46"/>
  <c r="L294" i="46"/>
  <c r="M293" i="46"/>
  <c r="L293" i="46"/>
  <c r="M292" i="46"/>
  <c r="L292" i="46"/>
  <c r="M291" i="46"/>
  <c r="L291" i="46"/>
  <c r="M290" i="46"/>
  <c r="L290" i="46"/>
  <c r="M289" i="46"/>
  <c r="L289" i="46"/>
  <c r="N289" i="46" s="1"/>
  <c r="M288" i="46"/>
  <c r="N288" i="46" s="1"/>
  <c r="L288" i="46"/>
  <c r="M287" i="46"/>
  <c r="L287" i="46"/>
  <c r="N287" i="46" s="1"/>
  <c r="M286" i="46"/>
  <c r="L286" i="46"/>
  <c r="M285" i="46"/>
  <c r="L285" i="46"/>
  <c r="N285" i="46" s="1"/>
  <c r="M284" i="46"/>
  <c r="N284" i="46" s="1"/>
  <c r="L284" i="46"/>
  <c r="M283" i="46"/>
  <c r="L283" i="46"/>
  <c r="M282" i="46"/>
  <c r="L282" i="46"/>
  <c r="M281" i="46"/>
  <c r="L281" i="46"/>
  <c r="M280" i="46"/>
  <c r="L280" i="46"/>
  <c r="M279" i="46"/>
  <c r="L279" i="46"/>
  <c r="N279" i="46" s="1"/>
  <c r="M278" i="46"/>
  <c r="L278" i="46"/>
  <c r="N278" i="46" s="1"/>
  <c r="M277" i="46"/>
  <c r="L277" i="46"/>
  <c r="N277" i="46" s="1"/>
  <c r="M276" i="46"/>
  <c r="L276" i="46"/>
  <c r="M275" i="46"/>
  <c r="L275" i="46"/>
  <c r="M274" i="46"/>
  <c r="L274" i="46"/>
  <c r="N274" i="46" s="1"/>
  <c r="M273" i="46"/>
  <c r="L273" i="46"/>
  <c r="N273" i="46" s="1"/>
  <c r="M272" i="46"/>
  <c r="N272" i="46" s="1"/>
  <c r="L272" i="46"/>
  <c r="M271" i="46"/>
  <c r="L271" i="46"/>
  <c r="N271" i="46" s="1"/>
  <c r="M270" i="46"/>
  <c r="L270" i="46"/>
  <c r="M269" i="46"/>
  <c r="L269" i="46"/>
  <c r="N269" i="46" s="1"/>
  <c r="M268" i="46"/>
  <c r="L268" i="46"/>
  <c r="M267" i="46"/>
  <c r="N267" i="46" s="1"/>
  <c r="L267" i="46"/>
  <c r="M266" i="46"/>
  <c r="L266" i="46"/>
  <c r="N266" i="46" s="1"/>
  <c r="M265" i="46"/>
  <c r="N265" i="46" s="1"/>
  <c r="L265" i="46"/>
  <c r="M264" i="46"/>
  <c r="L264" i="46"/>
  <c r="N264" i="46" s="1"/>
  <c r="N263" i="46"/>
  <c r="M263" i="46"/>
  <c r="L263" i="46"/>
  <c r="M262" i="46"/>
  <c r="L262" i="46"/>
  <c r="N262" i="46" s="1"/>
  <c r="M261" i="46"/>
  <c r="N261" i="46" s="1"/>
  <c r="L261" i="46"/>
  <c r="M260" i="46"/>
  <c r="L260" i="46"/>
  <c r="M259" i="46"/>
  <c r="L259" i="46"/>
  <c r="N258" i="46"/>
  <c r="M258" i="46"/>
  <c r="L258" i="46"/>
  <c r="M257" i="46"/>
  <c r="L257" i="46"/>
  <c r="N257" i="46" s="1"/>
  <c r="M256" i="46"/>
  <c r="N256" i="46" s="1"/>
  <c r="L256" i="46"/>
  <c r="M255" i="46"/>
  <c r="L255" i="46"/>
  <c r="N255" i="46" s="1"/>
  <c r="M254" i="46"/>
  <c r="L254" i="46"/>
  <c r="M253" i="46"/>
  <c r="N253" i="46" s="1"/>
  <c r="L253" i="46"/>
  <c r="M252" i="46"/>
  <c r="L252" i="46"/>
  <c r="M251" i="46"/>
  <c r="N251" i="46" s="1"/>
  <c r="L251" i="46"/>
  <c r="M250" i="46"/>
  <c r="L250" i="46"/>
  <c r="N250" i="46" s="1"/>
  <c r="M249" i="46"/>
  <c r="L249" i="46"/>
  <c r="M248" i="46"/>
  <c r="N248" i="46" s="1"/>
  <c r="L248" i="46"/>
  <c r="M247" i="46"/>
  <c r="L247" i="46"/>
  <c r="N247" i="46" s="1"/>
  <c r="M246" i="46"/>
  <c r="L246" i="46"/>
  <c r="M245" i="46"/>
  <c r="L245" i="46"/>
  <c r="N245" i="46" s="1"/>
  <c r="M244" i="46"/>
  <c r="N244" i="46" s="1"/>
  <c r="L244" i="46"/>
  <c r="M243" i="46"/>
  <c r="L243" i="46"/>
  <c r="M242" i="46"/>
  <c r="L242" i="46"/>
  <c r="M241" i="46"/>
  <c r="L241" i="46"/>
  <c r="N241" i="46" s="1"/>
  <c r="M240" i="46"/>
  <c r="L240" i="46"/>
  <c r="M239" i="46"/>
  <c r="L239" i="46"/>
  <c r="N239" i="46" s="1"/>
  <c r="M238" i="46"/>
  <c r="L238" i="46"/>
  <c r="N238" i="46" s="1"/>
  <c r="M237" i="46"/>
  <c r="L237" i="46"/>
  <c r="M236" i="46"/>
  <c r="L236" i="46"/>
  <c r="M235" i="46"/>
  <c r="L235" i="46"/>
  <c r="N235" i="46" s="1"/>
  <c r="M234" i="46"/>
  <c r="L234" i="46"/>
  <c r="N234" i="46" s="1"/>
  <c r="M233" i="46"/>
  <c r="L233" i="46"/>
  <c r="M232" i="46"/>
  <c r="L232" i="46"/>
  <c r="M231" i="46"/>
  <c r="L231" i="46"/>
  <c r="M230" i="46"/>
  <c r="L230" i="46"/>
  <c r="M229" i="46"/>
  <c r="L229" i="46"/>
  <c r="M228" i="46"/>
  <c r="L228" i="46"/>
  <c r="M227" i="46"/>
  <c r="N227" i="46" s="1"/>
  <c r="L227" i="46"/>
  <c r="M226" i="46"/>
  <c r="L226" i="46"/>
  <c r="N226" i="46" s="1"/>
  <c r="N225" i="46"/>
  <c r="M225" i="46"/>
  <c r="L225" i="46"/>
  <c r="M224" i="46"/>
  <c r="L224" i="46"/>
  <c r="N224" i="46" s="1"/>
  <c r="M223" i="46"/>
  <c r="L223" i="46"/>
  <c r="N223" i="46" s="1"/>
  <c r="M222" i="46"/>
  <c r="L222" i="46"/>
  <c r="M221" i="46"/>
  <c r="L221" i="46"/>
  <c r="N221" i="46" s="1"/>
  <c r="M220" i="46"/>
  <c r="N220" i="46" s="1"/>
  <c r="L220" i="46"/>
  <c r="M219" i="46"/>
  <c r="L219" i="46"/>
  <c r="N219" i="46" s="1"/>
  <c r="M218" i="46"/>
  <c r="N218" i="46" s="1"/>
  <c r="L218" i="46"/>
  <c r="M217" i="46"/>
  <c r="L217" i="46"/>
  <c r="N217" i="46" s="1"/>
  <c r="N216" i="46"/>
  <c r="M216" i="46"/>
  <c r="L216" i="46"/>
  <c r="M215" i="46"/>
  <c r="L215" i="46"/>
  <c r="N215" i="46" s="1"/>
  <c r="M214" i="46"/>
  <c r="L214" i="46"/>
  <c r="N214" i="46" s="1"/>
  <c r="M213" i="46"/>
  <c r="N213" i="46" s="1"/>
  <c r="L213" i="46"/>
  <c r="M212" i="46"/>
  <c r="L212" i="46"/>
  <c r="M211" i="46"/>
  <c r="N211" i="46" s="1"/>
  <c r="L211" i="46"/>
  <c r="M210" i="46"/>
  <c r="L210" i="46"/>
  <c r="N210" i="46" s="1"/>
  <c r="M209" i="46"/>
  <c r="L209" i="46"/>
  <c r="M208" i="46"/>
  <c r="L208" i="46"/>
  <c r="N208" i="46" s="1"/>
  <c r="M207" i="46"/>
  <c r="L207" i="46"/>
  <c r="N207" i="46" s="1"/>
  <c r="M206" i="46"/>
  <c r="L206" i="46"/>
  <c r="M205" i="46"/>
  <c r="L205" i="46"/>
  <c r="N205" i="46" s="1"/>
  <c r="M204" i="46"/>
  <c r="L204" i="46"/>
  <c r="M203" i="46"/>
  <c r="L203" i="46"/>
  <c r="N203" i="46" s="1"/>
  <c r="M202" i="46"/>
  <c r="L202" i="46"/>
  <c r="N202" i="46" s="1"/>
  <c r="M201" i="46"/>
  <c r="L201" i="46"/>
  <c r="N201" i="46" s="1"/>
  <c r="M200" i="46"/>
  <c r="L200" i="46"/>
  <c r="N200" i="46" s="1"/>
  <c r="M199" i="46"/>
  <c r="L199" i="46"/>
  <c r="M198" i="46"/>
  <c r="L198" i="46"/>
  <c r="M197" i="46"/>
  <c r="L197" i="46"/>
  <c r="M196" i="46"/>
  <c r="L196" i="46"/>
  <c r="M195" i="46"/>
  <c r="L195" i="46"/>
  <c r="M194" i="46"/>
  <c r="L194" i="46"/>
  <c r="N194" i="46" s="1"/>
  <c r="M193" i="46"/>
  <c r="L193" i="46"/>
  <c r="N193" i="46" s="1"/>
  <c r="M192" i="46"/>
  <c r="L192" i="46"/>
  <c r="N192" i="46" s="1"/>
  <c r="M191" i="46"/>
  <c r="L191" i="46"/>
  <c r="M190" i="46"/>
  <c r="L190" i="46"/>
  <c r="M189" i="46"/>
  <c r="L189" i="46"/>
  <c r="M188" i="46"/>
  <c r="L188" i="46"/>
  <c r="M187" i="46"/>
  <c r="L187" i="46"/>
  <c r="N186" i="46"/>
  <c r="M186" i="46"/>
  <c r="L186" i="46"/>
  <c r="M185" i="46"/>
  <c r="L185" i="46"/>
  <c r="N185" i="46" s="1"/>
  <c r="M184" i="46"/>
  <c r="L184" i="46"/>
  <c r="N184" i="46" s="1"/>
  <c r="M183" i="46"/>
  <c r="L183" i="46"/>
  <c r="M182" i="46"/>
  <c r="L182" i="46"/>
  <c r="N182" i="46" s="1"/>
  <c r="M181" i="46"/>
  <c r="N181" i="46" s="1"/>
  <c r="L181" i="46"/>
  <c r="M180" i="46"/>
  <c r="L180" i="46"/>
  <c r="N179" i="46"/>
  <c r="M179" i="46"/>
  <c r="L179" i="46"/>
  <c r="M178" i="46"/>
  <c r="L178" i="46"/>
  <c r="M177" i="46"/>
  <c r="L177" i="46"/>
  <c r="N177" i="46" s="1"/>
  <c r="M176" i="46"/>
  <c r="L176" i="46"/>
  <c r="M175" i="46"/>
  <c r="L175" i="46"/>
  <c r="N175" i="46" s="1"/>
  <c r="M174" i="46"/>
  <c r="L174" i="46"/>
  <c r="M173" i="46"/>
  <c r="L173" i="46"/>
  <c r="N173" i="46" s="1"/>
  <c r="M172" i="46"/>
  <c r="L172" i="46"/>
  <c r="M171" i="46"/>
  <c r="L171" i="46"/>
  <c r="N171" i="46" s="1"/>
  <c r="N170" i="46"/>
  <c r="M170" i="46"/>
  <c r="L170" i="46"/>
  <c r="M169" i="46"/>
  <c r="L169" i="46"/>
  <c r="M168" i="46"/>
  <c r="L168" i="46"/>
  <c r="M167" i="46"/>
  <c r="N167" i="46" s="1"/>
  <c r="L167" i="46"/>
  <c r="M166" i="46"/>
  <c r="L166" i="46"/>
  <c r="N165" i="46"/>
  <c r="M165" i="46"/>
  <c r="L165" i="46"/>
  <c r="M164" i="46"/>
  <c r="L164" i="46"/>
  <c r="M163" i="46"/>
  <c r="L163" i="46"/>
  <c r="M162" i="46"/>
  <c r="L162" i="46"/>
  <c r="N162" i="46" s="1"/>
  <c r="M161" i="46"/>
  <c r="L161" i="46"/>
  <c r="N161" i="46" s="1"/>
  <c r="M160" i="46"/>
  <c r="L160" i="46"/>
  <c r="N160" i="46" s="1"/>
  <c r="M159" i="46"/>
  <c r="L159" i="46"/>
  <c r="N159" i="46" s="1"/>
  <c r="M158" i="46"/>
  <c r="L158" i="46"/>
  <c r="N158" i="46" s="1"/>
  <c r="M157" i="46"/>
  <c r="L157" i="46"/>
  <c r="N157" i="46" s="1"/>
  <c r="M156" i="46"/>
  <c r="L156" i="46"/>
  <c r="M155" i="46"/>
  <c r="L155" i="46"/>
  <c r="N155" i="46" s="1"/>
  <c r="M154" i="46"/>
  <c r="L154" i="46"/>
  <c r="M153" i="46"/>
  <c r="L153" i="46"/>
  <c r="M152" i="46"/>
  <c r="L152" i="46"/>
  <c r="N152" i="46" s="1"/>
  <c r="M151" i="46"/>
  <c r="L151" i="46"/>
  <c r="M150" i="46"/>
  <c r="L150" i="46"/>
  <c r="N150" i="46" s="1"/>
  <c r="M149" i="46"/>
  <c r="L149" i="46"/>
  <c r="M148" i="46"/>
  <c r="L148" i="46"/>
  <c r="M147" i="46"/>
  <c r="L147" i="46"/>
  <c r="N147" i="46" s="1"/>
  <c r="M146" i="46"/>
  <c r="L146" i="46"/>
  <c r="N146" i="46" s="1"/>
  <c r="M145" i="46"/>
  <c r="L145" i="46"/>
  <c r="M144" i="46"/>
  <c r="L144" i="46"/>
  <c r="N144" i="46" s="1"/>
  <c r="M143" i="46"/>
  <c r="L143" i="46"/>
  <c r="N143" i="46" s="1"/>
  <c r="M142" i="46"/>
  <c r="L142" i="46"/>
  <c r="M141" i="46"/>
  <c r="L141" i="46"/>
  <c r="N141" i="46" s="1"/>
  <c r="M140" i="46"/>
  <c r="L140" i="46"/>
  <c r="M139" i="46"/>
  <c r="L139" i="46"/>
  <c r="M138" i="46"/>
  <c r="L138" i="46"/>
  <c r="N138" i="46" s="1"/>
  <c r="M137" i="46"/>
  <c r="L137" i="46"/>
  <c r="N137" i="46" s="1"/>
  <c r="M136" i="46"/>
  <c r="L136" i="46"/>
  <c r="M135" i="46"/>
  <c r="L135" i="46"/>
  <c r="M134" i="46"/>
  <c r="L134" i="46"/>
  <c r="M133" i="46"/>
  <c r="L133" i="46"/>
  <c r="N133" i="46" s="1"/>
  <c r="M132" i="46"/>
  <c r="L132" i="46"/>
  <c r="M131" i="46"/>
  <c r="L131" i="46"/>
  <c r="M130" i="46"/>
  <c r="L130" i="46"/>
  <c r="M129" i="46"/>
  <c r="L129" i="46"/>
  <c r="N129" i="46" s="1"/>
  <c r="M128" i="46"/>
  <c r="L128" i="46"/>
  <c r="N128" i="46" s="1"/>
  <c r="M127" i="46"/>
  <c r="L127" i="46"/>
  <c r="M126" i="46"/>
  <c r="L126" i="46"/>
  <c r="N125" i="46"/>
  <c r="M125" i="46"/>
  <c r="L125" i="46"/>
  <c r="M124" i="46"/>
  <c r="N124" i="46" s="1"/>
  <c r="L124" i="46"/>
  <c r="M123" i="46"/>
  <c r="L123" i="46"/>
  <c r="N123" i="46" s="1"/>
  <c r="M122" i="46"/>
  <c r="L122" i="46"/>
  <c r="M121" i="46"/>
  <c r="L121" i="46"/>
  <c r="N121" i="46" s="1"/>
  <c r="M120" i="46"/>
  <c r="L120" i="46"/>
  <c r="M119" i="46"/>
  <c r="L119" i="46"/>
  <c r="M118" i="46"/>
  <c r="L118" i="46"/>
  <c r="M117" i="46"/>
  <c r="L117" i="46"/>
  <c r="N117" i="46" s="1"/>
  <c r="M116" i="46"/>
  <c r="L116" i="46"/>
  <c r="M115" i="46"/>
  <c r="L115" i="46"/>
  <c r="N115" i="46" s="1"/>
  <c r="M114" i="46"/>
  <c r="L114" i="46"/>
  <c r="N114" i="46" s="1"/>
  <c r="M113" i="46"/>
  <c r="L113" i="46"/>
  <c r="N113" i="46" s="1"/>
  <c r="M112" i="46"/>
  <c r="L112" i="46"/>
  <c r="M111" i="46"/>
  <c r="N111" i="46" s="1"/>
  <c r="L111" i="46"/>
  <c r="M110" i="46"/>
  <c r="L110" i="46"/>
  <c r="N109" i="46"/>
  <c r="M109" i="46"/>
  <c r="L109" i="46"/>
  <c r="M108" i="46"/>
  <c r="L108" i="46"/>
  <c r="M107" i="46"/>
  <c r="L107" i="46"/>
  <c r="N107" i="46" s="1"/>
  <c r="M106" i="46"/>
  <c r="L106" i="46"/>
  <c r="M105" i="46"/>
  <c r="L105" i="46"/>
  <c r="N105" i="46" s="1"/>
  <c r="M104" i="46"/>
  <c r="L104" i="46"/>
  <c r="N104" i="46" s="1"/>
  <c r="M103" i="46"/>
  <c r="N103" i="46" s="1"/>
  <c r="L103" i="46"/>
  <c r="M102" i="46"/>
  <c r="L102" i="46"/>
  <c r="N101" i="46"/>
  <c r="M101" i="46"/>
  <c r="L101" i="46"/>
  <c r="M100" i="46"/>
  <c r="L100" i="46"/>
  <c r="M99" i="46"/>
  <c r="L99" i="46"/>
  <c r="N98" i="46"/>
  <c r="M98" i="46"/>
  <c r="L98" i="46"/>
  <c r="M97" i="46"/>
  <c r="L97" i="46"/>
  <c r="N97" i="46" s="1"/>
  <c r="M96" i="46"/>
  <c r="L96" i="46"/>
  <c r="N96" i="46" s="1"/>
  <c r="M95" i="46"/>
  <c r="L95" i="46"/>
  <c r="N95" i="46" s="1"/>
  <c r="M94" i="46"/>
  <c r="L94" i="46"/>
  <c r="N94" i="46" s="1"/>
  <c r="M93" i="46"/>
  <c r="L93" i="46"/>
  <c r="M92" i="46"/>
  <c r="L92" i="46"/>
  <c r="M91" i="46"/>
  <c r="L91" i="46"/>
  <c r="N91" i="46" s="1"/>
  <c r="M90" i="46"/>
  <c r="L90" i="46"/>
  <c r="N90" i="46" s="1"/>
  <c r="M89" i="46"/>
  <c r="L89" i="46"/>
  <c r="M88" i="46"/>
  <c r="L88" i="46"/>
  <c r="N88" i="46" s="1"/>
  <c r="M87" i="46"/>
  <c r="L87" i="46"/>
  <c r="M86" i="46"/>
  <c r="L86" i="46"/>
  <c r="M85" i="46"/>
  <c r="L85" i="46"/>
  <c r="N85" i="46" s="1"/>
  <c r="M84" i="46"/>
  <c r="L84" i="46"/>
  <c r="M83" i="46"/>
  <c r="L83" i="46"/>
  <c r="N83" i="46" s="1"/>
  <c r="N82" i="46"/>
  <c r="M82" i="46"/>
  <c r="L82" i="46"/>
  <c r="M81" i="46"/>
  <c r="L81" i="46"/>
  <c r="M80" i="46"/>
  <c r="L80" i="46"/>
  <c r="N80" i="46" s="1"/>
  <c r="M79" i="46"/>
  <c r="L79" i="46"/>
  <c r="M78" i="46"/>
  <c r="L78" i="46"/>
  <c r="N78" i="46" s="1"/>
  <c r="M77" i="46"/>
  <c r="N77" i="46" s="1"/>
  <c r="L77" i="46"/>
  <c r="M76" i="46"/>
  <c r="L76" i="46"/>
  <c r="M75" i="46"/>
  <c r="N75" i="46" s="1"/>
  <c r="L75" i="46"/>
  <c r="M74" i="46"/>
  <c r="L74" i="46"/>
  <c r="N74" i="46" s="1"/>
  <c r="M73" i="46"/>
  <c r="L73" i="46"/>
  <c r="N73" i="46" s="1"/>
  <c r="M72" i="46"/>
  <c r="L72" i="46"/>
  <c r="M71" i="46"/>
  <c r="L71" i="46"/>
  <c r="M70" i="46"/>
  <c r="L70" i="46"/>
  <c r="M69" i="46"/>
  <c r="L69" i="46"/>
  <c r="M68" i="46"/>
  <c r="N68" i="46" s="1"/>
  <c r="L68" i="46"/>
  <c r="M67" i="46"/>
  <c r="L67" i="46"/>
  <c r="M66" i="46"/>
  <c r="N66" i="46" s="1"/>
  <c r="L66" i="46"/>
  <c r="M65" i="46"/>
  <c r="L65" i="46"/>
  <c r="N65" i="46" s="1"/>
  <c r="M64" i="46"/>
  <c r="L64" i="46"/>
  <c r="N64" i="46" s="1"/>
  <c r="M63" i="46"/>
  <c r="L63" i="46"/>
  <c r="M62" i="46"/>
  <c r="L62" i="46"/>
  <c r="N62" i="46" s="1"/>
  <c r="M61" i="46"/>
  <c r="L61" i="46"/>
  <c r="N61" i="46" s="1"/>
  <c r="M60" i="46"/>
  <c r="L60" i="46"/>
  <c r="M59" i="46"/>
  <c r="L59" i="46"/>
  <c r="N59" i="46" s="1"/>
  <c r="M58" i="46"/>
  <c r="L58" i="46"/>
  <c r="M57" i="46"/>
  <c r="L57" i="46"/>
  <c r="N57" i="46" s="1"/>
  <c r="M56" i="46"/>
  <c r="N56" i="46" s="1"/>
  <c r="L56" i="46"/>
  <c r="M55" i="46"/>
  <c r="L55" i="46"/>
  <c r="N55" i="46" s="1"/>
  <c r="M54" i="46"/>
  <c r="L54" i="46"/>
  <c r="M53" i="46"/>
  <c r="L53" i="46"/>
  <c r="N53" i="46" s="1"/>
  <c r="M52" i="46"/>
  <c r="L52" i="46"/>
  <c r="M51" i="46"/>
  <c r="L51" i="46"/>
  <c r="M50" i="46"/>
  <c r="L50" i="46"/>
  <c r="M49" i="46"/>
  <c r="L49" i="46"/>
  <c r="M48" i="46"/>
  <c r="L48" i="46"/>
  <c r="M47" i="46"/>
  <c r="L47" i="46"/>
  <c r="N47" i="46" s="1"/>
  <c r="M46" i="46"/>
  <c r="L46" i="46"/>
  <c r="N46" i="46" s="1"/>
  <c r="N45" i="46"/>
  <c r="M45" i="46"/>
  <c r="L45" i="46"/>
  <c r="M44" i="46"/>
  <c r="L44" i="46"/>
  <c r="M43" i="46"/>
  <c r="L43" i="46"/>
  <c r="M42" i="46"/>
  <c r="L42" i="46"/>
  <c r="M41" i="46"/>
  <c r="L41" i="46"/>
  <c r="M40" i="46"/>
  <c r="L40" i="46"/>
  <c r="N40" i="46" s="1"/>
  <c r="M39" i="46"/>
  <c r="L39" i="46"/>
  <c r="M38" i="46"/>
  <c r="L38" i="46"/>
  <c r="M37" i="46"/>
  <c r="L37" i="46"/>
  <c r="N37" i="46" s="1"/>
  <c r="M36" i="46"/>
  <c r="N36" i="46" s="1"/>
  <c r="L36" i="46"/>
  <c r="M35" i="46"/>
  <c r="L35" i="46"/>
  <c r="M34" i="46"/>
  <c r="L34" i="46"/>
  <c r="N34" i="46" s="1"/>
  <c r="M33" i="46"/>
  <c r="L33" i="46"/>
  <c r="M32" i="46"/>
  <c r="L32" i="46"/>
  <c r="M31" i="46"/>
  <c r="L31" i="46"/>
  <c r="M30" i="46"/>
  <c r="L30" i="46"/>
  <c r="N30" i="46" s="1"/>
  <c r="M29" i="46"/>
  <c r="N29" i="46" s="1"/>
  <c r="L29" i="46"/>
  <c r="M28" i="46"/>
  <c r="L28" i="46"/>
  <c r="M27" i="46"/>
  <c r="L27" i="46"/>
  <c r="N27" i="46" s="1"/>
  <c r="N26" i="46"/>
  <c r="M26" i="46"/>
  <c r="L26" i="46"/>
  <c r="M25" i="46"/>
  <c r="L25" i="46"/>
  <c r="N25" i="46" s="1"/>
  <c r="M24" i="46"/>
  <c r="L24" i="46"/>
  <c r="N24" i="46" s="1"/>
  <c r="M23" i="46"/>
  <c r="L23" i="46"/>
  <c r="N23" i="46" s="1"/>
  <c r="M22" i="46"/>
  <c r="L22" i="46"/>
  <c r="N22" i="46" s="1"/>
  <c r="M21" i="46"/>
  <c r="N21" i="46" s="1"/>
  <c r="L21" i="46"/>
  <c r="M20" i="46"/>
  <c r="L20" i="46"/>
  <c r="N19" i="46"/>
  <c r="M19" i="46"/>
  <c r="L19" i="46"/>
  <c r="M18" i="46"/>
  <c r="L18" i="46"/>
  <c r="M17" i="46"/>
  <c r="L17" i="46"/>
  <c r="M16" i="46"/>
  <c r="L16" i="46"/>
  <c r="N16" i="46" s="1"/>
  <c r="M15" i="46"/>
  <c r="L15" i="46"/>
  <c r="M14" i="46"/>
  <c r="L14" i="46"/>
  <c r="M13" i="46"/>
  <c r="L13" i="46"/>
  <c r="M12" i="46"/>
  <c r="L12" i="46"/>
  <c r="M11" i="46"/>
  <c r="L11" i="46"/>
  <c r="M10" i="46"/>
  <c r="N10" i="46" s="1"/>
  <c r="L10" i="46"/>
  <c r="M9" i="46"/>
  <c r="L9" i="46"/>
  <c r="N9" i="46" s="1"/>
  <c r="M8" i="46"/>
  <c r="L8" i="46"/>
  <c r="N8" i="46" s="1"/>
  <c r="M7" i="46"/>
  <c r="L7" i="46"/>
  <c r="N7" i="46" s="1"/>
  <c r="M6" i="46"/>
  <c r="L6" i="46"/>
  <c r="M334" i="45"/>
  <c r="N334" i="45" s="1"/>
  <c r="L334" i="45"/>
  <c r="M333" i="45"/>
  <c r="L333" i="45"/>
  <c r="M332" i="45"/>
  <c r="N332" i="45" s="1"/>
  <c r="L332" i="45"/>
  <c r="M331" i="45"/>
  <c r="L331" i="45"/>
  <c r="N331" i="45" s="1"/>
  <c r="N330" i="45"/>
  <c r="M330" i="45"/>
  <c r="L330" i="45"/>
  <c r="M329" i="45"/>
  <c r="L329" i="45"/>
  <c r="M328" i="45"/>
  <c r="L328" i="45"/>
  <c r="M327" i="45"/>
  <c r="L327" i="45"/>
  <c r="M326" i="45"/>
  <c r="L326" i="45"/>
  <c r="N326" i="45" s="1"/>
  <c r="M325" i="45"/>
  <c r="L325" i="45"/>
  <c r="M324" i="45"/>
  <c r="L324" i="45"/>
  <c r="N324" i="45" s="1"/>
  <c r="M323" i="45"/>
  <c r="N323" i="45" s="1"/>
  <c r="L323" i="45"/>
  <c r="M322" i="45"/>
  <c r="L322" i="45"/>
  <c r="N322" i="45" s="1"/>
  <c r="M321" i="45"/>
  <c r="N321" i="45" s="1"/>
  <c r="L321" i="45"/>
  <c r="M320" i="45"/>
  <c r="L320" i="45"/>
  <c r="M319" i="45"/>
  <c r="L319" i="45"/>
  <c r="M318" i="45"/>
  <c r="L318" i="45"/>
  <c r="N318" i="45" s="1"/>
  <c r="M317" i="45"/>
  <c r="L317" i="45"/>
  <c r="M316" i="45"/>
  <c r="L316" i="45"/>
  <c r="M315" i="45"/>
  <c r="L315" i="45"/>
  <c r="N315" i="45" s="1"/>
  <c r="M314" i="45"/>
  <c r="L314" i="45"/>
  <c r="M313" i="45"/>
  <c r="L313" i="45"/>
  <c r="N313" i="45" s="1"/>
  <c r="M312" i="45"/>
  <c r="L312" i="45"/>
  <c r="N312" i="45" s="1"/>
  <c r="M311" i="45"/>
  <c r="L311" i="45"/>
  <c r="M310" i="45"/>
  <c r="L310" i="45"/>
  <c r="N310" i="45" s="1"/>
  <c r="M309" i="45"/>
  <c r="L309" i="45"/>
  <c r="M308" i="45"/>
  <c r="L308" i="45"/>
  <c r="N308" i="45" s="1"/>
  <c r="M307" i="45"/>
  <c r="L307" i="45"/>
  <c r="N307" i="45" s="1"/>
  <c r="M306" i="45"/>
  <c r="L306" i="45"/>
  <c r="N306" i="45" s="1"/>
  <c r="M305" i="45"/>
  <c r="L305" i="45"/>
  <c r="N305" i="45" s="1"/>
  <c r="M304" i="45"/>
  <c r="L304" i="45"/>
  <c r="M303" i="45"/>
  <c r="L303" i="45"/>
  <c r="N303" i="45" s="1"/>
  <c r="M302" i="45"/>
  <c r="L302" i="45"/>
  <c r="N302" i="45" s="1"/>
  <c r="M301" i="45"/>
  <c r="L301" i="45"/>
  <c r="M300" i="45"/>
  <c r="L300" i="45"/>
  <c r="M299" i="45"/>
  <c r="L299" i="45"/>
  <c r="M298" i="45"/>
  <c r="L298" i="45"/>
  <c r="M297" i="45"/>
  <c r="L297" i="45"/>
  <c r="N297" i="45" s="1"/>
  <c r="M296" i="45"/>
  <c r="L296" i="45"/>
  <c r="M295" i="45"/>
  <c r="L295" i="45"/>
  <c r="M294" i="45"/>
  <c r="L294" i="45"/>
  <c r="M293" i="45"/>
  <c r="L293" i="45"/>
  <c r="M292" i="45"/>
  <c r="L292" i="45"/>
  <c r="N292" i="45" s="1"/>
  <c r="M291" i="45"/>
  <c r="L291" i="45"/>
  <c r="M290" i="45"/>
  <c r="L290" i="45"/>
  <c r="N290" i="45" s="1"/>
  <c r="M289" i="45"/>
  <c r="N289" i="45" s="1"/>
  <c r="L289" i="45"/>
  <c r="M288" i="45"/>
  <c r="L288" i="45"/>
  <c r="M287" i="45"/>
  <c r="L287" i="45"/>
  <c r="M286" i="45"/>
  <c r="L286" i="45"/>
  <c r="N286" i="45" s="1"/>
  <c r="M285" i="45"/>
  <c r="L285" i="45"/>
  <c r="M284" i="45"/>
  <c r="L284" i="45"/>
  <c r="M283" i="45"/>
  <c r="L283" i="45"/>
  <c r="N283" i="45" s="1"/>
  <c r="M282" i="45"/>
  <c r="L282" i="45"/>
  <c r="M281" i="45"/>
  <c r="L281" i="45"/>
  <c r="M280" i="45"/>
  <c r="L280" i="45"/>
  <c r="N280" i="45" s="1"/>
  <c r="M279" i="45"/>
  <c r="L279" i="45"/>
  <c r="M278" i="45"/>
  <c r="L278" i="45"/>
  <c r="N278" i="45" s="1"/>
  <c r="M277" i="45"/>
  <c r="L277" i="45"/>
  <c r="M276" i="45"/>
  <c r="L276" i="45"/>
  <c r="M275" i="45"/>
  <c r="L275" i="45"/>
  <c r="N275" i="45" s="1"/>
  <c r="M274" i="45"/>
  <c r="L274" i="45"/>
  <c r="M273" i="45"/>
  <c r="L273" i="45"/>
  <c r="N273" i="45" s="1"/>
  <c r="M272" i="45"/>
  <c r="N272" i="45" s="1"/>
  <c r="L272" i="45"/>
  <c r="M271" i="45"/>
  <c r="L271" i="45"/>
  <c r="M270" i="45"/>
  <c r="L270" i="45"/>
  <c r="M269" i="45"/>
  <c r="L269" i="45"/>
  <c r="M268" i="45"/>
  <c r="L268" i="45"/>
  <c r="M267" i="45"/>
  <c r="L267" i="45"/>
  <c r="N267" i="45" s="1"/>
  <c r="M266" i="45"/>
  <c r="L266" i="45"/>
  <c r="M265" i="45"/>
  <c r="L265" i="45"/>
  <c r="M264" i="45"/>
  <c r="N264" i="45" s="1"/>
  <c r="L264" i="45"/>
  <c r="M263" i="45"/>
  <c r="L263" i="45"/>
  <c r="M262" i="45"/>
  <c r="L262" i="45"/>
  <c r="N262" i="45" s="1"/>
  <c r="M261" i="45"/>
  <c r="L261" i="45"/>
  <c r="M260" i="45"/>
  <c r="L260" i="45"/>
  <c r="M259" i="45"/>
  <c r="L259" i="45"/>
  <c r="M258" i="45"/>
  <c r="L258" i="45"/>
  <c r="N258" i="45" s="1"/>
  <c r="M257" i="45"/>
  <c r="L257" i="45"/>
  <c r="M256" i="45"/>
  <c r="L256" i="45"/>
  <c r="M255" i="45"/>
  <c r="L255" i="45"/>
  <c r="M254" i="45"/>
  <c r="L254" i="45"/>
  <c r="N254" i="45" s="1"/>
  <c r="M253" i="45"/>
  <c r="L253" i="45"/>
  <c r="M252" i="45"/>
  <c r="L252" i="45"/>
  <c r="M251" i="45"/>
  <c r="L251" i="45"/>
  <c r="M250" i="45"/>
  <c r="L250" i="45"/>
  <c r="M249" i="45"/>
  <c r="N249" i="45" s="1"/>
  <c r="L249" i="45"/>
  <c r="M248" i="45"/>
  <c r="L248" i="45"/>
  <c r="N248" i="45" s="1"/>
  <c r="M247" i="45"/>
  <c r="L247" i="45"/>
  <c r="M246" i="45"/>
  <c r="N246" i="45" s="1"/>
  <c r="L246" i="45"/>
  <c r="M245" i="45"/>
  <c r="L245" i="45"/>
  <c r="M244" i="45"/>
  <c r="L244" i="45"/>
  <c r="N244" i="45" s="1"/>
  <c r="M243" i="45"/>
  <c r="L243" i="45"/>
  <c r="N243" i="45" s="1"/>
  <c r="M242" i="45"/>
  <c r="L242" i="45"/>
  <c r="N242" i="45" s="1"/>
  <c r="M241" i="45"/>
  <c r="L241" i="45"/>
  <c r="M240" i="45"/>
  <c r="L240" i="45"/>
  <c r="N240" i="45" s="1"/>
  <c r="M239" i="45"/>
  <c r="L239" i="45"/>
  <c r="M238" i="45"/>
  <c r="L238" i="45"/>
  <c r="N238" i="45" s="1"/>
  <c r="M237" i="45"/>
  <c r="L237" i="45"/>
  <c r="M236" i="45"/>
  <c r="L236" i="45"/>
  <c r="M235" i="45"/>
  <c r="L235" i="45"/>
  <c r="N235" i="45" s="1"/>
  <c r="M234" i="45"/>
  <c r="L234" i="45"/>
  <c r="M233" i="45"/>
  <c r="L233" i="45"/>
  <c r="N233" i="45" s="1"/>
  <c r="M232" i="45"/>
  <c r="L232" i="45"/>
  <c r="M231" i="45"/>
  <c r="L231" i="45"/>
  <c r="N230" i="45"/>
  <c r="M230" i="45"/>
  <c r="L230" i="45"/>
  <c r="M229" i="45"/>
  <c r="L229" i="45"/>
  <c r="M228" i="45"/>
  <c r="L228" i="45"/>
  <c r="N228" i="45" s="1"/>
  <c r="M227" i="45"/>
  <c r="L227" i="45"/>
  <c r="M226" i="45"/>
  <c r="L226" i="45"/>
  <c r="N226" i="45" s="1"/>
  <c r="M225" i="45"/>
  <c r="L225" i="45"/>
  <c r="N225" i="45" s="1"/>
  <c r="M224" i="45"/>
  <c r="L224" i="45"/>
  <c r="M223" i="45"/>
  <c r="L223" i="45"/>
  <c r="M222" i="45"/>
  <c r="L222" i="45"/>
  <c r="N222" i="45" s="1"/>
  <c r="M221" i="45"/>
  <c r="L221" i="45"/>
  <c r="M220" i="45"/>
  <c r="L220" i="45"/>
  <c r="N220" i="45" s="1"/>
  <c r="M219" i="45"/>
  <c r="L219" i="45"/>
  <c r="M218" i="45"/>
  <c r="L218" i="45"/>
  <c r="N218" i="45" s="1"/>
  <c r="M217" i="45"/>
  <c r="L217" i="45"/>
  <c r="M216" i="45"/>
  <c r="L216" i="45"/>
  <c r="M215" i="45"/>
  <c r="L215" i="45"/>
  <c r="N215" i="45" s="1"/>
  <c r="M214" i="45"/>
  <c r="N214" i="45" s="1"/>
  <c r="L214" i="45"/>
  <c r="M213" i="45"/>
  <c r="L213" i="45"/>
  <c r="M212" i="45"/>
  <c r="N212" i="45" s="1"/>
  <c r="L212" i="45"/>
  <c r="M211" i="45"/>
  <c r="L211" i="45"/>
  <c r="M210" i="45"/>
  <c r="L210" i="45"/>
  <c r="M209" i="45"/>
  <c r="L209" i="45"/>
  <c r="N209" i="45" s="1"/>
  <c r="M208" i="45"/>
  <c r="L208" i="45"/>
  <c r="N208" i="45" s="1"/>
  <c r="M207" i="45"/>
  <c r="L207" i="45"/>
  <c r="M206" i="45"/>
  <c r="L206" i="45"/>
  <c r="M205" i="45"/>
  <c r="L205" i="45"/>
  <c r="M204" i="45"/>
  <c r="L204" i="45"/>
  <c r="N204" i="45" s="1"/>
  <c r="M203" i="45"/>
  <c r="L203" i="45"/>
  <c r="M202" i="45"/>
  <c r="L202" i="45"/>
  <c r="N202" i="45" s="1"/>
  <c r="M201" i="45"/>
  <c r="N201" i="45" s="1"/>
  <c r="L201" i="45"/>
  <c r="M200" i="45"/>
  <c r="L200" i="45"/>
  <c r="M199" i="45"/>
  <c r="L199" i="45"/>
  <c r="M198" i="45"/>
  <c r="L198" i="45"/>
  <c r="N198" i="45" s="1"/>
  <c r="M197" i="45"/>
  <c r="L197" i="45"/>
  <c r="M196" i="45"/>
  <c r="L196" i="45"/>
  <c r="M195" i="45"/>
  <c r="L195" i="45"/>
  <c r="M194" i="45"/>
  <c r="L194" i="45"/>
  <c r="N194" i="45" s="1"/>
  <c r="N193" i="45"/>
  <c r="M193" i="45"/>
  <c r="L193" i="45"/>
  <c r="M192" i="45"/>
  <c r="L192" i="45"/>
  <c r="N192" i="45" s="1"/>
  <c r="M191" i="45"/>
  <c r="L191" i="45"/>
  <c r="M190" i="45"/>
  <c r="L190" i="45"/>
  <c r="M189" i="45"/>
  <c r="L189" i="45"/>
  <c r="N189" i="45" s="1"/>
  <c r="N188" i="45"/>
  <c r="M188" i="45"/>
  <c r="L188" i="45"/>
  <c r="M187" i="45"/>
  <c r="L187" i="45"/>
  <c r="N187" i="45" s="1"/>
  <c r="M186" i="45"/>
  <c r="L186" i="45"/>
  <c r="N186" i="45" s="1"/>
  <c r="M185" i="45"/>
  <c r="L185" i="45"/>
  <c r="N185" i="45" s="1"/>
  <c r="M184" i="45"/>
  <c r="L184" i="45"/>
  <c r="S183" i="45"/>
  <c r="M183" i="45"/>
  <c r="L183" i="45"/>
  <c r="S182" i="45"/>
  <c r="M182" i="45"/>
  <c r="L182" i="45"/>
  <c r="S181" i="45"/>
  <c r="M181" i="45"/>
  <c r="L181" i="45"/>
  <c r="S180" i="45"/>
  <c r="M180" i="45"/>
  <c r="L180" i="45"/>
  <c r="S179" i="45"/>
  <c r="M179" i="45"/>
  <c r="L179" i="45"/>
  <c r="S178" i="45"/>
  <c r="M178" i="45"/>
  <c r="L178" i="45"/>
  <c r="S177" i="45"/>
  <c r="M177" i="45"/>
  <c r="L177" i="45"/>
  <c r="S176" i="45"/>
  <c r="M176" i="45"/>
  <c r="L176" i="45"/>
  <c r="S175" i="45"/>
  <c r="M175" i="45"/>
  <c r="L175" i="45"/>
  <c r="S174" i="45"/>
  <c r="M174" i="45"/>
  <c r="L174" i="45"/>
  <c r="S173" i="45"/>
  <c r="M173" i="45"/>
  <c r="L173" i="45"/>
  <c r="S172" i="45"/>
  <c r="M172" i="45"/>
  <c r="L172" i="45"/>
  <c r="S171" i="45"/>
  <c r="M171" i="45"/>
  <c r="L171" i="45"/>
  <c r="S170" i="45"/>
  <c r="M170" i="45"/>
  <c r="L170" i="45"/>
  <c r="M169" i="45"/>
  <c r="L169" i="45"/>
  <c r="M168" i="45"/>
  <c r="L168" i="45"/>
  <c r="N168" i="45" s="1"/>
  <c r="M167" i="45"/>
  <c r="L167" i="45"/>
  <c r="N167" i="45" s="1"/>
  <c r="M166" i="45"/>
  <c r="L166" i="45"/>
  <c r="M165" i="45"/>
  <c r="L165" i="45"/>
  <c r="M164" i="45"/>
  <c r="N164" i="45" s="1"/>
  <c r="L164" i="45"/>
  <c r="M163" i="45"/>
  <c r="L163" i="45"/>
  <c r="N163" i="45" s="1"/>
  <c r="M162" i="45"/>
  <c r="L162" i="45"/>
  <c r="M161" i="45"/>
  <c r="L161" i="45"/>
  <c r="N161" i="45" s="1"/>
  <c r="M160" i="45"/>
  <c r="L160" i="45"/>
  <c r="M159" i="45"/>
  <c r="L159" i="45"/>
  <c r="M158" i="45"/>
  <c r="L158" i="45"/>
  <c r="N158" i="45" s="1"/>
  <c r="S157" i="45"/>
  <c r="M157" i="45"/>
  <c r="L157" i="45"/>
  <c r="S156" i="45"/>
  <c r="M156" i="45"/>
  <c r="L156" i="45"/>
  <c r="S155" i="45"/>
  <c r="M155" i="45"/>
  <c r="L155" i="45"/>
  <c r="S154" i="45"/>
  <c r="M154" i="45"/>
  <c r="L154" i="45"/>
  <c r="N154" i="45" s="1"/>
  <c r="S153" i="45"/>
  <c r="M153" i="45"/>
  <c r="L153" i="45"/>
  <c r="S152" i="45"/>
  <c r="M152" i="45"/>
  <c r="L152" i="45"/>
  <c r="S151" i="45"/>
  <c r="M151" i="45"/>
  <c r="L151" i="45"/>
  <c r="N151" i="45" s="1"/>
  <c r="S150" i="45"/>
  <c r="M150" i="45"/>
  <c r="L150" i="45"/>
  <c r="N150" i="45" s="1"/>
  <c r="S149" i="45"/>
  <c r="M149" i="45"/>
  <c r="L149" i="45"/>
  <c r="S148" i="45"/>
  <c r="M148" i="45"/>
  <c r="L148" i="45"/>
  <c r="S147" i="45"/>
  <c r="M147" i="45"/>
  <c r="L147" i="45"/>
  <c r="N147" i="45" s="1"/>
  <c r="S146" i="45"/>
  <c r="M146" i="45"/>
  <c r="L146" i="45"/>
  <c r="M145" i="45"/>
  <c r="L145" i="45"/>
  <c r="S144" i="45"/>
  <c r="M144" i="45"/>
  <c r="L144" i="45"/>
  <c r="M143" i="45"/>
  <c r="L143" i="45"/>
  <c r="S142" i="45"/>
  <c r="M142" i="45"/>
  <c r="L142" i="45"/>
  <c r="S141" i="45"/>
  <c r="M141" i="45"/>
  <c r="L141" i="45"/>
  <c r="N141" i="45" s="1"/>
  <c r="S140" i="45"/>
  <c r="M140" i="45"/>
  <c r="L140" i="45"/>
  <c r="S139" i="45"/>
  <c r="M139" i="45"/>
  <c r="L139" i="45"/>
  <c r="S138" i="45"/>
  <c r="M138" i="45"/>
  <c r="L138" i="45"/>
  <c r="S137" i="45"/>
  <c r="M137" i="45"/>
  <c r="L137" i="45"/>
  <c r="S136" i="45"/>
  <c r="M136" i="45"/>
  <c r="L136" i="45"/>
  <c r="N136" i="45" s="1"/>
  <c r="S135" i="45"/>
  <c r="M135" i="45"/>
  <c r="L135" i="45"/>
  <c r="N135" i="45" s="1"/>
  <c r="S134" i="45"/>
  <c r="M134" i="45"/>
  <c r="L134" i="45"/>
  <c r="S133" i="45"/>
  <c r="M133" i="45"/>
  <c r="L133" i="45"/>
  <c r="S132" i="45"/>
  <c r="M132" i="45"/>
  <c r="L132" i="45"/>
  <c r="S131" i="45"/>
  <c r="M131" i="45"/>
  <c r="L131" i="45"/>
  <c r="N131" i="45" s="1"/>
  <c r="S130" i="45"/>
  <c r="M130" i="45"/>
  <c r="L130" i="45"/>
  <c r="N130" i="45" s="1"/>
  <c r="S129" i="45"/>
  <c r="M129" i="45"/>
  <c r="L129" i="45"/>
  <c r="S128" i="45"/>
  <c r="M128" i="45"/>
  <c r="L128" i="45"/>
  <c r="N128" i="45" s="1"/>
  <c r="S127" i="45"/>
  <c r="M127" i="45"/>
  <c r="L127" i="45"/>
  <c r="N127" i="45" s="1"/>
  <c r="S126" i="45"/>
  <c r="M126" i="45"/>
  <c r="L126" i="45"/>
  <c r="S125" i="45"/>
  <c r="M125" i="45"/>
  <c r="L125" i="45"/>
  <c r="M124" i="45"/>
  <c r="L124" i="45"/>
  <c r="M123" i="45"/>
  <c r="L123" i="45"/>
  <c r="M122" i="45"/>
  <c r="L122" i="45"/>
  <c r="M121" i="45"/>
  <c r="L121" i="45"/>
  <c r="S120" i="45"/>
  <c r="M120" i="45"/>
  <c r="L120" i="45"/>
  <c r="N120" i="45" s="1"/>
  <c r="M119" i="45"/>
  <c r="L119" i="45"/>
  <c r="N119" i="45" s="1"/>
  <c r="S118" i="45"/>
  <c r="M118" i="45"/>
  <c r="L118" i="45"/>
  <c r="S117" i="45"/>
  <c r="M117" i="45"/>
  <c r="L117" i="45"/>
  <c r="M116" i="45"/>
  <c r="L116" i="45"/>
  <c r="M115" i="45"/>
  <c r="N115" i="45" s="1"/>
  <c r="L115" i="45"/>
  <c r="S114" i="45"/>
  <c r="M114" i="45"/>
  <c r="L114" i="45"/>
  <c r="N114" i="45" s="1"/>
  <c r="M113" i="45"/>
  <c r="L113" i="45"/>
  <c r="M112" i="45"/>
  <c r="L112" i="45"/>
  <c r="N112" i="45" s="1"/>
  <c r="M111" i="45"/>
  <c r="L111" i="45"/>
  <c r="M110" i="45"/>
  <c r="L110" i="45"/>
  <c r="M109" i="45"/>
  <c r="L109" i="45"/>
  <c r="M108" i="45"/>
  <c r="L108" i="45"/>
  <c r="M107" i="45"/>
  <c r="N107" i="45" s="1"/>
  <c r="L107" i="45"/>
  <c r="M106" i="45"/>
  <c r="L106" i="45"/>
  <c r="N106" i="45" s="1"/>
  <c r="M105" i="45"/>
  <c r="L105" i="45"/>
  <c r="N105" i="45" s="1"/>
  <c r="M104" i="45"/>
  <c r="L104" i="45"/>
  <c r="M103" i="45"/>
  <c r="L103" i="45"/>
  <c r="N103" i="45" s="1"/>
  <c r="M102" i="45"/>
  <c r="L102" i="45"/>
  <c r="M101" i="45"/>
  <c r="L101" i="45"/>
  <c r="M100" i="45"/>
  <c r="L100" i="45"/>
  <c r="M99" i="45"/>
  <c r="N99" i="45" s="1"/>
  <c r="L99" i="45"/>
  <c r="N98" i="45"/>
  <c r="M98" i="45"/>
  <c r="L98" i="45"/>
  <c r="M97" i="45"/>
  <c r="L97" i="45"/>
  <c r="M96" i="45"/>
  <c r="L96" i="45"/>
  <c r="M95" i="45"/>
  <c r="L95" i="45"/>
  <c r="N95" i="45" s="1"/>
  <c r="M94" i="45"/>
  <c r="L94" i="45"/>
  <c r="M93" i="45"/>
  <c r="L93" i="45"/>
  <c r="M92" i="45"/>
  <c r="L92" i="45"/>
  <c r="M91" i="45"/>
  <c r="L91" i="45"/>
  <c r="M90" i="45"/>
  <c r="L90" i="45"/>
  <c r="N90" i="45" s="1"/>
  <c r="M89" i="45"/>
  <c r="N89" i="45" s="1"/>
  <c r="L89" i="45"/>
  <c r="M88" i="45"/>
  <c r="L88" i="45"/>
  <c r="M87" i="45"/>
  <c r="L87" i="45"/>
  <c r="M86" i="45"/>
  <c r="L86" i="45"/>
  <c r="M85" i="45"/>
  <c r="L85" i="45"/>
  <c r="M84" i="45"/>
  <c r="L84" i="45"/>
  <c r="M83" i="45"/>
  <c r="N83" i="45" s="1"/>
  <c r="L83" i="45"/>
  <c r="M82" i="45"/>
  <c r="L82" i="45"/>
  <c r="N82" i="45" s="1"/>
  <c r="M81" i="45"/>
  <c r="L81" i="45"/>
  <c r="N81" i="45" s="1"/>
  <c r="M80" i="45"/>
  <c r="L80" i="45"/>
  <c r="M79" i="45"/>
  <c r="L79" i="45"/>
  <c r="N79" i="45" s="1"/>
  <c r="M78" i="45"/>
  <c r="L78" i="45"/>
  <c r="M77" i="45"/>
  <c r="L77" i="45"/>
  <c r="M76" i="45"/>
  <c r="L76" i="45"/>
  <c r="M75" i="45"/>
  <c r="L75" i="45"/>
  <c r="M74" i="45"/>
  <c r="N74" i="45" s="1"/>
  <c r="L74" i="45"/>
  <c r="M73" i="45"/>
  <c r="L73" i="45"/>
  <c r="N73" i="45" s="1"/>
  <c r="M72" i="45"/>
  <c r="L72" i="45"/>
  <c r="M71" i="45"/>
  <c r="L71" i="45"/>
  <c r="N71" i="45" s="1"/>
  <c r="M70" i="45"/>
  <c r="L70" i="45"/>
  <c r="M69" i="45"/>
  <c r="L69" i="45"/>
  <c r="M68" i="45"/>
  <c r="L68" i="45"/>
  <c r="M67" i="45"/>
  <c r="L67" i="45"/>
  <c r="M66" i="45"/>
  <c r="L66" i="45"/>
  <c r="N66" i="45" s="1"/>
  <c r="M65" i="45"/>
  <c r="L65" i="45"/>
  <c r="M64" i="45"/>
  <c r="L64" i="45"/>
  <c r="M63" i="45"/>
  <c r="L63" i="45"/>
  <c r="M62" i="45"/>
  <c r="L62" i="45"/>
  <c r="M61" i="45"/>
  <c r="L61" i="45"/>
  <c r="M60" i="45"/>
  <c r="L60" i="45"/>
  <c r="M59" i="45"/>
  <c r="L59" i="45"/>
  <c r="M58" i="45"/>
  <c r="L58" i="45"/>
  <c r="N58" i="45" s="1"/>
  <c r="M57" i="45"/>
  <c r="L57" i="45"/>
  <c r="L56" i="45"/>
  <c r="N56" i="45" s="1"/>
  <c r="L55" i="45"/>
  <c r="N55" i="45" s="1"/>
  <c r="M54" i="45"/>
  <c r="L54" i="45"/>
  <c r="M53" i="45"/>
  <c r="L53" i="45"/>
  <c r="M52" i="45"/>
  <c r="L52" i="45"/>
  <c r="M51" i="45"/>
  <c r="N51" i="45" s="1"/>
  <c r="L51" i="45"/>
  <c r="M50" i="45"/>
  <c r="L50" i="45"/>
  <c r="N50" i="45" s="1"/>
  <c r="M49" i="45"/>
  <c r="L49" i="45"/>
  <c r="M48" i="45"/>
  <c r="L48" i="45"/>
  <c r="M47" i="45"/>
  <c r="L47" i="45"/>
  <c r="M46" i="45"/>
  <c r="L46" i="45"/>
  <c r="M45" i="45"/>
  <c r="L45" i="45"/>
  <c r="M44" i="45"/>
  <c r="L44" i="45"/>
  <c r="N44" i="45" s="1"/>
  <c r="M43" i="45"/>
  <c r="N43" i="45" s="1"/>
  <c r="L43" i="45"/>
  <c r="M42" i="45"/>
  <c r="L42" i="45"/>
  <c r="M41" i="45"/>
  <c r="L41" i="45"/>
  <c r="M40" i="45"/>
  <c r="L40" i="45"/>
  <c r="M39" i="45"/>
  <c r="L39" i="45"/>
  <c r="M38" i="45"/>
  <c r="L38" i="45"/>
  <c r="M37" i="45"/>
  <c r="L37" i="45"/>
  <c r="M36" i="45"/>
  <c r="L36" i="45"/>
  <c r="N36" i="45" s="1"/>
  <c r="M35" i="45"/>
  <c r="N35" i="45" s="1"/>
  <c r="L35" i="45"/>
  <c r="M34" i="45"/>
  <c r="L34" i="45"/>
  <c r="N34" i="45" s="1"/>
  <c r="M33" i="45"/>
  <c r="L33" i="45"/>
  <c r="M32" i="45"/>
  <c r="L32" i="45"/>
  <c r="M31" i="45"/>
  <c r="L31" i="45"/>
  <c r="M30" i="45"/>
  <c r="L30" i="45"/>
  <c r="M29" i="45"/>
  <c r="L29" i="45"/>
  <c r="M28" i="45"/>
  <c r="L28" i="45"/>
  <c r="N28" i="45" s="1"/>
  <c r="M27" i="45"/>
  <c r="N27" i="45" s="1"/>
  <c r="L27" i="45"/>
  <c r="M26" i="45"/>
  <c r="L26" i="45"/>
  <c r="N26" i="45" s="1"/>
  <c r="M25" i="45"/>
  <c r="L25" i="45"/>
  <c r="M24" i="45"/>
  <c r="L24" i="45"/>
  <c r="M23" i="45"/>
  <c r="L23" i="45"/>
  <c r="M22" i="45"/>
  <c r="L22" i="45"/>
  <c r="M21" i="45"/>
  <c r="L21" i="45"/>
  <c r="M20" i="45"/>
  <c r="L20" i="45"/>
  <c r="N20" i="45" s="1"/>
  <c r="M19" i="45"/>
  <c r="L19" i="45"/>
  <c r="M18" i="45"/>
  <c r="L18" i="45"/>
  <c r="N18" i="45" s="1"/>
  <c r="M17" i="45"/>
  <c r="L17" i="45"/>
  <c r="M16" i="45"/>
  <c r="L16" i="45"/>
  <c r="M15" i="45"/>
  <c r="L15" i="45"/>
  <c r="M14" i="45"/>
  <c r="L14" i="45"/>
  <c r="M13" i="45"/>
  <c r="L13" i="45"/>
  <c r="M12" i="45"/>
  <c r="L12" i="45"/>
  <c r="N12" i="45" s="1"/>
  <c r="M11" i="45"/>
  <c r="N11" i="45" s="1"/>
  <c r="L11" i="45"/>
  <c r="M10" i="45"/>
  <c r="L10" i="45"/>
  <c r="N10" i="45" s="1"/>
  <c r="M9" i="45"/>
  <c r="L9" i="45"/>
  <c r="M8" i="45"/>
  <c r="L8" i="45"/>
  <c r="M7" i="45"/>
  <c r="L7" i="45"/>
  <c r="M6" i="45"/>
  <c r="L6" i="45"/>
  <c r="N63" i="44"/>
  <c r="M63" i="44"/>
  <c r="L63" i="44"/>
  <c r="M62" i="44"/>
  <c r="L62" i="44"/>
  <c r="N61" i="44"/>
  <c r="M61" i="44"/>
  <c r="L61" i="44"/>
  <c r="M60" i="44"/>
  <c r="L60" i="44"/>
  <c r="M59" i="44"/>
  <c r="L59" i="44"/>
  <c r="N59" i="44" s="1"/>
  <c r="M58" i="44"/>
  <c r="L58" i="44"/>
  <c r="N58" i="44" s="1"/>
  <c r="M57" i="44"/>
  <c r="L57" i="44"/>
  <c r="N57" i="44" s="1"/>
  <c r="M56" i="44"/>
  <c r="L56" i="44"/>
  <c r="N56" i="44" s="1"/>
  <c r="M55" i="44"/>
  <c r="L55" i="44"/>
  <c r="N55" i="44" s="1"/>
  <c r="M54" i="44"/>
  <c r="N54" i="44" s="1"/>
  <c r="L54" i="44"/>
  <c r="M53" i="44"/>
  <c r="L53" i="44"/>
  <c r="N53" i="44" s="1"/>
  <c r="M52" i="44"/>
  <c r="L52" i="44"/>
  <c r="N51" i="44"/>
  <c r="M51" i="44"/>
  <c r="L51" i="44"/>
  <c r="M50" i="44"/>
  <c r="L50" i="44"/>
  <c r="N50" i="44" s="1"/>
  <c r="M49" i="44"/>
  <c r="L49" i="44"/>
  <c r="N49" i="44" s="1"/>
  <c r="M48" i="44"/>
  <c r="L48" i="44"/>
  <c r="M47" i="44"/>
  <c r="L47" i="44"/>
  <c r="N47" i="44" s="1"/>
  <c r="N46" i="44"/>
  <c r="M46" i="44"/>
  <c r="L46" i="44"/>
  <c r="N45" i="44"/>
  <c r="M45" i="44"/>
  <c r="L45" i="44"/>
  <c r="M44" i="44"/>
  <c r="L44" i="44"/>
  <c r="M43" i="44"/>
  <c r="L43" i="44"/>
  <c r="N43" i="44" s="1"/>
  <c r="M42" i="44"/>
  <c r="N42" i="44" s="1"/>
  <c r="L42" i="44"/>
  <c r="M41" i="44"/>
  <c r="L41" i="44"/>
  <c r="N41" i="44" s="1"/>
  <c r="M40" i="44"/>
  <c r="L40" i="44"/>
  <c r="N40" i="44" s="1"/>
  <c r="M39" i="44"/>
  <c r="N39" i="44" s="1"/>
  <c r="L39" i="44"/>
  <c r="M38" i="44"/>
  <c r="L38" i="44"/>
  <c r="N37" i="44"/>
  <c r="M37" i="44"/>
  <c r="L37" i="44"/>
  <c r="M36" i="44"/>
  <c r="L36" i="44"/>
  <c r="M35" i="44"/>
  <c r="L35" i="44"/>
  <c r="N35" i="44" s="1"/>
  <c r="M34" i="44"/>
  <c r="L34" i="44"/>
  <c r="N34" i="44" s="1"/>
  <c r="M33" i="44"/>
  <c r="N33" i="44" s="1"/>
  <c r="L33" i="44"/>
  <c r="M32" i="44"/>
  <c r="L32" i="44"/>
  <c r="N32" i="44" s="1"/>
  <c r="N31" i="44"/>
  <c r="M31" i="44"/>
  <c r="L31" i="44"/>
  <c r="M30" i="44"/>
  <c r="L30" i="44"/>
  <c r="N30" i="44" s="1"/>
  <c r="M29" i="44"/>
  <c r="L29" i="44"/>
  <c r="N29" i="44" s="1"/>
  <c r="M28" i="44"/>
  <c r="L28" i="44"/>
  <c r="N28" i="44" s="1"/>
  <c r="M27" i="44"/>
  <c r="N27" i="44" s="1"/>
  <c r="L27" i="44"/>
  <c r="M26" i="44"/>
  <c r="L26" i="44"/>
  <c r="N25" i="44"/>
  <c r="M25" i="44"/>
  <c r="L25" i="44"/>
  <c r="M24" i="44"/>
  <c r="L24" i="44"/>
  <c r="N23" i="44"/>
  <c r="M23" i="44"/>
  <c r="L23" i="44"/>
  <c r="N22" i="44"/>
  <c r="M22" i="44"/>
  <c r="L22" i="44"/>
  <c r="N21" i="44"/>
  <c r="M21" i="44"/>
  <c r="L21" i="44"/>
  <c r="M20" i="44"/>
  <c r="L20" i="44"/>
  <c r="M19" i="44"/>
  <c r="L19" i="44"/>
  <c r="N19" i="44" s="1"/>
  <c r="M18" i="44"/>
  <c r="L18" i="44"/>
  <c r="M17" i="44"/>
  <c r="L17" i="44"/>
  <c r="N17" i="44" s="1"/>
  <c r="M16" i="44"/>
  <c r="L16" i="44"/>
  <c r="M15" i="44"/>
  <c r="L15" i="44"/>
  <c r="N15" i="44" s="1"/>
  <c r="M14" i="44"/>
  <c r="L14" i="44"/>
  <c r="N13" i="44"/>
  <c r="M13" i="44"/>
  <c r="L13" i="44"/>
  <c r="M12" i="44"/>
  <c r="L12" i="44"/>
  <c r="N12" i="44" s="1"/>
  <c r="M11" i="44"/>
  <c r="L11" i="44"/>
  <c r="N11" i="44" s="1"/>
  <c r="M10" i="44"/>
  <c r="L10" i="44"/>
  <c r="M9" i="44"/>
  <c r="L9" i="44"/>
  <c r="N9" i="44" s="1"/>
  <c r="M8" i="44"/>
  <c r="L8" i="44"/>
  <c r="M7" i="44"/>
  <c r="L7" i="44"/>
  <c r="N7" i="44" s="1"/>
  <c r="M6" i="44"/>
  <c r="L6" i="44"/>
  <c r="N256" i="43"/>
  <c r="M256" i="43"/>
  <c r="L256" i="43"/>
  <c r="M255" i="43"/>
  <c r="L255" i="43"/>
  <c r="M254" i="43"/>
  <c r="L254" i="43"/>
  <c r="N254" i="43" s="1"/>
  <c r="M253" i="43"/>
  <c r="N253" i="43" s="1"/>
  <c r="L253" i="43"/>
  <c r="M252" i="43"/>
  <c r="L252" i="43"/>
  <c r="N252" i="43" s="1"/>
  <c r="M251" i="43"/>
  <c r="L251" i="43"/>
  <c r="M250" i="43"/>
  <c r="L250" i="43"/>
  <c r="N250" i="43" s="1"/>
  <c r="M249" i="43"/>
  <c r="L249" i="43"/>
  <c r="N249" i="43" s="1"/>
  <c r="M248" i="43"/>
  <c r="L248" i="43"/>
  <c r="N248" i="43" s="1"/>
  <c r="M247" i="43"/>
  <c r="L247" i="43"/>
  <c r="M246" i="43"/>
  <c r="L246" i="43"/>
  <c r="N246" i="43" s="1"/>
  <c r="M245" i="43"/>
  <c r="L245" i="43"/>
  <c r="M244" i="43"/>
  <c r="N244" i="43" s="1"/>
  <c r="L244" i="43"/>
  <c r="M243" i="43"/>
  <c r="L243" i="43"/>
  <c r="N243" i="43" s="1"/>
  <c r="N242" i="43"/>
  <c r="M242" i="43"/>
  <c r="L242" i="43"/>
  <c r="M241" i="43"/>
  <c r="N241" i="43" s="1"/>
  <c r="L241" i="43"/>
  <c r="M240" i="43"/>
  <c r="L240" i="43"/>
  <c r="N240" i="43" s="1"/>
  <c r="M239" i="43"/>
  <c r="L239" i="43"/>
  <c r="M238" i="43"/>
  <c r="L238" i="43"/>
  <c r="N238" i="43" s="1"/>
  <c r="M237" i="43"/>
  <c r="L237" i="43"/>
  <c r="N237" i="43" s="1"/>
  <c r="N236" i="43"/>
  <c r="M236" i="43"/>
  <c r="L236" i="43"/>
  <c r="M235" i="43"/>
  <c r="L235" i="43"/>
  <c r="N235" i="43" s="1"/>
  <c r="M234" i="43"/>
  <c r="L234" i="43"/>
  <c r="N234" i="43" s="1"/>
  <c r="M233" i="43"/>
  <c r="L233" i="43"/>
  <c r="N233" i="43" s="1"/>
  <c r="M232" i="43"/>
  <c r="N232" i="43" s="1"/>
  <c r="L232" i="43"/>
  <c r="M231" i="43"/>
  <c r="L231" i="43"/>
  <c r="N231" i="43" s="1"/>
  <c r="N230" i="43"/>
  <c r="M230" i="43"/>
  <c r="L230" i="43"/>
  <c r="M229" i="43"/>
  <c r="L229" i="43"/>
  <c r="N228" i="43"/>
  <c r="M228" i="43"/>
  <c r="L228" i="43"/>
  <c r="M227" i="43"/>
  <c r="L227" i="43"/>
  <c r="M226" i="43"/>
  <c r="L226" i="43"/>
  <c r="N226" i="43" s="1"/>
  <c r="M225" i="43"/>
  <c r="L225" i="43"/>
  <c r="N225" i="43" s="1"/>
  <c r="M224" i="43"/>
  <c r="L224" i="43"/>
  <c r="N224" i="43" s="1"/>
  <c r="M223" i="43"/>
  <c r="L223" i="43"/>
  <c r="M222" i="43"/>
  <c r="L222" i="43"/>
  <c r="N222" i="43" s="1"/>
  <c r="M221" i="43"/>
  <c r="N221" i="43" s="1"/>
  <c r="L221" i="43"/>
  <c r="M220" i="43"/>
  <c r="L220" i="43"/>
  <c r="N220" i="43" s="1"/>
  <c r="M219" i="43"/>
  <c r="L219" i="43"/>
  <c r="N219" i="43" s="1"/>
  <c r="N218" i="43"/>
  <c r="M218" i="43"/>
  <c r="L218" i="43"/>
  <c r="M217" i="43"/>
  <c r="L217" i="43"/>
  <c r="M216" i="43"/>
  <c r="L216" i="43"/>
  <c r="N216" i="43" s="1"/>
  <c r="M215" i="43"/>
  <c r="L215" i="43"/>
  <c r="N215" i="43" s="1"/>
  <c r="M214" i="43"/>
  <c r="L214" i="43"/>
  <c r="N214" i="43" s="1"/>
  <c r="M213" i="43"/>
  <c r="L213" i="43"/>
  <c r="M212" i="43"/>
  <c r="L212" i="43"/>
  <c r="N212" i="43" s="1"/>
  <c r="M211" i="43"/>
  <c r="L211" i="43"/>
  <c r="N210" i="43"/>
  <c r="M210" i="43"/>
  <c r="L210" i="43"/>
  <c r="M209" i="43"/>
  <c r="L209" i="43"/>
  <c r="N209" i="43" s="1"/>
  <c r="M208" i="43"/>
  <c r="L208" i="43"/>
  <c r="N208" i="43" s="1"/>
  <c r="M207" i="43"/>
  <c r="L207" i="43"/>
  <c r="M206" i="43"/>
  <c r="L206" i="43"/>
  <c r="N206" i="43" s="1"/>
  <c r="M205" i="43"/>
  <c r="L205" i="43"/>
  <c r="M204" i="43"/>
  <c r="L204" i="43"/>
  <c r="N204" i="43" s="1"/>
  <c r="M203" i="43"/>
  <c r="L203" i="43"/>
  <c r="N203" i="43" s="1"/>
  <c r="N202" i="43"/>
  <c r="M202" i="43"/>
  <c r="L202" i="43"/>
  <c r="M201" i="43"/>
  <c r="L201" i="43"/>
  <c r="N201" i="43" s="1"/>
  <c r="M200" i="43"/>
  <c r="L200" i="43"/>
  <c r="N200" i="43" s="1"/>
  <c r="M199" i="43"/>
  <c r="L199" i="43"/>
  <c r="M198" i="43"/>
  <c r="L198" i="43"/>
  <c r="N198" i="43" s="1"/>
  <c r="M197" i="43"/>
  <c r="L197" i="43"/>
  <c r="M196" i="43"/>
  <c r="L196" i="43"/>
  <c r="N196" i="43" s="1"/>
  <c r="M195" i="43"/>
  <c r="L195" i="43"/>
  <c r="N195" i="43" s="1"/>
  <c r="M194" i="43"/>
  <c r="L194" i="43"/>
  <c r="N194" i="43" s="1"/>
  <c r="M193" i="43"/>
  <c r="L193" i="43"/>
  <c r="N193" i="43" s="1"/>
  <c r="M192" i="43"/>
  <c r="L192" i="43"/>
  <c r="N192" i="43" s="1"/>
  <c r="M191" i="43"/>
  <c r="L191" i="43"/>
  <c r="M190" i="43"/>
  <c r="L190" i="43"/>
  <c r="N190" i="43" s="1"/>
  <c r="N189" i="43"/>
  <c r="M189" i="43"/>
  <c r="L189" i="43"/>
  <c r="N188" i="43"/>
  <c r="M188" i="43"/>
  <c r="L188" i="43"/>
  <c r="M187" i="43"/>
  <c r="L187" i="43"/>
  <c r="M186" i="43"/>
  <c r="L186" i="43"/>
  <c r="M185" i="43"/>
  <c r="N185" i="43" s="1"/>
  <c r="L185" i="43"/>
  <c r="M184" i="43"/>
  <c r="L184" i="43"/>
  <c r="N184" i="43" s="1"/>
  <c r="M183" i="43"/>
  <c r="L183" i="43"/>
  <c r="M182" i="43"/>
  <c r="L182" i="43"/>
  <c r="M181" i="43"/>
  <c r="L181" i="43"/>
  <c r="M180" i="43"/>
  <c r="L180" i="43"/>
  <c r="N180" i="43" s="1"/>
  <c r="M179" i="43"/>
  <c r="L179" i="43"/>
  <c r="M178" i="43"/>
  <c r="L178" i="43"/>
  <c r="M177" i="43"/>
  <c r="L177" i="43"/>
  <c r="N177" i="43" s="1"/>
  <c r="M176" i="43"/>
  <c r="N176" i="43" s="1"/>
  <c r="L176" i="43"/>
  <c r="M175" i="43"/>
  <c r="L175" i="43"/>
  <c r="M174" i="43"/>
  <c r="L174" i="43"/>
  <c r="M173" i="43"/>
  <c r="L173" i="43"/>
  <c r="N172" i="43"/>
  <c r="M172" i="43"/>
  <c r="L172" i="43"/>
  <c r="M171" i="43"/>
  <c r="L171" i="43"/>
  <c r="N171" i="43" s="1"/>
  <c r="M170" i="43"/>
  <c r="L170" i="43"/>
  <c r="N170" i="43" s="1"/>
  <c r="M169" i="43"/>
  <c r="L169" i="43"/>
  <c r="N169" i="43" s="1"/>
  <c r="M168" i="43"/>
  <c r="L168" i="43"/>
  <c r="N168" i="43" s="1"/>
  <c r="M167" i="43"/>
  <c r="L167" i="43"/>
  <c r="N167" i="43" s="1"/>
  <c r="M166" i="43"/>
  <c r="L166" i="43"/>
  <c r="N166" i="43" s="1"/>
  <c r="M165" i="43"/>
  <c r="L165" i="43"/>
  <c r="M164" i="43"/>
  <c r="L164" i="43"/>
  <c r="N164" i="43" s="1"/>
  <c r="M163" i="43"/>
  <c r="L163" i="43"/>
  <c r="M162" i="43"/>
  <c r="L162" i="43"/>
  <c r="N162" i="43" s="1"/>
  <c r="M161" i="43"/>
  <c r="L161" i="43"/>
  <c r="N161" i="43" s="1"/>
  <c r="M160" i="43"/>
  <c r="L160" i="43"/>
  <c r="M159" i="43"/>
  <c r="L159" i="43"/>
  <c r="M158" i="43"/>
  <c r="L158" i="43"/>
  <c r="N158" i="43" s="1"/>
  <c r="M157" i="43"/>
  <c r="L157" i="43"/>
  <c r="N157" i="43" s="1"/>
  <c r="M156" i="43"/>
  <c r="L156" i="43"/>
  <c r="N156" i="43" s="1"/>
  <c r="M155" i="43"/>
  <c r="L155" i="43"/>
  <c r="N155" i="43" s="1"/>
  <c r="M154" i="43"/>
  <c r="N154" i="43" s="1"/>
  <c r="L154" i="43"/>
  <c r="M153" i="43"/>
  <c r="L153" i="43"/>
  <c r="N153" i="43" s="1"/>
  <c r="M152" i="43"/>
  <c r="L152" i="43"/>
  <c r="N152" i="43" s="1"/>
  <c r="M151" i="43"/>
  <c r="L151" i="43"/>
  <c r="M150" i="43"/>
  <c r="L150" i="43"/>
  <c r="N150" i="43" s="1"/>
  <c r="M149" i="43"/>
  <c r="L149" i="43"/>
  <c r="M148" i="43"/>
  <c r="L148" i="43"/>
  <c r="N148" i="43" s="1"/>
  <c r="M147" i="43"/>
  <c r="L147" i="43"/>
  <c r="M146" i="43"/>
  <c r="L146" i="43"/>
  <c r="N146" i="43" s="1"/>
  <c r="M145" i="43"/>
  <c r="L145" i="43"/>
  <c r="M144" i="43"/>
  <c r="L144" i="43"/>
  <c r="N144" i="43" s="1"/>
  <c r="M143" i="43"/>
  <c r="L143" i="43"/>
  <c r="M142" i="43"/>
  <c r="L142" i="43"/>
  <c r="N142" i="43" s="1"/>
  <c r="M141" i="43"/>
  <c r="L141" i="43"/>
  <c r="N141" i="43" s="1"/>
  <c r="M140" i="43"/>
  <c r="L140" i="43"/>
  <c r="N140" i="43" s="1"/>
  <c r="M139" i="43"/>
  <c r="L139" i="43"/>
  <c r="N139" i="43" s="1"/>
  <c r="M138" i="43"/>
  <c r="L138" i="43"/>
  <c r="M137" i="43"/>
  <c r="N137" i="43" s="1"/>
  <c r="L137" i="43"/>
  <c r="M136" i="43"/>
  <c r="L136" i="43"/>
  <c r="N136" i="43" s="1"/>
  <c r="M135" i="43"/>
  <c r="L135" i="43"/>
  <c r="M134" i="43"/>
  <c r="L134" i="43"/>
  <c r="N134" i="43" s="1"/>
  <c r="M133" i="43"/>
  <c r="L133" i="43"/>
  <c r="M132" i="43"/>
  <c r="L132" i="43"/>
  <c r="N132" i="43" s="1"/>
  <c r="M131" i="43"/>
  <c r="L131" i="43"/>
  <c r="M130" i="43"/>
  <c r="L130" i="43"/>
  <c r="N130" i="43" s="1"/>
  <c r="N129" i="43"/>
  <c r="M129" i="43"/>
  <c r="L129" i="43"/>
  <c r="M128" i="43"/>
  <c r="N128" i="43" s="1"/>
  <c r="L128" i="43"/>
  <c r="M127" i="43"/>
  <c r="L127" i="43"/>
  <c r="M126" i="43"/>
  <c r="L126" i="43"/>
  <c r="M125" i="43"/>
  <c r="L125" i="43"/>
  <c r="N124" i="43"/>
  <c r="M124" i="43"/>
  <c r="L124" i="43"/>
  <c r="M123" i="43"/>
  <c r="L123" i="43"/>
  <c r="N123" i="43" s="1"/>
  <c r="M122" i="43"/>
  <c r="L122" i="43"/>
  <c r="N122" i="43" s="1"/>
  <c r="M121" i="43"/>
  <c r="L121" i="43"/>
  <c r="N121" i="43" s="1"/>
  <c r="M120" i="43"/>
  <c r="L120" i="43"/>
  <c r="N120" i="43" s="1"/>
  <c r="M119" i="43"/>
  <c r="L119" i="43"/>
  <c r="N119" i="43" s="1"/>
  <c r="M118" i="43"/>
  <c r="L118" i="43"/>
  <c r="N118" i="43" s="1"/>
  <c r="M117" i="43"/>
  <c r="L117" i="43"/>
  <c r="M116" i="43"/>
  <c r="L116" i="43"/>
  <c r="N116" i="43" s="1"/>
  <c r="M115" i="43"/>
  <c r="L115" i="43"/>
  <c r="M114" i="43"/>
  <c r="L114" i="43"/>
  <c r="N114" i="43" s="1"/>
  <c r="M113" i="43"/>
  <c r="L113" i="43"/>
  <c r="N113" i="43" s="1"/>
  <c r="M112" i="43"/>
  <c r="L112" i="43"/>
  <c r="M111" i="43"/>
  <c r="L111" i="43"/>
  <c r="M110" i="43"/>
  <c r="L110" i="43"/>
  <c r="N110" i="43" s="1"/>
  <c r="M109" i="43"/>
  <c r="L109" i="43"/>
  <c r="M108" i="43"/>
  <c r="L108" i="43"/>
  <c r="N108" i="43" s="1"/>
  <c r="M107" i="43"/>
  <c r="L107" i="43"/>
  <c r="M106" i="43"/>
  <c r="N106" i="43" s="1"/>
  <c r="L106" i="43"/>
  <c r="M105" i="43"/>
  <c r="L105" i="43"/>
  <c r="N105" i="43" s="1"/>
  <c r="M104" i="43"/>
  <c r="L104" i="43"/>
  <c r="N104" i="43" s="1"/>
  <c r="M103" i="43"/>
  <c r="L103" i="43"/>
  <c r="M102" i="43"/>
  <c r="L102" i="43"/>
  <c r="N102" i="43" s="1"/>
  <c r="M101" i="43"/>
  <c r="L101" i="43"/>
  <c r="M100" i="43"/>
  <c r="L100" i="43"/>
  <c r="N100" i="43" s="1"/>
  <c r="M99" i="43"/>
  <c r="L99" i="43"/>
  <c r="M98" i="43"/>
  <c r="L98" i="43"/>
  <c r="N98" i="43" s="1"/>
  <c r="M97" i="43"/>
  <c r="L97" i="43"/>
  <c r="M96" i="43"/>
  <c r="L96" i="43"/>
  <c r="N96" i="43" s="1"/>
  <c r="M95" i="43"/>
  <c r="L95" i="43"/>
  <c r="M94" i="43"/>
  <c r="L94" i="43"/>
  <c r="N94" i="43" s="1"/>
  <c r="M93" i="43"/>
  <c r="L93" i="43"/>
  <c r="N93" i="43" s="1"/>
  <c r="M92" i="43"/>
  <c r="N92" i="43" s="1"/>
  <c r="L92" i="43"/>
  <c r="M91" i="43"/>
  <c r="L91" i="43"/>
  <c r="N91" i="43" s="1"/>
  <c r="M90" i="43"/>
  <c r="N90" i="43" s="1"/>
  <c r="L90" i="43"/>
  <c r="M89" i="43"/>
  <c r="L89" i="43"/>
  <c r="N89" i="43" s="1"/>
  <c r="M88" i="43"/>
  <c r="L88" i="43"/>
  <c r="N88" i="43" s="1"/>
  <c r="M87" i="43"/>
  <c r="L87" i="43"/>
  <c r="N87" i="43" s="1"/>
  <c r="M86" i="43"/>
  <c r="L86" i="43"/>
  <c r="M85" i="43"/>
  <c r="N85" i="43" s="1"/>
  <c r="L85" i="43"/>
  <c r="M84" i="43"/>
  <c r="L84" i="43"/>
  <c r="N84" i="43" s="1"/>
  <c r="M83" i="43"/>
  <c r="L83" i="43"/>
  <c r="M82" i="43"/>
  <c r="L82" i="43"/>
  <c r="N81" i="43"/>
  <c r="M81" i="43"/>
  <c r="L81" i="43"/>
  <c r="M80" i="43"/>
  <c r="L80" i="43"/>
  <c r="N80" i="43" s="1"/>
  <c r="M79" i="43"/>
  <c r="L79" i="43"/>
  <c r="N79" i="43" s="1"/>
  <c r="M78" i="43"/>
  <c r="L78" i="43"/>
  <c r="M77" i="43"/>
  <c r="L77" i="43"/>
  <c r="N77" i="43" s="1"/>
  <c r="M76" i="43"/>
  <c r="L76" i="43"/>
  <c r="M75" i="43"/>
  <c r="L75" i="43"/>
  <c r="N75" i="43" s="1"/>
  <c r="M74" i="43"/>
  <c r="N74" i="43" s="1"/>
  <c r="L74" i="43"/>
  <c r="M73" i="43"/>
  <c r="L73" i="43"/>
  <c r="N73" i="43" s="1"/>
  <c r="M72" i="43"/>
  <c r="L72" i="43"/>
  <c r="M71" i="43"/>
  <c r="L71" i="43"/>
  <c r="N71" i="43" s="1"/>
  <c r="M70" i="43"/>
  <c r="L70" i="43"/>
  <c r="M69" i="43"/>
  <c r="N69" i="43" s="1"/>
  <c r="L69" i="43"/>
  <c r="M68" i="43"/>
  <c r="L68" i="43"/>
  <c r="N68" i="43" s="1"/>
  <c r="M67" i="43"/>
  <c r="L67" i="43"/>
  <c r="M66" i="43"/>
  <c r="L66" i="43"/>
  <c r="N65" i="43"/>
  <c r="M65" i="43"/>
  <c r="L65" i="43"/>
  <c r="M64" i="43"/>
  <c r="L64" i="43"/>
  <c r="N64" i="43" s="1"/>
  <c r="M63" i="43"/>
  <c r="L63" i="43"/>
  <c r="M62" i="43"/>
  <c r="L62" i="43"/>
  <c r="M61" i="43"/>
  <c r="L61" i="43"/>
  <c r="N61" i="43" s="1"/>
  <c r="M60" i="43"/>
  <c r="L60" i="43"/>
  <c r="M59" i="43"/>
  <c r="L59" i="43"/>
  <c r="N59" i="43" s="1"/>
  <c r="M58" i="43"/>
  <c r="N58" i="43" s="1"/>
  <c r="L58" i="43"/>
  <c r="M57" i="43"/>
  <c r="L57" i="43"/>
  <c r="N57" i="43" s="1"/>
  <c r="M56" i="43"/>
  <c r="L56" i="43"/>
  <c r="M55" i="43"/>
  <c r="L55" i="43"/>
  <c r="N55" i="43" s="1"/>
  <c r="M54" i="43"/>
  <c r="L54" i="43"/>
  <c r="M53" i="43"/>
  <c r="N53" i="43" s="1"/>
  <c r="L53" i="43"/>
  <c r="M52" i="43"/>
  <c r="L52" i="43"/>
  <c r="N52" i="43" s="1"/>
  <c r="M51" i="43"/>
  <c r="L51" i="43"/>
  <c r="M50" i="43"/>
  <c r="L50" i="43"/>
  <c r="N49" i="43"/>
  <c r="M49" i="43"/>
  <c r="L49" i="43"/>
  <c r="M48" i="43"/>
  <c r="L48" i="43"/>
  <c r="N48" i="43" s="1"/>
  <c r="M47" i="43"/>
  <c r="L47" i="43"/>
  <c r="M46" i="43"/>
  <c r="L46" i="43"/>
  <c r="M45" i="43"/>
  <c r="L45" i="43"/>
  <c r="N45" i="43" s="1"/>
  <c r="M44" i="43"/>
  <c r="L44" i="43"/>
  <c r="M43" i="43"/>
  <c r="L43" i="43"/>
  <c r="N43" i="43" s="1"/>
  <c r="M42" i="43"/>
  <c r="N42" i="43" s="1"/>
  <c r="L42" i="43"/>
  <c r="M41" i="43"/>
  <c r="L41" i="43"/>
  <c r="N41" i="43" s="1"/>
  <c r="M40" i="43"/>
  <c r="L40" i="43"/>
  <c r="N40" i="43" s="1"/>
  <c r="M39" i="43"/>
  <c r="L39" i="43"/>
  <c r="N39" i="43" s="1"/>
  <c r="M38" i="43"/>
  <c r="N38" i="43" s="1"/>
  <c r="L38" i="43"/>
  <c r="M37" i="43"/>
  <c r="L37" i="43"/>
  <c r="N37" i="43" s="1"/>
  <c r="M36" i="43"/>
  <c r="L36" i="43"/>
  <c r="N36" i="43" s="1"/>
  <c r="M35" i="43"/>
  <c r="L35" i="43"/>
  <c r="M34" i="43"/>
  <c r="L34" i="43"/>
  <c r="M33" i="43"/>
  <c r="L33" i="43"/>
  <c r="N33" i="43" s="1"/>
  <c r="M32" i="43"/>
  <c r="L32" i="43"/>
  <c r="N32" i="43" s="1"/>
  <c r="M31" i="43"/>
  <c r="L31" i="43"/>
  <c r="N31" i="43" s="1"/>
  <c r="M30" i="43"/>
  <c r="L30" i="43"/>
  <c r="M29" i="43"/>
  <c r="L29" i="43"/>
  <c r="N29" i="43" s="1"/>
  <c r="M28" i="43"/>
  <c r="L28" i="43"/>
  <c r="M27" i="43"/>
  <c r="L27" i="43"/>
  <c r="N27" i="43" s="1"/>
  <c r="M26" i="43"/>
  <c r="N26" i="43" s="1"/>
  <c r="L26" i="43"/>
  <c r="M25" i="43"/>
  <c r="L25" i="43"/>
  <c r="N25" i="43" s="1"/>
  <c r="M24" i="43"/>
  <c r="L24" i="43"/>
  <c r="N24" i="43" s="1"/>
  <c r="M23" i="43"/>
  <c r="L23" i="43"/>
  <c r="N23" i="43" s="1"/>
  <c r="M22" i="43"/>
  <c r="L22" i="43"/>
  <c r="M21" i="43"/>
  <c r="L21" i="43"/>
  <c r="M20" i="43"/>
  <c r="L20" i="43"/>
  <c r="M19" i="43"/>
  <c r="L19" i="43"/>
  <c r="N19" i="43" s="1"/>
  <c r="M18" i="43"/>
  <c r="L18" i="43"/>
  <c r="M17" i="43"/>
  <c r="L17" i="43"/>
  <c r="M16" i="43"/>
  <c r="L16" i="43"/>
  <c r="N16" i="43" s="1"/>
  <c r="M15" i="43"/>
  <c r="L15" i="43"/>
  <c r="N15" i="43" s="1"/>
  <c r="M14" i="43"/>
  <c r="L14" i="43"/>
  <c r="M13" i="43"/>
  <c r="L13" i="43"/>
  <c r="M12" i="43"/>
  <c r="L12" i="43"/>
  <c r="N12" i="43" s="1"/>
  <c r="M11" i="43"/>
  <c r="L11" i="43"/>
  <c r="N11" i="43" s="1"/>
  <c r="M10" i="43"/>
  <c r="N10" i="43" s="1"/>
  <c r="L10" i="43"/>
  <c r="M9" i="43"/>
  <c r="L9" i="43"/>
  <c r="M8" i="43"/>
  <c r="L8" i="43"/>
  <c r="N8" i="43" s="1"/>
  <c r="M7" i="43"/>
  <c r="L7" i="43"/>
  <c r="N7" i="43" s="1"/>
  <c r="M6" i="43"/>
  <c r="L6" i="43"/>
  <c r="M105" i="42"/>
  <c r="L105" i="42"/>
  <c r="M104" i="42"/>
  <c r="L104" i="42"/>
  <c r="N104" i="42" s="1"/>
  <c r="M103" i="42"/>
  <c r="L103" i="42"/>
  <c r="N103" i="42" s="1"/>
  <c r="M102" i="42"/>
  <c r="L102" i="42"/>
  <c r="N102" i="42" s="1"/>
  <c r="G102" i="42"/>
  <c r="G103" i="42" s="1"/>
  <c r="G104" i="42" s="1"/>
  <c r="G105" i="42" s="1"/>
  <c r="M101" i="42"/>
  <c r="L101" i="42"/>
  <c r="M100" i="42"/>
  <c r="L100" i="42"/>
  <c r="N100" i="42" s="1"/>
  <c r="M99" i="42"/>
  <c r="L99" i="42"/>
  <c r="M98" i="42"/>
  <c r="L98" i="42"/>
  <c r="N98" i="42" s="1"/>
  <c r="M97" i="42"/>
  <c r="L97" i="42"/>
  <c r="G97" i="42"/>
  <c r="G98" i="42" s="1"/>
  <c r="G99" i="42" s="1"/>
  <c r="G100" i="42" s="1"/>
  <c r="M96" i="42"/>
  <c r="L96" i="42"/>
  <c r="M95" i="42"/>
  <c r="L95" i="42"/>
  <c r="N95" i="42" s="1"/>
  <c r="M94" i="42"/>
  <c r="L94" i="42"/>
  <c r="M93" i="42"/>
  <c r="L93" i="42"/>
  <c r="N93" i="42" s="1"/>
  <c r="M92" i="42"/>
  <c r="L92" i="42"/>
  <c r="G92" i="42"/>
  <c r="G93" i="42" s="1"/>
  <c r="G94" i="42" s="1"/>
  <c r="G95" i="42" s="1"/>
  <c r="M91" i="42"/>
  <c r="L91" i="42"/>
  <c r="M90" i="42"/>
  <c r="L90" i="42"/>
  <c r="M89" i="42"/>
  <c r="L89" i="42"/>
  <c r="N89" i="42" s="1"/>
  <c r="M88" i="42"/>
  <c r="N88" i="42" s="1"/>
  <c r="L88" i="42"/>
  <c r="M87" i="42"/>
  <c r="L87" i="42"/>
  <c r="N87" i="42" s="1"/>
  <c r="G87" i="42"/>
  <c r="G88" i="42" s="1"/>
  <c r="G89" i="42" s="1"/>
  <c r="G90" i="42" s="1"/>
  <c r="M86" i="42"/>
  <c r="L86" i="42"/>
  <c r="N86" i="42" s="1"/>
  <c r="M85" i="42"/>
  <c r="L85" i="42"/>
  <c r="M84" i="42"/>
  <c r="L84" i="42"/>
  <c r="M83" i="42"/>
  <c r="L83" i="42"/>
  <c r="N83" i="42" s="1"/>
  <c r="M82" i="42"/>
  <c r="L82" i="42"/>
  <c r="N82" i="42" s="1"/>
  <c r="M81" i="42"/>
  <c r="L81" i="42"/>
  <c r="M80" i="42"/>
  <c r="L80" i="42"/>
  <c r="N80" i="42" s="1"/>
  <c r="M79" i="42"/>
  <c r="L79" i="42"/>
  <c r="N79" i="42" s="1"/>
  <c r="M78" i="42"/>
  <c r="L78" i="42"/>
  <c r="N78" i="42" s="1"/>
  <c r="M77" i="42"/>
  <c r="L77" i="42"/>
  <c r="M76" i="42"/>
  <c r="L76" i="42"/>
  <c r="N76" i="42" s="1"/>
  <c r="M75" i="42"/>
  <c r="L75" i="42"/>
  <c r="N75" i="42" s="1"/>
  <c r="M74" i="42"/>
  <c r="L74" i="42"/>
  <c r="M73" i="42"/>
  <c r="L73" i="42"/>
  <c r="M72" i="42"/>
  <c r="L72" i="42"/>
  <c r="N72" i="42" s="1"/>
  <c r="M71" i="42"/>
  <c r="L71" i="42"/>
  <c r="N71" i="42" s="1"/>
  <c r="M70" i="42"/>
  <c r="L70" i="42"/>
  <c r="N70" i="42" s="1"/>
  <c r="M69" i="42"/>
  <c r="L69" i="42"/>
  <c r="M68" i="42"/>
  <c r="L68" i="42"/>
  <c r="N68" i="42" s="1"/>
  <c r="M67" i="42"/>
  <c r="L67" i="42"/>
  <c r="N67" i="42" s="1"/>
  <c r="M66" i="42"/>
  <c r="L66" i="42"/>
  <c r="N66" i="42" s="1"/>
  <c r="M65" i="42"/>
  <c r="L65" i="42"/>
  <c r="M64" i="42"/>
  <c r="L64" i="42"/>
  <c r="N64" i="42" s="1"/>
  <c r="M63" i="42"/>
  <c r="L63" i="42"/>
  <c r="N63" i="42" s="1"/>
  <c r="M62" i="42"/>
  <c r="L62" i="42"/>
  <c r="N62" i="42" s="1"/>
  <c r="M61" i="42"/>
  <c r="L61" i="42"/>
  <c r="G61" i="42"/>
  <c r="G62" i="42" s="1"/>
  <c r="G63" i="42" s="1"/>
  <c r="G64" i="42" s="1"/>
  <c r="G65" i="42" s="1"/>
  <c r="G66" i="42" s="1"/>
  <c r="G67" i="42" s="1"/>
  <c r="G68" i="42" s="1"/>
  <c r="G69" i="42" s="1"/>
  <c r="G70" i="42" s="1"/>
  <c r="G71" i="42" s="1"/>
  <c r="G72" i="42" s="1"/>
  <c r="G73" i="42" s="1"/>
  <c r="G74" i="42" s="1"/>
  <c r="G75" i="42" s="1"/>
  <c r="G76" i="42" s="1"/>
  <c r="G77" i="42" s="1"/>
  <c r="G78" i="42" s="1"/>
  <c r="G79" i="42" s="1"/>
  <c r="G80" i="42" s="1"/>
  <c r="G81" i="42" s="1"/>
  <c r="G82" i="42" s="1"/>
  <c r="G83" i="42" s="1"/>
  <c r="G84" i="42" s="1"/>
  <c r="G85" i="42" s="1"/>
  <c r="M60" i="42"/>
  <c r="L60" i="42"/>
  <c r="N60" i="42" s="1"/>
  <c r="M59" i="42"/>
  <c r="L59" i="42"/>
  <c r="N59" i="42" s="1"/>
  <c r="M58" i="42"/>
  <c r="L58" i="42"/>
  <c r="M57" i="42"/>
  <c r="L57" i="42"/>
  <c r="N57" i="42" s="1"/>
  <c r="M56" i="42"/>
  <c r="L56" i="42"/>
  <c r="N56" i="42" s="1"/>
  <c r="M55" i="42"/>
  <c r="L55" i="42"/>
  <c r="N55" i="42" s="1"/>
  <c r="N54" i="42"/>
  <c r="M54" i="42"/>
  <c r="L54" i="42"/>
  <c r="G54" i="42"/>
  <c r="G55" i="42" s="1"/>
  <c r="G56" i="42" s="1"/>
  <c r="G57" i="42" s="1"/>
  <c r="G58" i="42" s="1"/>
  <c r="G59" i="42" s="1"/>
  <c r="M53" i="42"/>
  <c r="L53" i="42"/>
  <c r="M52" i="42"/>
  <c r="L52" i="42"/>
  <c r="N52" i="42" s="1"/>
  <c r="M51" i="42"/>
  <c r="L51" i="42"/>
  <c r="N51" i="42" s="1"/>
  <c r="M50" i="42"/>
  <c r="L50" i="42"/>
  <c r="N50" i="42" s="1"/>
  <c r="M49" i="42"/>
  <c r="L49" i="42"/>
  <c r="N49" i="42" s="1"/>
  <c r="M48" i="42"/>
  <c r="L48" i="42"/>
  <c r="N48" i="42" s="1"/>
  <c r="G48" i="42"/>
  <c r="G49" i="42" s="1"/>
  <c r="G50" i="42" s="1"/>
  <c r="G51" i="42" s="1"/>
  <c r="G52" i="42" s="1"/>
  <c r="M47" i="42"/>
  <c r="L47" i="42"/>
  <c r="N47" i="42" s="1"/>
  <c r="M46" i="42"/>
  <c r="L46" i="42"/>
  <c r="M45" i="42"/>
  <c r="L45" i="42"/>
  <c r="N45" i="42" s="1"/>
  <c r="M44" i="42"/>
  <c r="L44" i="42"/>
  <c r="N44" i="42" s="1"/>
  <c r="M43" i="42"/>
  <c r="L43" i="42"/>
  <c r="N43" i="42" s="1"/>
  <c r="M42" i="42"/>
  <c r="L42" i="42"/>
  <c r="N42" i="42" s="1"/>
  <c r="M41" i="42"/>
  <c r="N41" i="42" s="1"/>
  <c r="L41" i="42"/>
  <c r="M40" i="42"/>
  <c r="L40" i="42"/>
  <c r="N39" i="42"/>
  <c r="M39" i="42"/>
  <c r="L39" i="42"/>
  <c r="G39" i="42"/>
  <c r="G40" i="42" s="1"/>
  <c r="G41" i="42" s="1"/>
  <c r="G42" i="42" s="1"/>
  <c r="G43" i="42" s="1"/>
  <c r="G44" i="42" s="1"/>
  <c r="G45" i="42" s="1"/>
  <c r="G46" i="42" s="1"/>
  <c r="N38" i="42"/>
  <c r="M38" i="42"/>
  <c r="L38" i="42"/>
  <c r="M37" i="42"/>
  <c r="L37" i="42"/>
  <c r="N37" i="42" s="1"/>
  <c r="M36" i="42"/>
  <c r="L36" i="42"/>
  <c r="N36" i="42" s="1"/>
  <c r="M35" i="42"/>
  <c r="L35" i="42"/>
  <c r="N35" i="42" s="1"/>
  <c r="M34" i="42"/>
  <c r="L34" i="42"/>
  <c r="N34" i="42" s="1"/>
  <c r="M33" i="42"/>
  <c r="L33" i="42"/>
  <c r="G33" i="42"/>
  <c r="G34" i="42" s="1"/>
  <c r="G35" i="42" s="1"/>
  <c r="G36" i="42" s="1"/>
  <c r="G37" i="42" s="1"/>
  <c r="N32" i="42"/>
  <c r="M32" i="42"/>
  <c r="L32" i="42"/>
  <c r="M31" i="42"/>
  <c r="L31" i="42"/>
  <c r="M30" i="42"/>
  <c r="L30" i="42"/>
  <c r="N30" i="42" s="1"/>
  <c r="M29" i="42"/>
  <c r="L29" i="42"/>
  <c r="G29" i="42"/>
  <c r="G30" i="42" s="1"/>
  <c r="G31" i="42" s="1"/>
  <c r="M28" i="42"/>
  <c r="L28" i="42"/>
  <c r="N28" i="42" s="1"/>
  <c r="G28" i="42"/>
  <c r="M27" i="42"/>
  <c r="L27" i="42"/>
  <c r="N27" i="42" s="1"/>
  <c r="N26" i="42"/>
  <c r="M26" i="42"/>
  <c r="L26" i="42"/>
  <c r="M25" i="42"/>
  <c r="N25" i="42" s="1"/>
  <c r="L25" i="42"/>
  <c r="M24" i="42"/>
  <c r="L24" i="42"/>
  <c r="M23" i="42"/>
  <c r="L23" i="42"/>
  <c r="M22" i="42"/>
  <c r="L22" i="42"/>
  <c r="N22" i="42" s="1"/>
  <c r="G22" i="42"/>
  <c r="G23" i="42" s="1"/>
  <c r="G24" i="42" s="1"/>
  <c r="G25" i="42" s="1"/>
  <c r="G26" i="42" s="1"/>
  <c r="M21" i="42"/>
  <c r="L21" i="42"/>
  <c r="N21" i="42" s="1"/>
  <c r="M20" i="42"/>
  <c r="L20" i="42"/>
  <c r="M19" i="42"/>
  <c r="L19" i="42"/>
  <c r="M18" i="42"/>
  <c r="L18" i="42"/>
  <c r="M17" i="42"/>
  <c r="L17" i="42"/>
  <c r="G17" i="42"/>
  <c r="G18" i="42" s="1"/>
  <c r="G19" i="42" s="1"/>
  <c r="G20" i="42" s="1"/>
  <c r="M16" i="42"/>
  <c r="L16" i="42"/>
  <c r="N16" i="42" s="1"/>
  <c r="M15" i="42"/>
  <c r="L15" i="42"/>
  <c r="N15" i="42" s="1"/>
  <c r="M14" i="42"/>
  <c r="L14" i="42"/>
  <c r="N14" i="42" s="1"/>
  <c r="M13" i="42"/>
  <c r="L13" i="42"/>
  <c r="N13" i="42" s="1"/>
  <c r="G13" i="42"/>
  <c r="G14" i="42" s="1"/>
  <c r="G15" i="42" s="1"/>
  <c r="M12" i="42"/>
  <c r="L12" i="42"/>
  <c r="N12" i="42" s="1"/>
  <c r="M11" i="42"/>
  <c r="L11" i="42"/>
  <c r="M10" i="42"/>
  <c r="L10" i="42"/>
  <c r="N10" i="42" s="1"/>
  <c r="M9" i="42"/>
  <c r="L9" i="42"/>
  <c r="N9" i="42" s="1"/>
  <c r="M8" i="42"/>
  <c r="L8" i="42"/>
  <c r="N8" i="42" s="1"/>
  <c r="M7" i="42"/>
  <c r="L7" i="42"/>
  <c r="G7" i="42"/>
  <c r="G8" i="42" s="1"/>
  <c r="G9" i="42" s="1"/>
  <c r="G10" i="42" s="1"/>
  <c r="G11" i="42" s="1"/>
  <c r="M6" i="42"/>
  <c r="L6" i="42"/>
  <c r="N65" i="42" l="1"/>
  <c r="N276" i="45"/>
  <c r="N172" i="46"/>
  <c r="N68" i="47"/>
  <c r="N77" i="47"/>
  <c r="N17" i="42"/>
  <c r="N40" i="42"/>
  <c r="N66" i="43"/>
  <c r="N173" i="43"/>
  <c r="N182" i="43"/>
  <c r="N14" i="45"/>
  <c r="N54" i="45"/>
  <c r="N177" i="45"/>
  <c r="N307" i="46"/>
  <c r="N317" i="46"/>
  <c r="N363" i="46"/>
  <c r="N372" i="46"/>
  <c r="N12" i="47"/>
  <c r="N18" i="42"/>
  <c r="N33" i="42"/>
  <c r="N94" i="42"/>
  <c r="N22" i="43"/>
  <c r="N67" i="43"/>
  <c r="N76" i="43"/>
  <c r="N138" i="43"/>
  <c r="N147" i="43"/>
  <c r="N165" i="43"/>
  <c r="N174" i="43"/>
  <c r="N183" i="43"/>
  <c r="N191" i="43"/>
  <c r="N245" i="43"/>
  <c r="N48" i="44"/>
  <c r="N15" i="45"/>
  <c r="N65" i="45"/>
  <c r="N148" i="45"/>
  <c r="N203" i="45"/>
  <c r="N41" i="46"/>
  <c r="N120" i="46"/>
  <c r="N156" i="46"/>
  <c r="N236" i="46"/>
  <c r="N246" i="46"/>
  <c r="N280" i="46"/>
  <c r="N290" i="46"/>
  <c r="N318" i="46"/>
  <c r="N336" i="46"/>
  <c r="N354" i="46"/>
  <c r="N400" i="46"/>
  <c r="N410" i="46"/>
  <c r="N23" i="47"/>
  <c r="N93" i="46"/>
  <c r="N6" i="45"/>
  <c r="N42" i="46"/>
  <c r="N51" i="46"/>
  <c r="N228" i="46"/>
  <c r="N291" i="46"/>
  <c r="N300" i="46"/>
  <c r="N355" i="46"/>
  <c r="N365" i="46"/>
  <c r="N411" i="46"/>
  <c r="N420" i="46"/>
  <c r="N11" i="42"/>
  <c r="N20" i="42"/>
  <c r="N96" i="42"/>
  <c r="N14" i="43"/>
  <c r="N51" i="43"/>
  <c r="N60" i="43"/>
  <c r="N86" i="43"/>
  <c r="N95" i="43"/>
  <c r="N149" i="43"/>
  <c r="N239" i="43"/>
  <c r="N7" i="45"/>
  <c r="N47" i="45"/>
  <c r="N57" i="45"/>
  <c r="N75" i="45"/>
  <c r="N129" i="45"/>
  <c r="N142" i="45"/>
  <c r="N232" i="45"/>
  <c r="N241" i="45"/>
  <c r="N251" i="45"/>
  <c r="N260" i="45"/>
  <c r="N269" i="45"/>
  <c r="N15" i="46"/>
  <c r="N33" i="46"/>
  <c r="N43" i="46"/>
  <c r="N112" i="46"/>
  <c r="N122" i="46"/>
  <c r="N130" i="46"/>
  <c r="N139" i="46"/>
  <c r="N148" i="46"/>
  <c r="N229" i="46"/>
  <c r="N282" i="46"/>
  <c r="N328" i="46"/>
  <c r="N338" i="46"/>
  <c r="N366" i="46"/>
  <c r="N384" i="46"/>
  <c r="N402" i="46"/>
  <c r="N61" i="47"/>
  <c r="N99" i="47"/>
  <c r="N108" i="47"/>
  <c r="N217" i="43"/>
  <c r="N38" i="45"/>
  <c r="N173" i="45"/>
  <c r="N71" i="46"/>
  <c r="N283" i="46"/>
  <c r="N293" i="46"/>
  <c r="N339" i="46"/>
  <c r="N348" i="46"/>
  <c r="N403" i="46"/>
  <c r="N413" i="46"/>
  <c r="N62" i="44"/>
  <c r="N10" i="44"/>
  <c r="N156" i="45"/>
  <c r="N44" i="47"/>
  <c r="N34" i="43"/>
  <c r="N29" i="42"/>
  <c r="N53" i="42"/>
  <c r="N61" i="42"/>
  <c r="N97" i="42"/>
  <c r="N6" i="43"/>
  <c r="N35" i="43"/>
  <c r="N44" i="43"/>
  <c r="N70" i="43"/>
  <c r="N97" i="43"/>
  <c r="N133" i="43"/>
  <c r="N186" i="43"/>
  <c r="N39" i="45"/>
  <c r="N87" i="45"/>
  <c r="N123" i="45"/>
  <c r="N197" i="45"/>
  <c r="N281" i="45"/>
  <c r="N319" i="45"/>
  <c r="N63" i="46"/>
  <c r="N72" i="46"/>
  <c r="N106" i="46"/>
  <c r="N168" i="46"/>
  <c r="N231" i="46"/>
  <c r="N240" i="46"/>
  <c r="N294" i="46"/>
  <c r="N330" i="46"/>
  <c r="N376" i="46"/>
  <c r="N386" i="46"/>
  <c r="N414" i="46"/>
  <c r="N17" i="47"/>
  <c r="N84" i="46"/>
  <c r="N77" i="42"/>
  <c r="N187" i="43"/>
  <c r="N36" i="44"/>
  <c r="N97" i="45"/>
  <c r="N166" i="45"/>
  <c r="N282" i="45"/>
  <c r="N311" i="45"/>
  <c r="N329" i="45"/>
  <c r="N18" i="46"/>
  <c r="N81" i="46"/>
  <c r="N169" i="46"/>
  <c r="N178" i="46"/>
  <c r="N222" i="46"/>
  <c r="N27" i="47"/>
  <c r="N64" i="47"/>
  <c r="N120" i="47"/>
  <c r="N129" i="47"/>
  <c r="N139" i="47"/>
  <c r="N18" i="44"/>
  <c r="N316" i="45"/>
  <c r="N60" i="47"/>
  <c r="N26" i="44"/>
  <c r="N309" i="45"/>
  <c r="N79" i="46"/>
  <c r="N53" i="47"/>
  <c r="N81" i="42"/>
  <c r="N63" i="43"/>
  <c r="N72" i="43"/>
  <c r="N107" i="43"/>
  <c r="N125" i="43"/>
  <c r="N178" i="43"/>
  <c r="N52" i="44"/>
  <c r="N30" i="45"/>
  <c r="N181" i="45"/>
  <c r="N187" i="46"/>
  <c r="N232" i="46"/>
  <c r="N276" i="46"/>
  <c r="N331" i="46"/>
  <c r="N387" i="46"/>
  <c r="N396" i="46"/>
  <c r="N21" i="43"/>
  <c r="N266" i="45"/>
  <c r="N13" i="43"/>
  <c r="N19" i="42"/>
  <c r="N261" i="45"/>
  <c r="N62" i="43"/>
  <c r="N6" i="42"/>
  <c r="N23" i="42"/>
  <c r="N46" i="42"/>
  <c r="N91" i="42"/>
  <c r="N99" i="42"/>
  <c r="N18" i="43"/>
  <c r="N28" i="43"/>
  <c r="N54" i="43"/>
  <c r="N99" i="43"/>
  <c r="N117" i="43"/>
  <c r="N126" i="43"/>
  <c r="N135" i="43"/>
  <c r="N143" i="43"/>
  <c r="N6" i="44"/>
  <c r="N14" i="44"/>
  <c r="N60" i="44"/>
  <c r="N31" i="45"/>
  <c r="N125" i="45"/>
  <c r="N138" i="45"/>
  <c r="N217" i="45"/>
  <c r="N227" i="45"/>
  <c r="N197" i="46"/>
  <c r="N233" i="46"/>
  <c r="N242" i="46"/>
  <c r="N268" i="46"/>
  <c r="N304" i="46"/>
  <c r="N314" i="46"/>
  <c r="N342" i="46"/>
  <c r="N360" i="46"/>
  <c r="N378" i="46"/>
  <c r="N9" i="47"/>
  <c r="N19" i="47"/>
  <c r="N37" i="47"/>
  <c r="N140" i="47"/>
  <c r="N229" i="43"/>
  <c r="N30" i="43"/>
  <c r="N91" i="45"/>
  <c r="N229" i="45"/>
  <c r="N31" i="42"/>
  <c r="N73" i="42"/>
  <c r="N9" i="43"/>
  <c r="N46" i="43"/>
  <c r="N42" i="45"/>
  <c r="N108" i="45"/>
  <c r="N146" i="45"/>
  <c r="N152" i="45"/>
  <c r="N159" i="45"/>
  <c r="N200" i="45"/>
  <c r="N284" i="45"/>
  <c r="N293" i="45"/>
  <c r="N28" i="46"/>
  <c r="N188" i="46"/>
  <c r="N260" i="46"/>
  <c r="N407" i="46"/>
  <c r="N29" i="47"/>
  <c r="N84" i="47"/>
  <c r="N94" i="47"/>
  <c r="N122" i="47"/>
  <c r="N12" i="46"/>
  <c r="N58" i="42"/>
  <c r="N70" i="47"/>
  <c r="N46" i="45"/>
  <c r="N105" i="42"/>
  <c r="N78" i="43"/>
  <c r="N149" i="46"/>
  <c r="N137" i="47"/>
  <c r="N90" i="42"/>
  <c r="N17" i="43"/>
  <c r="N160" i="43"/>
  <c r="N24" i="42"/>
  <c r="N74" i="42"/>
  <c r="N84" i="42"/>
  <c r="N92" i="42"/>
  <c r="N101" i="42"/>
  <c r="N20" i="43"/>
  <c r="N47" i="43"/>
  <c r="N56" i="43"/>
  <c r="N82" i="43"/>
  <c r="N109" i="43"/>
  <c r="N197" i="43"/>
  <c r="N251" i="43"/>
  <c r="N38" i="44"/>
  <c r="N22" i="45"/>
  <c r="N294" i="45"/>
  <c r="N11" i="46"/>
  <c r="N39" i="46"/>
  <c r="N135" i="46"/>
  <c r="N189" i="46"/>
  <c r="N243" i="46"/>
  <c r="N315" i="46"/>
  <c r="N324" i="46"/>
  <c r="N85" i="42"/>
  <c r="N257" i="45"/>
  <c r="N112" i="43"/>
  <c r="N237" i="46"/>
  <c r="N50" i="43"/>
  <c r="N69" i="42"/>
  <c r="N176" i="46"/>
  <c r="N7" i="42"/>
  <c r="N83" i="43"/>
  <c r="N101" i="43"/>
  <c r="N145" i="43"/>
  <c r="N181" i="43"/>
  <c r="N205" i="43"/>
  <c r="N213" i="43"/>
  <c r="N16" i="44"/>
  <c r="N23" i="45"/>
  <c r="N63" i="45"/>
  <c r="N109" i="45"/>
  <c r="N118" i="45"/>
  <c r="N126" i="45"/>
  <c r="N133" i="45"/>
  <c r="N153" i="45"/>
  <c r="N210" i="45"/>
  <c r="N247" i="45"/>
  <c r="N48" i="46"/>
  <c r="N58" i="46"/>
  <c r="N118" i="46"/>
  <c r="N127" i="46"/>
  <c r="N136" i="46"/>
  <c r="N145" i="46"/>
  <c r="N154" i="46"/>
  <c r="N163" i="46"/>
  <c r="N199" i="46"/>
  <c r="N306" i="46"/>
  <c r="N352" i="46"/>
  <c r="N362" i="46"/>
  <c r="N390" i="46"/>
  <c r="N11" i="47"/>
  <c r="N85" i="47"/>
  <c r="N114" i="47"/>
  <c r="N123" i="47"/>
  <c r="N132" i="47"/>
  <c r="N52" i="45"/>
  <c r="N270" i="45"/>
  <c r="N13" i="46"/>
  <c r="N131" i="43"/>
  <c r="N179" i="43"/>
  <c r="N227" i="43"/>
  <c r="N24" i="44"/>
  <c r="N140" i="45"/>
  <c r="N265" i="45"/>
  <c r="N299" i="45"/>
  <c r="N127" i="43"/>
  <c r="N175" i="43"/>
  <c r="N223" i="43"/>
  <c r="N20" i="44"/>
  <c r="N69" i="46"/>
  <c r="N333" i="45"/>
  <c r="N115" i="43"/>
  <c r="N163" i="43"/>
  <c r="N211" i="43"/>
  <c r="N8" i="44"/>
  <c r="N19" i="45"/>
  <c r="N110" i="45"/>
  <c r="N32" i="46"/>
  <c r="N111" i="43"/>
  <c r="N159" i="43"/>
  <c r="N207" i="43"/>
  <c r="N255" i="43"/>
  <c r="N234" i="45"/>
  <c r="N103" i="43"/>
  <c r="N151" i="43"/>
  <c r="N199" i="43"/>
  <c r="N247" i="43"/>
  <c r="N44" i="44"/>
  <c r="N314" i="45"/>
  <c r="N50" i="46"/>
  <c r="N237" i="45"/>
  <c r="N252" i="45"/>
  <c r="N277" i="45"/>
  <c r="N52" i="46"/>
  <c r="N131" i="46"/>
  <c r="N140" i="46"/>
  <c r="N196" i="46"/>
  <c r="N60" i="45"/>
  <c r="N76" i="45"/>
  <c r="N92" i="45"/>
  <c r="N20" i="46"/>
  <c r="N99" i="46"/>
  <c r="N108" i="46"/>
  <c r="N164" i="46"/>
  <c r="N252" i="46"/>
  <c r="N275" i="46"/>
  <c r="N299" i="46"/>
  <c r="N323" i="46"/>
  <c r="N347" i="46"/>
  <c r="N371" i="46"/>
  <c r="N395" i="46"/>
  <c r="N419" i="46"/>
  <c r="N28" i="47"/>
  <c r="N52" i="47"/>
  <c r="N76" i="47"/>
  <c r="N100" i="47"/>
  <c r="N124" i="47"/>
  <c r="N8" i="45"/>
  <c r="N13" i="45"/>
  <c r="N24" i="45"/>
  <c r="N29" i="45"/>
  <c r="N40" i="45"/>
  <c r="N45" i="45"/>
  <c r="N61" i="45"/>
  <c r="N72" i="45"/>
  <c r="N77" i="45"/>
  <c r="N88" i="45"/>
  <c r="N93" i="45"/>
  <c r="N104" i="45"/>
  <c r="N139" i="45"/>
  <c r="N157" i="45"/>
  <c r="N162" i="45"/>
  <c r="N171" i="45"/>
  <c r="N175" i="45"/>
  <c r="N179" i="45"/>
  <c r="N183" i="45"/>
  <c r="N213" i="45"/>
  <c r="N253" i="45"/>
  <c r="N268" i="45"/>
  <c r="N288" i="45"/>
  <c r="N317" i="45"/>
  <c r="N327" i="45"/>
  <c r="N67" i="46"/>
  <c r="N76" i="46"/>
  <c r="N132" i="46"/>
  <c r="N183" i="46"/>
  <c r="N206" i="46"/>
  <c r="N259" i="45"/>
  <c r="N298" i="45"/>
  <c r="N31" i="46"/>
  <c r="N35" i="46"/>
  <c r="N44" i="46"/>
  <c r="N49" i="46"/>
  <c r="N86" i="46"/>
  <c r="N100" i="46"/>
  <c r="N151" i="46"/>
  <c r="N174" i="46"/>
  <c r="N281" i="46"/>
  <c r="N286" i="46"/>
  <c r="N305" i="46"/>
  <c r="N310" i="46"/>
  <c r="N329" i="46"/>
  <c r="N334" i="46"/>
  <c r="N353" i="46"/>
  <c r="N358" i="46"/>
  <c r="N377" i="46"/>
  <c r="N382" i="46"/>
  <c r="N401" i="46"/>
  <c r="N406" i="46"/>
  <c r="N10" i="47"/>
  <c r="N15" i="47"/>
  <c r="N34" i="47"/>
  <c r="N39" i="47"/>
  <c r="N58" i="47"/>
  <c r="N63" i="47"/>
  <c r="N82" i="47"/>
  <c r="N87" i="47"/>
  <c r="N106" i="47"/>
  <c r="N111" i="47"/>
  <c r="N130" i="47"/>
  <c r="N135" i="47"/>
  <c r="N9" i="45"/>
  <c r="N25" i="45"/>
  <c r="N41" i="45"/>
  <c r="N62" i="45"/>
  <c r="N67" i="45"/>
  <c r="N78" i="45"/>
  <c r="N94" i="45"/>
  <c r="N124" i="45"/>
  <c r="N132" i="45"/>
  <c r="N143" i="45"/>
  <c r="N172" i="45"/>
  <c r="N176" i="45"/>
  <c r="N180" i="45"/>
  <c r="N184" i="45"/>
  <c r="N199" i="45"/>
  <c r="N219" i="45"/>
  <c r="N224" i="45"/>
  <c r="N239" i="45"/>
  <c r="N274" i="45"/>
  <c r="N279" i="45"/>
  <c r="N304" i="45"/>
  <c r="N328" i="45"/>
  <c r="N17" i="46"/>
  <c r="N54" i="46"/>
  <c r="N119" i="46"/>
  <c r="N142" i="46"/>
  <c r="N87" i="46"/>
  <c r="N110" i="46"/>
  <c r="N249" i="46"/>
  <c r="N254" i="46"/>
  <c r="N68" i="45"/>
  <c r="N84" i="45"/>
  <c r="N100" i="45"/>
  <c r="N116" i="45"/>
  <c r="N155" i="45"/>
  <c r="N205" i="45"/>
  <c r="N245" i="45"/>
  <c r="N250" i="45"/>
  <c r="N92" i="46"/>
  <c r="N212" i="46"/>
  <c r="N259" i="46"/>
  <c r="N292" i="46"/>
  <c r="N316" i="46"/>
  <c r="N340" i="46"/>
  <c r="N364" i="46"/>
  <c r="N388" i="46"/>
  <c r="N412" i="46"/>
  <c r="N21" i="47"/>
  <c r="N45" i="47"/>
  <c r="N69" i="47"/>
  <c r="N93" i="47"/>
  <c r="N117" i="47"/>
  <c r="N16" i="45"/>
  <c r="N21" i="45"/>
  <c r="N32" i="45"/>
  <c r="N37" i="45"/>
  <c r="N48" i="45"/>
  <c r="N53" i="45"/>
  <c r="N64" i="45"/>
  <c r="N69" i="45"/>
  <c r="N80" i="45"/>
  <c r="N85" i="45"/>
  <c r="N96" i="45"/>
  <c r="N101" i="45"/>
  <c r="N111" i="45"/>
  <c r="N117" i="45"/>
  <c r="N121" i="45"/>
  <c r="N137" i="45"/>
  <c r="N190" i="45"/>
  <c r="N206" i="45"/>
  <c r="N216" i="45"/>
  <c r="N256" i="45"/>
  <c r="N285" i="45"/>
  <c r="N295" i="45"/>
  <c r="N300" i="45"/>
  <c r="N320" i="45"/>
  <c r="N14" i="46"/>
  <c r="N60" i="46"/>
  <c r="N153" i="46"/>
  <c r="N180" i="46"/>
  <c r="N190" i="46"/>
  <c r="N36" i="47"/>
  <c r="N17" i="45"/>
  <c r="N33" i="45"/>
  <c r="N49" i="45"/>
  <c r="N59" i="45"/>
  <c r="N70" i="45"/>
  <c r="N86" i="45"/>
  <c r="N102" i="45"/>
  <c r="N122" i="45"/>
  <c r="N134" i="45"/>
  <c r="N149" i="45"/>
  <c r="N160" i="45"/>
  <c r="N170" i="45"/>
  <c r="N174" i="45"/>
  <c r="N178" i="45"/>
  <c r="N182" i="45"/>
  <c r="N191" i="45"/>
  <c r="N196" i="45"/>
  <c r="N221" i="45"/>
  <c r="N231" i="45"/>
  <c r="N236" i="45"/>
  <c r="N291" i="45"/>
  <c r="N296" i="45"/>
  <c r="N301" i="45"/>
  <c r="N325" i="45"/>
  <c r="N89" i="46"/>
  <c r="N116" i="46"/>
  <c r="N126" i="46"/>
  <c r="N191" i="46"/>
  <c r="N195" i="46"/>
  <c r="N204" i="46"/>
  <c r="N209" i="46"/>
  <c r="N270" i="46"/>
  <c r="N47" i="47"/>
  <c r="N71" i="47"/>
  <c r="N95" i="47"/>
  <c r="N109" i="47"/>
  <c r="N133" i="47"/>
  <c r="N255" i="45"/>
  <c r="N144" i="45"/>
  <c r="N165" i="45"/>
  <c r="N207" i="45"/>
  <c r="N271" i="45"/>
  <c r="N113" i="45"/>
  <c r="N169" i="45"/>
  <c r="N195" i="45"/>
  <c r="N223" i="45"/>
  <c r="N287" i="45"/>
  <c r="N145" i="45"/>
  <c r="N211" i="45"/>
  <c r="N263" i="45"/>
  <c r="N6" i="46"/>
  <c r="N38" i="46"/>
  <c r="N70" i="46"/>
  <c r="N102" i="46"/>
  <c r="N134" i="46"/>
  <c r="N166" i="46"/>
  <c r="N198" i="46"/>
  <c r="N230" i="46"/>
  <c r="Y1" i="31" l="1"/>
</calcChain>
</file>

<file path=xl/comments1.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10"/>
            <color indexed="81"/>
            <rFont val="맑은 고딕"/>
            <family val="3"/>
            <charset val="129"/>
          </rPr>
          <t xml:space="preserve">사업구분- RFP-RFP번호-담당파트약자-아이디구분번호
예시) LXDT2_SFR_001_AD_001
</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V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Y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2.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10"/>
            <color indexed="81"/>
            <rFont val="맑은 고딕"/>
            <family val="3"/>
            <charset val="129"/>
          </rPr>
          <t xml:space="preserve">사업구분- RFP-RFP번호-담당파트약자-아이디구분번호
예시) LXDT2_SFR_001_AD_001
</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V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Y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3.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10"/>
            <color indexed="81"/>
            <rFont val="맑은 고딕"/>
            <family val="3"/>
            <charset val="129"/>
          </rPr>
          <t xml:space="preserve">사업구분- RFP-RFP번호-담당파트약자-아이디구분번호
예시) LXDT2_SFR_001_AD_001
</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V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Y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4.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10"/>
            <color indexed="81"/>
            <rFont val="맑은 고딕"/>
            <family val="3"/>
            <charset val="129"/>
          </rPr>
          <t xml:space="preserve">사업구분- RFP-RFP번호-담당파트약자-아이디구분번호
예시) LXDT2_SFR_001_AD_001
</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V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Y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5.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10"/>
            <color indexed="81"/>
            <rFont val="맑은 고딕"/>
            <family val="3"/>
            <charset val="129"/>
          </rPr>
          <t xml:space="preserve">사업구분- RFP-RFP번호-담당파트약자-아이디구분번호
예시) LXDT2_SFR_001_AD_001
</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U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V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Y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6.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9"/>
            <color indexed="81"/>
            <rFont val="돋움"/>
            <family val="3"/>
            <charset val="129"/>
          </rPr>
          <t>기능구분</t>
        </r>
        <r>
          <rPr>
            <sz val="9"/>
            <color indexed="81"/>
            <rFont val="Tahoma"/>
            <family val="2"/>
          </rPr>
          <t>)–(</t>
        </r>
        <r>
          <rPr>
            <sz val="9"/>
            <color indexed="81"/>
            <rFont val="돋움"/>
            <family val="3"/>
            <charset val="129"/>
          </rPr>
          <t>업무</t>
        </r>
        <r>
          <rPr>
            <sz val="9"/>
            <color indexed="81"/>
            <rFont val="Tahoma"/>
            <family val="2"/>
          </rPr>
          <t>ID)–(Serial-No(3</t>
        </r>
        <r>
          <rPr>
            <sz val="9"/>
            <color indexed="81"/>
            <rFont val="돋움"/>
            <family val="3"/>
            <charset val="129"/>
          </rPr>
          <t>자리</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구분은</t>
        </r>
        <r>
          <rPr>
            <sz val="9"/>
            <color indexed="81"/>
            <rFont val="Tahoma"/>
            <family val="2"/>
          </rPr>
          <t xml:space="preserve"> </t>
        </r>
        <r>
          <rPr>
            <sz val="9"/>
            <color indexed="81"/>
            <rFont val="돋움"/>
            <family val="3"/>
            <charset val="129"/>
          </rPr>
          <t>기능</t>
        </r>
        <r>
          <rPr>
            <sz val="9"/>
            <color indexed="81"/>
            <rFont val="Tahoma"/>
            <family val="2"/>
          </rPr>
          <t xml:space="preserve">(SFR), </t>
        </r>
        <r>
          <rPr>
            <sz val="9"/>
            <color indexed="81"/>
            <rFont val="돋움"/>
            <family val="3"/>
            <charset val="129"/>
          </rPr>
          <t>비기능</t>
        </r>
        <r>
          <rPr>
            <sz val="9"/>
            <color indexed="81"/>
            <rFont val="Tahoma"/>
            <family val="2"/>
          </rPr>
          <t>(NFR)</t>
        </r>
        <r>
          <rPr>
            <sz val="9"/>
            <color indexed="81"/>
            <rFont val="돋움"/>
            <family val="3"/>
            <charset val="129"/>
          </rPr>
          <t>로</t>
        </r>
        <r>
          <rPr>
            <sz val="9"/>
            <color indexed="81"/>
            <rFont val="Tahoma"/>
            <family val="2"/>
          </rPr>
          <t xml:space="preserve"> </t>
        </r>
        <r>
          <rPr>
            <sz val="9"/>
            <color indexed="81"/>
            <rFont val="돋움"/>
            <family val="3"/>
            <charset val="129"/>
          </rPr>
          <t>구분한다</t>
        </r>
        <r>
          <rPr>
            <sz val="9"/>
            <color indexed="81"/>
            <rFont val="Tahoma"/>
            <family val="2"/>
          </rPr>
          <t xml:space="preserve">.
 </t>
        </r>
        <r>
          <rPr>
            <sz val="9"/>
            <color indexed="81"/>
            <rFont val="돋움"/>
            <family val="3"/>
            <charset val="129"/>
          </rPr>
          <t>기능구분</t>
        </r>
        <r>
          <rPr>
            <sz val="9"/>
            <color indexed="81"/>
            <rFont val="Tahoma"/>
            <family val="2"/>
          </rPr>
          <t xml:space="preserve"> + </t>
        </r>
        <r>
          <rPr>
            <sz val="9"/>
            <color indexed="81"/>
            <rFont val="돋움"/>
            <family val="3"/>
            <charset val="129"/>
          </rPr>
          <t>대분류</t>
        </r>
        <r>
          <rPr>
            <sz val="9"/>
            <color indexed="81"/>
            <rFont val="Tahoma"/>
            <family val="2"/>
          </rPr>
          <t xml:space="preserve"> + </t>
        </r>
        <r>
          <rPr>
            <sz val="9"/>
            <color indexed="81"/>
            <rFont val="돋움"/>
            <family val="3"/>
            <charset val="129"/>
          </rPr>
          <t>중분류</t>
        </r>
        <r>
          <rPr>
            <sz val="9"/>
            <color indexed="81"/>
            <rFont val="Tahoma"/>
            <family val="2"/>
          </rPr>
          <t xml:space="preserve"> + </t>
        </r>
        <r>
          <rPr>
            <sz val="9"/>
            <color indexed="81"/>
            <rFont val="돋움"/>
            <family val="3"/>
            <charset val="129"/>
          </rPr>
          <t>소분류</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F5" authorId="0" shapeId="0">
      <text>
        <r>
          <rPr>
            <b/>
            <sz val="9"/>
            <color indexed="81"/>
            <rFont val="Tahoma"/>
            <family val="2"/>
          </rPr>
          <t>disc:</t>
        </r>
        <r>
          <rPr>
            <sz val="9"/>
            <color indexed="81"/>
            <rFont val="Tahoma"/>
            <family val="2"/>
          </rPr>
          <t xml:space="preserve">
RFP, </t>
        </r>
        <r>
          <rPr>
            <sz val="9"/>
            <color indexed="81"/>
            <rFont val="돋움"/>
            <family val="3"/>
            <charset val="129"/>
          </rPr>
          <t>기술협상</t>
        </r>
        <r>
          <rPr>
            <sz val="9"/>
            <color indexed="81"/>
            <rFont val="Tahoma"/>
            <family val="2"/>
          </rPr>
          <t xml:space="preserve">, </t>
        </r>
        <r>
          <rPr>
            <sz val="9"/>
            <color indexed="81"/>
            <rFont val="돋움"/>
            <family val="3"/>
            <charset val="129"/>
          </rPr>
          <t>인터뷰</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출처</t>
        </r>
        <r>
          <rPr>
            <sz val="9"/>
            <color indexed="81"/>
            <rFont val="Tahoma"/>
            <family val="2"/>
          </rPr>
          <t xml:space="preserve"> </t>
        </r>
        <r>
          <rPr>
            <sz val="9"/>
            <color indexed="81"/>
            <rFont val="돋움"/>
            <family val="3"/>
            <charset val="129"/>
          </rPr>
          <t>명시</t>
        </r>
      </text>
    </comment>
    <comment ref="N5" authorId="0" shapeId="0">
      <text>
        <r>
          <rPr>
            <b/>
            <sz val="9"/>
            <color indexed="81"/>
            <rFont val="Tahoma"/>
            <family val="2"/>
          </rPr>
          <t>disc:</t>
        </r>
        <r>
          <rPr>
            <sz val="9"/>
            <color indexed="81"/>
            <rFont val="Tahoma"/>
            <family val="2"/>
          </rPr>
          <t xml:space="preserve">
</t>
        </r>
        <r>
          <rPr>
            <sz val="9"/>
            <color indexed="81"/>
            <rFont val="돋움"/>
            <family val="3"/>
            <charset val="129"/>
          </rPr>
          <t>구현</t>
        </r>
        <r>
          <rPr>
            <sz val="9"/>
            <color indexed="81"/>
            <rFont val="Tahoma"/>
            <family val="2"/>
          </rPr>
          <t xml:space="preserve"> </t>
        </r>
        <r>
          <rPr>
            <sz val="9"/>
            <color indexed="81"/>
            <rFont val="돋움"/>
            <family val="3"/>
            <charset val="129"/>
          </rPr>
          <t>방안에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P5" authorId="0" shapeId="0">
      <text>
        <r>
          <rPr>
            <b/>
            <sz val="9"/>
            <color indexed="81"/>
            <rFont val="Tahoma"/>
            <family val="2"/>
          </rPr>
          <t>disc:</t>
        </r>
        <r>
          <rPr>
            <sz val="9"/>
            <color indexed="81"/>
            <rFont val="Tahoma"/>
            <family val="2"/>
          </rPr>
          <t xml:space="preserve">
</t>
        </r>
        <r>
          <rPr>
            <sz val="9"/>
            <color indexed="81"/>
            <rFont val="돋움"/>
            <family val="3"/>
            <charset val="129"/>
          </rPr>
          <t>조사과정에서</t>
        </r>
        <r>
          <rPr>
            <sz val="9"/>
            <color indexed="81"/>
            <rFont val="Tahoma"/>
            <family val="2"/>
          </rPr>
          <t xml:space="preserve"> </t>
        </r>
        <r>
          <rPr>
            <sz val="9"/>
            <color indexed="81"/>
            <rFont val="돋움"/>
            <family val="3"/>
            <charset val="129"/>
          </rPr>
          <t>발생된</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현안</t>
        </r>
        <r>
          <rPr>
            <sz val="9"/>
            <color indexed="81"/>
            <rFont val="Tahoma"/>
            <family val="2"/>
          </rPr>
          <t xml:space="preserve"> </t>
        </r>
        <r>
          <rPr>
            <sz val="9"/>
            <color indexed="81"/>
            <rFont val="돋움"/>
            <family val="3"/>
            <charset val="129"/>
          </rPr>
          <t>정리</t>
        </r>
      </text>
    </comment>
    <comment ref="Q5" authorId="0" shapeId="0">
      <text>
        <r>
          <rPr>
            <b/>
            <sz val="9"/>
            <color indexed="81"/>
            <rFont val="Tahoma"/>
            <family val="2"/>
          </rPr>
          <t>disc:</t>
        </r>
        <r>
          <rPr>
            <sz val="9"/>
            <color indexed="81"/>
            <rFont val="Tahoma"/>
            <family val="2"/>
          </rPr>
          <t xml:space="preserve">
</t>
        </r>
        <r>
          <rPr>
            <sz val="9"/>
            <color indexed="81"/>
            <rFont val="돋움"/>
            <family val="3"/>
            <charset val="129"/>
          </rPr>
          <t>수용</t>
        </r>
        <r>
          <rPr>
            <sz val="9"/>
            <color indexed="81"/>
            <rFont val="Tahoma"/>
            <family val="2"/>
          </rPr>
          <t>/</t>
        </r>
        <r>
          <rPr>
            <sz val="9"/>
            <color indexed="81"/>
            <rFont val="돋움"/>
            <family val="3"/>
            <charset val="129"/>
          </rPr>
          <t>미수용</t>
        </r>
        <r>
          <rPr>
            <sz val="9"/>
            <color indexed="81"/>
            <rFont val="Tahoma"/>
            <family val="2"/>
          </rPr>
          <t>/</t>
        </r>
        <r>
          <rPr>
            <sz val="9"/>
            <color indexed="81"/>
            <rFont val="돋움"/>
            <family val="3"/>
            <charset val="129"/>
          </rPr>
          <t>보류</t>
        </r>
      </text>
    </comment>
    <comment ref="R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S5" authorId="0" shapeId="0">
      <text>
        <r>
          <rPr>
            <b/>
            <sz val="9"/>
            <color indexed="81"/>
            <rFont val="Tahoma"/>
            <family val="2"/>
          </rPr>
          <t>disc:</t>
        </r>
        <r>
          <rPr>
            <sz val="9"/>
            <color indexed="81"/>
            <rFont val="Tahoma"/>
            <family val="2"/>
          </rPr>
          <t xml:space="preserve">
</t>
        </r>
        <r>
          <rPr>
            <sz val="9"/>
            <color indexed="81"/>
            <rFont val="돋움"/>
            <family val="3"/>
            <charset val="129"/>
          </rPr>
          <t>상</t>
        </r>
        <r>
          <rPr>
            <sz val="9"/>
            <color indexed="81"/>
            <rFont val="Tahoma"/>
            <family val="2"/>
          </rPr>
          <t>/</t>
        </r>
        <r>
          <rPr>
            <sz val="9"/>
            <color indexed="81"/>
            <rFont val="돋움"/>
            <family val="3"/>
            <charset val="129"/>
          </rPr>
          <t>중</t>
        </r>
        <r>
          <rPr>
            <sz val="9"/>
            <color indexed="81"/>
            <rFont val="Tahoma"/>
            <family val="2"/>
          </rPr>
          <t>/</t>
        </r>
        <r>
          <rPr>
            <sz val="9"/>
            <color indexed="81"/>
            <rFont val="돋움"/>
            <family val="3"/>
            <charset val="129"/>
          </rPr>
          <t>하</t>
        </r>
      </text>
    </comment>
    <comment ref="T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U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X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sharedStrings.xml><?xml version="1.0" encoding="utf-8"?>
<sst xmlns="http://schemas.openxmlformats.org/spreadsheetml/2006/main" count="22984" uniqueCount="6759">
  <si>
    <t>작성자</t>
    <phoneticPr fontId="15" type="noConversion"/>
  </si>
  <si>
    <t>변경일</t>
    <phoneticPr fontId="15" type="noConversion"/>
  </si>
  <si>
    <t>요구사항ID</t>
    <phoneticPr fontId="23" type="noConversion"/>
  </si>
  <si>
    <t>중요도</t>
    <phoneticPr fontId="23" type="noConversion"/>
  </si>
  <si>
    <t>상태</t>
    <phoneticPr fontId="23" type="noConversion"/>
  </si>
  <si>
    <t>해결안</t>
    <phoneticPr fontId="23" type="noConversion"/>
  </si>
  <si>
    <t>이슈사항</t>
    <phoneticPr fontId="23" type="noConversion"/>
  </si>
  <si>
    <t>요구사항
관련자</t>
    <phoneticPr fontId="23" type="noConversion"/>
  </si>
  <si>
    <t>RFP</t>
  </si>
  <si>
    <t>변경 근거 및 이력</t>
  </si>
  <si>
    <t>상</t>
    <phoneticPr fontId="0" type="noConversion"/>
  </si>
  <si>
    <t>Page</t>
  </si>
  <si>
    <t>기술협상</t>
  </si>
  <si>
    <t>RFP
요구사항ID</t>
    <phoneticPr fontId="0" type="noConversion"/>
  </si>
  <si>
    <t>출처</t>
    <phoneticPr fontId="0" type="noConversion"/>
  </si>
  <si>
    <t>요구사항명</t>
    <phoneticPr fontId="23" type="noConversion"/>
  </si>
  <si>
    <t>수용</t>
    <phoneticPr fontId="0" type="noConversion"/>
  </si>
  <si>
    <t>기타</t>
    <phoneticPr fontId="0" type="noConversion"/>
  </si>
  <si>
    <t>담당</t>
    <phoneticPr fontId="39" type="noConversion"/>
  </si>
  <si>
    <t>변경관리</t>
    <phoneticPr fontId="15" type="noConversion"/>
  </si>
  <si>
    <t>제안서 목차</t>
    <phoneticPr fontId="39" type="noConversion"/>
  </si>
  <si>
    <t>요구사항 설명</t>
    <phoneticPr fontId="23" type="noConversion"/>
  </si>
  <si>
    <t>상</t>
    <phoneticPr fontId="15" type="noConversion"/>
  </si>
  <si>
    <t>하</t>
  </si>
  <si>
    <t>PMR-001</t>
    <phoneticPr fontId="0" type="noConversion"/>
  </si>
  <si>
    <t>PER-001</t>
  </si>
  <si>
    <t>PER-001</t>
    <phoneticPr fontId="0" type="noConversion"/>
  </si>
  <si>
    <t>PER-002</t>
    <phoneticPr fontId="0" type="noConversion"/>
  </si>
  <si>
    <t>성능 일반 요구사항 정의
  · 사업대상 시스템의 성능을 고려한 개발 방안 제시
  · 대상 시스템의 안정적 운영 지원 및 사용자 지원 방안 제시
 사업대상 시스템의 성능을 고려한 개발 방안 제시
  · 목표 시스템에 대하여 안정적 운영지원 및 사용자 지원 방안을 제시하고, 향후 확장성, 호환성, 유연성 등을 충분히 고려한 개발 방안을 제시
  · 시스템 개발 중 로그 또는 툴(도구)을 이용하여 시스템 성능상태를 모니터링하며 문제를 미리 파악하여 조치한 후 시스템 오픈
 성능 일반 사항
  · 목표 시스템의 성능은 시스템에 대한 각각의 이해당사자별 관점으로 구분하여 성능, 운용, 사용자 편리성 등 다양한 요구사항들을 충족시킬 수 있는 방안을 제시
  · 시스템 구축 이후 시스템 성능 보장을 위해 성능 테스트(계획서,  결과서를 통한 명시적인 기능요건 충족여부 확인용) 및 성능개선 작업을 실시해야 하며, 이에 대한 계획을 구체적으로 제시</t>
    <phoneticPr fontId="0" type="noConversion"/>
  </si>
  <si>
    <t>성능 일반 요구사항 정의_공통</t>
    <phoneticPr fontId="0" type="noConversion"/>
  </si>
  <si>
    <t>응답시간_시스템 응답시간</t>
    <phoneticPr fontId="0" type="noConversion"/>
  </si>
  <si>
    <t>응답시간_배치성 업무 응답시간</t>
    <phoneticPr fontId="0" type="noConversion"/>
  </si>
  <si>
    <t>응답시간_오류 응답시간</t>
    <phoneticPr fontId="0" type="noConversion"/>
  </si>
  <si>
    <t>시스템 응답시간
  · 요청(검색결과) 응답시간은 사용자가 요청한 시간으로부터 3초 이내에 최초 결과 값을 보여줘야 함
   ※ 예외사항 : 대량의 데이터에 대한 검색요청, 대량의 BATCH성 작업요청 및 한 개 이상의 큰이미지(500KB이상) 혹은 동영상을 가지고 있는 화면에 적용되지 않음</t>
    <phoneticPr fontId="0" type="noConversion"/>
  </si>
  <si>
    <t>배치성 업무 응답시간 목표 정의
  · 일일 배치 업무는 10분, 월 배치 업무는 1시간 내 처리
   ※ 예외사항 : 임의의 선택 기준이 허용되는 대량의 데이터 처리에는 적용되지 않음</t>
    <phoneticPr fontId="0" type="noConversion"/>
  </si>
  <si>
    <t>36~37</t>
    <phoneticPr fontId="0" type="noConversion"/>
  </si>
  <si>
    <t>오류 응답시간
  · 등록, 오류 등 메시지는 사용자가 인지하여 즉시 조치할 수 있도록 작성
  · 사용자가 입력한 데이터 형식의 모든 오류는 사용자가 시스템에 그 정보를 입력한지 2초 이내에 관련 오류 메시지를 사용자에게 제시
   ※ 오류 메시지에 중요 정보 등이 노출되지 않도록 화면을 구성
  · 통계 기능 등 일정 시간 이상 소용되는 작업은 시작되는 시점에, 응답 지연이 될 수 있다는 메시지 및 작업 진행상황 제시(팝업, Status Bar 등)</t>
    <phoneticPr fontId="0" type="noConversion"/>
  </si>
  <si>
    <t>PER-003</t>
    <phoneticPr fontId="0" type="noConversion"/>
  </si>
  <si>
    <t>처리량_동시 사용자 접속 수 목표값 제시</t>
    <phoneticPr fontId="0" type="noConversion"/>
  </si>
  <si>
    <t>처리량_평균 처리시간 및 동시처리 사용자 목표값</t>
    <phoneticPr fontId="0" type="noConversion"/>
  </si>
  <si>
    <t>처리량_서비스 지연 안내</t>
    <phoneticPr fontId="0" type="noConversion"/>
  </si>
  <si>
    <t>동시 사용자 접속 수 목표값 제시
  · 평균적으로 동시 사용자 수 200명 이상 지원 및 성능이 저하되지 않아야 함
   ※ 로그인 사용자는 로그인 후 5분 이상 경과된 사용자를 의미함</t>
    <phoneticPr fontId="0" type="noConversion"/>
  </si>
  <si>
    <t>평균 처리시간 및 동시처리 사용자 목표값
  · 초당 최소한 100건의 사용자 기본정보 입력기능을 처리
  · 최대 부하 상태에서 초당 50건의 사용자 기본정보 입력기능을 처리</t>
    <phoneticPr fontId="0" type="noConversion"/>
  </si>
  <si>
    <t>시스템 동시 사용자 1,000명 이상 접속 시에도 정상 상태 유지해야하며, 최대 동시접속자 수 임계치의 90% 이상 시 서비스 지연 안내페이지 제공</t>
    <phoneticPr fontId="0" type="noConversion"/>
  </si>
  <si>
    <t>PER-004</t>
  </si>
  <si>
    <t>자원 사용량_CPU 최대 부하 아래 사용률 측정</t>
    <phoneticPr fontId="0" type="noConversion"/>
  </si>
  <si>
    <t>자원 사용량_CPU 사용률 최대 사용률 제한</t>
    <phoneticPr fontId="0" type="noConversion"/>
  </si>
  <si>
    <t>자원 사용량_백그라운드 작업 CPU 사용률 제한</t>
    <phoneticPr fontId="0" type="noConversion"/>
  </si>
  <si>
    <t>테스트 기간과 시험 운영기간에 CPU 사용률을 평가하며, 08:00 ~ 22:00 서비스 가용시간 동안의 사용률과 최대 부하 아래에서의 사용률을 측정</t>
    <phoneticPr fontId="0" type="noConversion"/>
  </si>
  <si>
    <t>서비스 가용 시간 동안의 CPU 평균 사용률은 90%를 넘으면 안 됨</t>
    <phoneticPr fontId="0" type="noConversion"/>
  </si>
  <si>
    <t>정상 상태에서 백그라운드 작업을 위하여 CPU를 50% 이하로 사용해야 함
   ※ 단, 발주기관과 협의한 특정 설치 장비는 예외</t>
    <phoneticPr fontId="0" type="noConversion"/>
  </si>
  <si>
    <t>SIR-001</t>
    <phoneticPr fontId="0" type="noConversion"/>
  </si>
  <si>
    <t>사용자 편의성_시스템 메뉴 구성 제시</t>
    <phoneticPr fontId="0" type="noConversion"/>
  </si>
  <si>
    <t>사용자 편의성_사용자 기능 도움말 제공</t>
    <phoneticPr fontId="0" type="noConversion"/>
  </si>
  <si>
    <t>사용자 편의성_온라인 도움말 제공</t>
    <phoneticPr fontId="0" type="noConversion"/>
  </si>
  <si>
    <t>사용자 편의성_시스템 Map 작성</t>
    <phoneticPr fontId="0" type="noConversion"/>
  </si>
  <si>
    <t>사용자 기능에 대한 온라인 도움말 제공
  · 온라인 서식을 포함한 콘텐츠는 필요한 경우 서식과 관련 정보 제공
  · 콘텐츠의 모양이나 배치를 이해하기 쉽게 구성
  · 사용자가 원하는 기능을 쉽게 찾아서 사용할 수 있는 체계 제공</t>
    <phoneticPr fontId="0" type="noConversion"/>
  </si>
  <si>
    <t>시스템 메뉴 구성 및 접근 방안 제시
  · 모든 페이지에는 현재 위치에 대한 명확한 위치 정보를 표시
  · 각 단위 사이트별로 바로가기 퀵 메뉴를 제공
  · 직관적인 인터페이스를 제공하도록 화면 구성</t>
    <phoneticPr fontId="0" type="noConversion"/>
  </si>
  <si>
    <t>온라인 도움말 기능 제공
  · 사용자가 별도로 교육을 받지 않더라도 온라인 도움말 및 절차서를 이용하여 사용자 기능을 이용할 수 있도록 도움말 기능을 체계적으로 구성
  · 온라인 도움말 기능을 지속적으로 현행화 할 수 있는 방안 제시</t>
    <phoneticPr fontId="0" type="noConversion"/>
  </si>
  <si>
    <t>시스템 Map 작성
  · 시스템의 전체 기능을 한눈에 쉽게 파악할 수 있는 Site Map 구성
  · 해당 기능을 클릭하면 바로 연결될 수 있도록 기능 구현</t>
    <phoneticPr fontId="0" type="noConversion"/>
  </si>
  <si>
    <t>SIR-002</t>
  </si>
  <si>
    <t>사이트 구성 및 디자인 설계_홈페이지 사이트 구성</t>
    <phoneticPr fontId="0" type="noConversion"/>
  </si>
  <si>
    <t>사이트 구성 및 디자인 설계_디자인 설계</t>
    <phoneticPr fontId="0" type="noConversion"/>
  </si>
  <si>
    <t>사이트 구성 및 디자인 설계_다양한 단말을 고려한 화면 구성</t>
    <phoneticPr fontId="0" type="noConversion"/>
  </si>
  <si>
    <t>사이트 구성 및 디자인 설계_사용자의 스크린 사이즈에 따른 유동적 디자인</t>
    <phoneticPr fontId="0" type="noConversion"/>
  </si>
  <si>
    <t>사이트 구성 및 디자인 설계_사용자 동작 확인 메시지 제공</t>
    <phoneticPr fontId="0" type="noConversion"/>
  </si>
  <si>
    <t>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함(PC, 모바일, Tablet 환경 지원)</t>
    <phoneticPr fontId="0" type="noConversion"/>
  </si>
  <si>
    <t>디자인 설계
  · Layout : 고정 창/팝업 창을 사용자 편의성 관점에서 구성하고, 모든 창은 팝업창으로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phoneticPr fontId="0" type="noConversion"/>
  </si>
  <si>
    <t>다양한 사용자 단말을 고려한 화면 구성
  · 모바일, PC 등 단말기에 독립적인 최적화 화면 및 정보를 제공
  · PC 및 모바일 홈페이지 메인 시안 3종 제시
  · 1024*768 이하의 저해상도(모바일 기기)부터 1920*1080해상(권장기준 24인치)까지 지원하는 레이아웃, 반응형 웹 기술 적용
  · 서비스로 제공되는 각 페이지에 대하여 사용자들의 접근과 메뉴별 이동이 편리 하도록 네비게이션을 구성
  · 화면 UI 기획 및 디자인에 관련된 제반 사항을 발주기관과 긴밀한 협조를 통하여 시행토록 함</t>
    <phoneticPr fontId="0" type="noConversion"/>
  </si>
  <si>
    <t>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조달청과 협의 후 확정</t>
    <phoneticPr fontId="0" type="noConversion"/>
  </si>
  <si>
    <t>사용자 동작에 대한 확인 메시지 제공
  · 삭제, 입력 정보완료 혹은 미완료 후 저장 등과 같이 사용자의 수행활동에 대한 확인 메시지 제공
  · 시스템 및 프로그램 오류 발생 시 알람 메시지 제공
  · 개인정보를 포함한 정보를 게시할 경우 알림 메시지 제공</t>
    <phoneticPr fontId="0" type="noConversion"/>
  </si>
  <si>
    <t>등록, 오류 등 사용자 확인 메시지 제공
  · 등록, 수정, 저장, 삭제와 같이 사용자와 시스템 간의 상호작용 활동에 대한 확인메시지를 제공하되, 표준 운영체제 환경에서 일반적으로 사용되는 표준 UI를 채택하여 구현
  · 삭제, 입력정보 완료 혹은 미완료 후 저장 등 사용자의 수행 활동에 대한 메시지를 제공 등 활동에 대한 확인 메시지를 제공</t>
    <phoneticPr fontId="0" type="noConversion"/>
  </si>
  <si>
    <t>사이트 구성 및 디자인 설계_등록, 오류 확인 메시지 제공</t>
    <phoneticPr fontId="0" type="noConversion"/>
  </si>
  <si>
    <t>SIR-003</t>
  </si>
  <si>
    <t>SIR-003</t>
    <phoneticPr fontId="0" type="noConversion"/>
  </si>
  <si>
    <t>작업의 효율성_통합 UI 개념</t>
    <phoneticPr fontId="0" type="noConversion"/>
  </si>
  <si>
    <t>작업의 효율성_멀티플랫폼 및 멀티브라우저 지원</t>
    <phoneticPr fontId="0" type="noConversion"/>
  </si>
  <si>
    <t>통합 UI 개념 정의
  · 전체 시스템 간 통일성을 부여하여 UI를 구성
  · 발주기관의 고유 아이덴티티를 반영한 창의적 디자인 적용
  · 화면 UI 기획 및 디자인에 관련된 제반 사항을 발주기관과 긴밀한 협조를 통하여 시행
  · UI는 직관적이면서도 사용자의 효율적인 상호작용이 가능하여야 하며 다양한 사용자 요구 수용이 가능할 수 있도록 시스템의 유연한 변경이 가능하여야 함</t>
    <phoneticPr fontId="0" type="noConversion"/>
  </si>
  <si>
    <t>사용자의 멀티플랫폼 및 멀티브라우저 지원
  · 웹 표준 기반의 Client 표현기술을 적용하여, 일반사용자가 다양한 OS 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t>
    <phoneticPr fontId="0" type="noConversion"/>
  </si>
  <si>
    <t>SIR-004</t>
  </si>
  <si>
    <t>시스템 인터페이스_시스템 메뉴 구성 및 접근 방안</t>
    <phoneticPr fontId="0" type="noConversion"/>
  </si>
  <si>
    <t>시스템 메뉴 구성 및 접근 방안 제시
  · 시스템의 성능에 미치는 영향을 고려하여 갱신주기, 연계 어플리케이션 실행시간 등을 설정하여야 함
  · 데이터 연계의 정확성을 위해 개발 및 테스트 환경을 구성하고 연계 어플리케이션의 기능적 정확성을 검증한 후 운영 시스템에 적용
  · 사용자 또는 정보 증가 시에도 안정적인 성능을 제공하여야 하며 추가 라이선스 비용 등이 발생하지 않아야 함</t>
    <phoneticPr fontId="0" type="noConversion"/>
  </si>
  <si>
    <t>40~41</t>
    <phoneticPr fontId="0" type="noConversion"/>
  </si>
  <si>
    <t>SIR-005</t>
  </si>
  <si>
    <t>시스템 연계모듈_표준 연계모듈 사용</t>
    <phoneticPr fontId="0" type="noConversion"/>
  </si>
  <si>
    <t>시스템 연계모듈_타 시스템 연계체계 방안 제시</t>
    <phoneticPr fontId="0" type="noConversion"/>
  </si>
  <si>
    <t>시스템 연계모듈_타 시스템 연계체계 설계</t>
    <phoneticPr fontId="0" type="noConversion"/>
  </si>
  <si>
    <t>시스템 연계모듈_표준 연계모듈 사용 정의</t>
    <phoneticPr fontId="0" type="noConversion"/>
  </si>
  <si>
    <t>시스템 연계모듈_기존 시스템 및 향후 시스템 연계</t>
    <phoneticPr fontId="0" type="noConversion"/>
  </si>
  <si>
    <t>표준 연계모듈 사용
  · 다양한 주체에게 구축시스템과 관련된 데이터를 온라인으로 제공할 경우 개방형 연계 기술을 활용한 모듈(API 등)을 제공
  · 구축시스템 연계 시에는 발주기관의 표준 연계모듈을 이용</t>
    <phoneticPr fontId="0" type="noConversion"/>
  </si>
  <si>
    <t>타 시스템 연계체계 설계
  · 데이터 연계 시 시스템 성능에 영향(부하 등)을 주지 않도록 개발
  · 외부 연계시스템은 해당 시스템 담당자와 협의하여 원활한 연계가 되도록 구축</t>
    <phoneticPr fontId="0" type="noConversion"/>
  </si>
  <si>
    <t>시스템 연계 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phoneticPr fontId="0" type="noConversion"/>
  </si>
  <si>
    <t>표준연계모듈 사용 정의
  · 본 사업을 통해 생산되는 시스템을 타 시스템(수직/수평/외부기관 포함)과 연계 시 발주기관의 표준연계 모듈을 이용하여 연계</t>
    <phoneticPr fontId="0" type="noConversion"/>
  </si>
  <si>
    <t>기존 시스템(현황 참조) 및 향후 시스템에 대한 연계
  · 웹 표준화 기구(W3C)의 기준에 맞는 표준 XML 문서형식의 데이터 연동
  · 콘텐츠 연계를 위한 연계표준 모듈을 개발
  · 연계 표준가이드 작성 및 시범적용</t>
    <phoneticPr fontId="0" type="noConversion"/>
  </si>
  <si>
    <t>SIR-006</t>
  </si>
  <si>
    <t>연계데이터 정합성_연계데이터 정합성 확보 개념 정의</t>
    <phoneticPr fontId="0" type="noConversion"/>
  </si>
  <si>
    <t>연계데이터 정합성_연계데이터 정합성 확보</t>
    <phoneticPr fontId="0" type="noConversion"/>
  </si>
  <si>
    <t>연계데이터 정합성 확보 개념 정의
  · 기관별 연계 방식에 따른 각 유형별 정합성 확보 방안을 제시
  · 데이터 누락을 방지하기 위해 각 연계 단계별 정합성 검증 방안 제시</t>
    <phoneticPr fontId="0" type="noConversion"/>
  </si>
  <si>
    <t>연계데이터 정합성 확보
  · 연계대상 시스템과 원활한 연동이 이루어져야 함
  · 과업에 제시한 사항을 구현하기 위해 기 도입된 시스템의 연동 및 업그레이드가 필요한 경우 사업수행자는 기 도입시스템 업체와 협의 하여 진행하여야 하며 이에 따른 제반사항 사업수행자가 전담해야 함
  · 타 행정정보 시스템과의 연계 또는 관련 표준을 준수하여야 함</t>
    <phoneticPr fontId="0" type="noConversion"/>
  </si>
  <si>
    <t>SIR-007</t>
    <phoneticPr fontId="0" type="noConversion"/>
  </si>
  <si>
    <t>시스템 정보 연계방안_연계 관련 제반사항 제시</t>
    <phoneticPr fontId="0" type="noConversion"/>
  </si>
  <si>
    <t>시스템 정보 연계방안_갱신주기 및 실행시간 설정</t>
    <phoneticPr fontId="0" type="noConversion"/>
  </si>
  <si>
    <t>시스템 정보 연계방안_테스트 환경 구성 시스템 운영 검증</t>
    <phoneticPr fontId="0" type="noConversion"/>
  </si>
  <si>
    <t>시스템 정보 연계방안_사용자 정보 증가 시 방안</t>
    <phoneticPr fontId="0" type="noConversion"/>
  </si>
  <si>
    <t>연계대상, 연계범위, 연계방식, 연계주기, 연계건수 등 사업 추진 시 연계 관련 제반사항을 제시하되 구축단계에서의 적용은 발주기관과 협의</t>
    <phoneticPr fontId="0" type="noConversion"/>
  </si>
  <si>
    <t>시스템의 성능에 미치는 영향을 고려하여 갱신주기, 연계 어플리케이션 실행 시간 등을 설정</t>
    <phoneticPr fontId="0" type="noConversion"/>
  </si>
  <si>
    <t>정확성을 위해 개발 및 테스트 환경을 구성하고, 연계 어플리케이션 기능의 수행 정확도를 검증한 후 운영 시스템에 이관하여 시스템을 운영</t>
    <phoneticPr fontId="0" type="noConversion"/>
  </si>
  <si>
    <t>사용자 또는 정보 증가 시에도 안정적인 성능을 제공하여야 하며 추가 라이선스 비용 등이 발생하지 않아야 함</t>
    <phoneticPr fontId="0" type="noConversion"/>
  </si>
  <si>
    <t>SIR-008</t>
    <phoneticPr fontId="0" type="noConversion"/>
  </si>
  <si>
    <t>웹사이트 구현_웹 표준 및 호환성 준수</t>
    <phoneticPr fontId="0" type="noConversion"/>
  </si>
  <si>
    <t>웹사이트 구현_웹 콘텐츠의 접근 환경 및 수준 보장</t>
    <phoneticPr fontId="0" type="noConversion"/>
  </si>
  <si>
    <t>웹사이트 구현_행정공공기관 웹사이트 구축 가이드 반영</t>
    <phoneticPr fontId="0" type="noConversion"/>
  </si>
  <si>
    <t>웹 표준 및 호환성 준수
  · “전자정부 웹사이트 품질관리 지침(행정안전부 고시)“에 따라 웹 표준 기술을 사용하여 호환성을 확보
  · 사용자 단말기의 하드웨어 및 소프트웨어 환경이 다른 경우에도 동등한 서비스를 제공 받을 수 있도록 웹 호환성을 확보하여 구현
  · 인터넷 익스플로어, 크롬 등 사용자 환경변화에 따른 서비스 이용 지원(2종 이상의 브라우저 호환성 지원)</t>
    <phoneticPr fontId="0" type="noConversion"/>
  </si>
  <si>
    <t>플러그인 배제
  · “공공 웹사이트 플러그인 제거 가이드라인, 행정안전부”를 준용하여 플러그인(액티브X, 실행파일(EXE) 등)의 사용을 배제</t>
    <phoneticPr fontId="0" type="noConversion"/>
  </si>
  <si>
    <t>웹 콘텐츠의 접근성 향상을 위한 기술적 규격을 국가표준인 "한국형 웹 콘텐츠 접근성 지침 2.1, 과학기술정보통신부"을 준용하여 장애인, 고령자 등이 웹사이트에서 제공하는 정보나 서비스를 쉽게 이용할 수 있도록 웹사이트 접근 환경 및 수준 보장</t>
    <phoneticPr fontId="0" type="noConversion"/>
  </si>
  <si>
    <t>DAR-001</t>
    <phoneticPr fontId="0" type="noConversion"/>
  </si>
  <si>
    <t>행정안전부고시 “공공기관의 데이터베이스 표준화 지침”, “공공데이터 공통표준용어”, “공공데이터 관리지침“ 준수</t>
    <phoneticPr fontId="0" type="noConversion"/>
  </si>
  <si>
    <t>발주기관 “데이터 품질관리 지침”, 정보자원통합시스템(IRIS)에 등록된 표준단어, 도메인, 용어 준수
  · 신규 용어가 있을 경우 발주기관과 협의</t>
    <phoneticPr fontId="0" type="noConversion"/>
  </si>
  <si>
    <t>목표 시스템이 데이터 표준을 준수하기 위한 필수 산출물(공공기관의 데이터베이스 표준화 지침, 행정안전부고시 참고)
  · 표준용어정의서(서식 1)
  · 도메인정의서(서식 2)
  · 코드정의서(행정기관의 코드표준화 추진지침 참고)</t>
    <phoneticPr fontId="0" type="noConversion"/>
  </si>
  <si>
    <t>데이터 표준화_데이터 표준 준수 산출물 관리</t>
    <phoneticPr fontId="0" type="noConversion"/>
  </si>
  <si>
    <t>데이터 표준화_데이터 품질관리 지침, 정보자원통합시스템(IRIS) 준수</t>
    <phoneticPr fontId="0" type="noConversion"/>
  </si>
  <si>
    <t>데이터 표준화_행정표준코드 준수</t>
    <phoneticPr fontId="0" type="noConversion"/>
  </si>
  <si>
    <t>DAR-002</t>
  </si>
  <si>
    <t>신규 수집 데이터 관리체계 구성 (IoT, 영상 데이터 등)
  · 수집될 데이터에 대하여 효율적인 데이터 관리 아키텍처 구성 및 설계 방안 제시
  · 데이터에 대한 효율적인 파싱 및 수정 방안 설계
  · 시계열 데이터 관리 및 대용량 영상 데이터 배포 관리 방안 설계</t>
    <phoneticPr fontId="0" type="noConversion"/>
  </si>
  <si>
    <t>데이터베이스 운영 시 아래사항이 보장되도록 설계 
  · 무결성: 삽입, 삭제, 갱신 등의 연산 후에도 데이터베이스에 저장된 데이터가 정해진 제약조건을 항상 만족
  · 일관성: 데이터베이스에 저장된 데이터들 사이나 특정 질의에 대한 응답이 처음부터 끝까지 변함없이 일정
  · 회복: 시스템에 장애가 발생했을 때 장애 발생 직전의 상태로 복구
  · 효율성: 응답시간의 단축, 시스템의 생산성, 저장 공간의 최적화
  · 보안: 불법적인 데이터의 노출 또는 변경이나 손실로부터 보호
  · 확장: 데이터베이스 운영에 영향을 주지 않으면서 지속적으로 데이터를 추가 가능</t>
    <phoneticPr fontId="0" type="noConversion"/>
  </si>
  <si>
    <t xml:space="preserve"> “요구분석→개념설계→논리설계→물리설계→구현“ 단계별 필수 산출물 제출(공공기관의 데이터베이스 표준화 지침, 행정안전부고시 참고)
  · 데이터 요구사항 명세서
  · 논리데이터모델다이어그램(서식 3)
  · 엔티티 정의서(서식 4), 애트리뷰트 정의서(서식 5)
  · 데이터베이스 정의서(서식 6)
  · 물리데이터모델다이어그램(서식 4)
  · 테이블 정의서(서식 8)
  · 컬럼 정의서(서식 9)</t>
    <phoneticPr fontId="0" type="noConversion"/>
  </si>
  <si>
    <t>데이터베이스 구조_신규 수집 데이터 관리체계 구성</t>
    <phoneticPr fontId="0" type="noConversion"/>
  </si>
  <si>
    <t>데이터베이스 구조_데이터베이스 설계 방안</t>
    <phoneticPr fontId="0" type="noConversion"/>
  </si>
  <si>
    <t>데이터베이스 구조_단계별 산출물 제출</t>
    <phoneticPr fontId="0" type="noConversion"/>
  </si>
  <si>
    <t>DAR-003</t>
    <phoneticPr fontId="0" type="noConversion"/>
  </si>
  <si>
    <t>목표 시스템의 데이터의 일관성 확보 및 오류 데이터 검증을 위하여 “업무규칙 정의서(붙임 6)”를 작성 제출
  · 단, 업무규칙 정의를 위한 대상 및 범위는 발주기관과 협의</t>
    <phoneticPr fontId="0" type="noConversion"/>
  </si>
  <si>
    <t>목표 시스템 데이터 품질진단
  · 데이터 값 진단 방법 및 일정을 사업 계획에 명시하고 수행
  · 데이터 품질진단 규칙은 컬럼 단위, SQL 스크립트 형식으로 작성
  · 데이터 품질진단 결과에 따라 오류데이터 개선방안을 제시</t>
    <phoneticPr fontId="0" type="noConversion"/>
  </si>
  <si>
    <t>데이터 품질_업무규칙 정의서 제출</t>
    <phoneticPr fontId="0" type="noConversion"/>
  </si>
  <si>
    <t>데이터 품질_목표 시스템 데이터 품질진단</t>
    <phoneticPr fontId="0" type="noConversion"/>
  </si>
  <si>
    <t>DAR-004</t>
    <phoneticPr fontId="0" type="noConversion"/>
  </si>
  <si>
    <t>DAR-005</t>
  </si>
  <si>
    <t>데이터베이스 이관 설계
  · 데이터베이스 이관에 따른 아키텍쳐 설계
  · 데이터베이스 구조 최적화를 통한 데이터 안정성과 성능개선
  · 데이터의 정합성을 유지하면서 시스템의 성능을 저하시키지 않도록 DB설계가 되어야 하며, DB전문 인력을 통해 검증함</t>
    <phoneticPr fontId="0" type="noConversion"/>
  </si>
  <si>
    <t>데이터베이스 마이그레이션
  · 데이터베이스 이전에 따른 데이터 마이그레이션 수행
   ※ 설계된 DB 구조에 대하여, 주관기관 요청시 DB 전문가 (DB 아키텍처 등)를 투입하여 검토 수행</t>
    <phoneticPr fontId="0" type="noConversion"/>
  </si>
  <si>
    <t>데이터 이관 계획 수립
  · 데이터 이관에 필요한 인프라, 조직, 기술 등 수행 방안을 포함
  · 이관 대상은 현행(원천)시스템의 전체 데이터
  · 목표 시간 내에 데이터 이관을 완료할 수 있도록 단계별 수행시간을 예측하여 최적의 시나리오를 제시
  · 이관 데이터 품질(이관 데이터 GAP 분석서, 데이터 매핑 정의서, 이관 프로그램 등) 확보를 위한 방안을 제시
  · 데이터 정비 및 이관 작업 전 백업 및 복구 방안을 수립
  · 데이터 이관 시 민감 데이터(개인정보 등)에 대한 보안성 확보 방안을 제시</t>
    <phoneticPr fontId="0" type="noConversion"/>
  </si>
  <si>
    <t>데이터 이관
  · 이관 상태를 직관적으로 모니터링 할 수 있는 환경으로 구성하고 이관 시 모니터링 수행
  · 표준화된 코드체계에 따라 코드 데이터 이관
  · 데이터 이행방식은 데이터 무결성 유지가 최적화된 일괄이행 방식으로 수행
  · 여러 차례의 사전 테스트를 수행하여 이관 작업 간 발생할 수 있는 모든 위험 요소를 발견·제거하고 본 작업을 수행
  · 이관 데이터 정합성 검증 방안을 제시하고 수행
  · 이관 데이터 정제방안을 제시하고 오류 데이터 식별 및 데이터 정제 작업을 수행(목표 시스템에 정상 데이터를 이관)</t>
    <phoneticPr fontId="0" type="noConversion"/>
  </si>
  <si>
    <t>데이터 정합성 검증
  · 이관 데이터에 대한 정합성 검증을 통하여 데이터의 무결성을 보장
  · 매핑정의서의 매핑규칙에 맞게 이행되었는지 검증</t>
    <phoneticPr fontId="0" type="noConversion"/>
  </si>
  <si>
    <t>데이터 이관_데이터베이스 이관 설계</t>
    <phoneticPr fontId="0" type="noConversion"/>
  </si>
  <si>
    <t>데이터 이관_데이터베이스 마이그레이션</t>
    <phoneticPr fontId="0" type="noConversion"/>
  </si>
  <si>
    <t>데이터 이관_데이터 이관 계획 수립</t>
    <phoneticPr fontId="0" type="noConversion"/>
  </si>
  <si>
    <t>데이터 이관_데이터 이관</t>
    <phoneticPr fontId="0" type="noConversion"/>
  </si>
  <si>
    <t>데이터 이관_데이터 정합성 검증</t>
    <phoneticPr fontId="0" type="noConversion"/>
  </si>
  <si>
    <t>목표 시스템과 연관된 개방데이터 목록을 식별하고 개방데이터의 서비스 연속성 확보 방안을 제시</t>
    <phoneticPr fontId="0" type="noConversion"/>
  </si>
  <si>
    <t>목표 시스템의 데이터베이스에 대해 발주기관의 메타데이터관리시스템과 행정안전부 중앙메타관리시스템에 메타데이터 표준 관리항목이 등록 및 현행화 되도록 지원
  · “공공기관의 데이터베이스 표준화 지침, 행정안전부고시 별표 1 공공데이터베이스 메타데이터 표준 관리항목” 서식에 맞추어 “메타데이터 현황표”로 작성 제출(“컬럼정보-데이터 포맷”은 업무규칙에 맞추어 기술)</t>
    <phoneticPr fontId="0" type="noConversion"/>
  </si>
  <si>
    <t>공공데이터 개방 및 제공이 필요할 경우 데이터(파일/API)를 생성 또는 현행화를 지원</t>
    <phoneticPr fontId="0" type="noConversion"/>
  </si>
  <si>
    <t>공공데이터 관리_개방데이터 서비스 연속성 확보 방안 제시</t>
    <phoneticPr fontId="0" type="noConversion"/>
  </si>
  <si>
    <t>공공데이터 관리_메타데이터 표준 관리 항목 등록 및 현행화 지원</t>
    <phoneticPr fontId="0" type="noConversion"/>
  </si>
  <si>
    <t>공공데이터 관리_데이터(파일/API) 생성 또는 현행화 지원</t>
    <phoneticPr fontId="0" type="noConversion"/>
  </si>
  <si>
    <t>TER-001</t>
    <phoneticPr fontId="0" type="noConversion"/>
  </si>
  <si>
    <t>초기 협의한 요구사항에서 변경관리 절차를 통해 승인한 요구사항을 테스트의 최종 베이스라인으로 간주</t>
    <phoneticPr fontId="0" type="noConversion"/>
  </si>
  <si>
    <t>제공하기로 한 요구사항을 만족하는지 여부는 각 기능 요구사항의 검증(테스트)을 통해 결과가 도출된 경우로 판정</t>
    <phoneticPr fontId="0" type="noConversion"/>
  </si>
  <si>
    <t xml:space="preserve">테스트는 단위 → 통합 → 성능 → 인수 순으로 진행 </t>
    <phoneticPr fontId="0" type="noConversion"/>
  </si>
  <si>
    <t>테스트 계획서에는 테스트 목적, 주체, 일정, 대상, 절차/방법, 참여자별 역할과 책임, 준비사항(데이터 및 시나리오 등) 등을 포함
  · 발생 가능한 상황을 면밀히 분석하여 실제 데이터(정상, 오류)를 입력하여 테스트를 실시</t>
    <phoneticPr fontId="0" type="noConversion"/>
  </si>
  <si>
    <t>테스트 기간 동안 발견된 결함 수와 결함시간을 측정하여야 하며 테스트 기간 동안 발견된 결함은 99% 이상 조치
  · 결함 제거율(%) : (결함처리완료건수 / 결함발생건) * 100</t>
    <phoneticPr fontId="0" type="noConversion"/>
  </si>
  <si>
    <t>불가항력으로 인한 미조치 사항은 주관기관의 승인을 득해야 하며 결함에 대한 조치로 인하여 계획된 일정에 영향을 주어서는 안 됨</t>
    <phoneticPr fontId="0" type="noConversion"/>
  </si>
  <si>
    <t>TER-002</t>
    <phoneticPr fontId="0" type="noConversion"/>
  </si>
  <si>
    <t>단위테스트는 목표 시스템이 요구정의·분석단계에서 도출된 요구 사항과 설계 사양을 만족시키는지 여부(개발완료 후)를 점검</t>
    <phoneticPr fontId="0" type="noConversion"/>
  </si>
  <si>
    <t>단위테스트의 범위, 수행절차, 조직 및 역할, 일정, 시험환경 및 평가 기준을 구체적으로 수립</t>
    <phoneticPr fontId="0" type="noConversion"/>
  </si>
  <si>
    <t>단위테스트 시나리오별 처리절차, 수행데이터, 예상결과 등을 사전에 정의</t>
    <phoneticPr fontId="0" type="noConversion"/>
  </si>
  <si>
    <t>TER-003</t>
  </si>
  <si>
    <t>TER-004</t>
  </si>
  <si>
    <t>단위테스트가 완료된 프로그램들을 대상으로 통합테스트 계획에 따라 다음 사항을 검증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t>
    <phoneticPr fontId="0" type="noConversion"/>
  </si>
  <si>
    <t>웹 호환성, 웹 접근성 검증을 관련 점검 툴을 이용하여 점검하고 결과를 제출</t>
    <phoneticPr fontId="0" type="noConversion"/>
  </si>
  <si>
    <t>결함 발견 시 원인을 추적하여 제거</t>
    <phoneticPr fontId="0" type="noConversion"/>
  </si>
  <si>
    <t>성능 요구사항 충족 여부를 확인하고 부하 수준별 잠재적 영향도를 파악하기 위해 부하 테스트를 포함한 성능 테스트 실시</t>
    <phoneticPr fontId="0" type="noConversion"/>
  </si>
  <si>
    <t>성능 테스트를 통해 사용자 화면 응답시간, 처리속도 등 성능 적정성 및 자원 가용성 등 검증</t>
  </si>
  <si>
    <t>사전에 발주기관에 테스트 일정, 목적, 대상 범위, 성능 측정 지표(응답속도, 처리량, 처리속도 등), 테스트 수행 환경, 참여자 및 역할, 수행 절차, 사용 도구 등이 포함된 성능 테스트 계획서 제출</t>
    <phoneticPr fontId="0" type="noConversion"/>
  </si>
  <si>
    <t>부하 테스트
  · 단위 별로 부하 테스트 계획을 수립 후 결과에 따라 조치
  · 부하 테스트 도구를 통한 부하 테스트를 직접 수행하는 것이 원칙이나 전문 업체에 위탁할 수 있으며 관련 비용은 제안사가 부담</t>
    <phoneticPr fontId="0" type="noConversion"/>
  </si>
  <si>
    <t>TER-005</t>
    <phoneticPr fontId="0" type="noConversion"/>
  </si>
  <si>
    <t>개발 완료 후 최종 산출물 및 테스트(단위, 통합, 성능) 결과물을 첨부하여 인수테스트를 요청</t>
    <phoneticPr fontId="0" type="noConversion"/>
  </si>
  <si>
    <t>사용자 승인을 위한 검사 및 테스트 수행방법, 절차, 참여 조직 및 역할, 점검사항, 검수기준, 점검 후 조치 방안 등을 세부적으로 기술하여 계획을 수립</t>
    <phoneticPr fontId="0" type="noConversion"/>
  </si>
  <si>
    <t>요구사항별 적합/부적합 판정을 할 수 있도록 요구사항별 테스트를 수행할 수 있어야 하며 이에 따른 테스트 데이터를 준비</t>
    <phoneticPr fontId="0" type="noConversion"/>
  </si>
  <si>
    <t>발주기관과 협의하여 인수테스트를 계획하고 인수테스트를 이행하기 위하여 필요한 모든 조력을 제공</t>
    <phoneticPr fontId="0" type="noConversion"/>
  </si>
  <si>
    <t>테스트 과정에서 발견된 하자 사항은 보완 후 테스트 재실시</t>
    <phoneticPr fontId="0" type="noConversion"/>
  </si>
  <si>
    <t>SER-001</t>
    <phoneticPr fontId="0" type="noConversion"/>
  </si>
  <si>
    <t>제안사는 사업 전체에 대하여 개인정보 등 중요 데이터 등 정보 누출, 웹사이트 등 응용프로그램 보안, 공간정보 보안, 외주용역 인원보안 등 구체적인 정보보호계획 및 방안을 제시</t>
    <phoneticPr fontId="0" type="noConversion"/>
  </si>
  <si>
    <t>SER-002</t>
    <phoneticPr fontId="0" type="noConversion"/>
  </si>
  <si>
    <t>제안사는 아래 정보보안 규정을 준수하여야 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t>
    <phoneticPr fontId="0" type="noConversion"/>
  </si>
  <si>
    <t>위 규정 외에도 정부 및 발주기관이 제정·공표한 규정을 준수하여야 하며 사업기간 동안 변경될 경우 변경된 규정을 준수</t>
    <phoneticPr fontId="0" type="noConversion"/>
  </si>
  <si>
    <t>사업 중 또는 종료 후라도 국가정보원 등 관련 기관으로부터 보안 문제가 있다고 지적될 경우에는 반드시 해결책을 강구하고 조치</t>
    <phoneticPr fontId="0" type="noConversion"/>
  </si>
  <si>
    <t>SER-003</t>
    <phoneticPr fontId="0" type="noConversion"/>
  </si>
  <si>
    <t>목표 시스템에서 처리(수집‧생성‧저장‧가공 등)되는 과정에서 개인정보가 노출유출‧변조‧위조 또는 훼손되지 않도록 개인정보보호법 등 관련 규정을 준수하여 기술적‧관리적‧물리적 안전조치를 취하는 등 개인정보가 보호될 수 있도록 구축
  · 개인정보를 저장할 경우 암호화 적용
  · 개인정보 및 민감 정보 송수신 시 통신 구간에 대한 암호화 적용
  · 개인정보, 비밀번호 등 보안이 요구되는 정보는 하드코딩 금지
  · 서비스를 제공하는 전 구간에 사용자 인증 및 암호화 표준 적용 등</t>
    <phoneticPr fontId="0" type="noConversion"/>
  </si>
  <si>
    <t>회원가입이 필요한 경우 주민등록번호는 입력하지 않고 개인의 신분을 확인할 수 있도록 다양한 확인 방법(휴대폰 또는 카드 본인확인, 아이핀 등)을 제공해서 주민등록번호를 대체할 수 있는 기술적 장치를 마련
  · 회원가입 시 본인확인 방법은 2개 이상을 제공
  · 휴대폰본인확인은 법인‧가족 명의 시 이용불가 등 확인방법에 따라 제약이 있을 수 있으므로 다양한 본인확인방법 제공</t>
    <phoneticPr fontId="0" type="noConversion"/>
  </si>
  <si>
    <t>게시판이나 첨부파일 등을 통하여 개인정보가 노출‧유출되지 않도록 필터링 기능을 구현하여 개인정보의 등록이나 게재 차단</t>
    <phoneticPr fontId="0" type="noConversion"/>
  </si>
  <si>
    <t>SER-004</t>
    <phoneticPr fontId="0" type="noConversion"/>
  </si>
  <si>
    <t>목표 시스템 개발 시 “소프트웨어 개발보안 가이드, 시큐어 코딩 가이드(행정안전부)”를 준용하여 개발하고 자체 코딩규칙 마련 등 소프트웨어 개발보안 적용 절차 및 방법 등을 마련하고 참여인력이 숙지·준수(소프트웨어 개발보안 적용 계획서 제출)</t>
    <phoneticPr fontId="0" type="noConversion"/>
  </si>
  <si>
    <t>목표 시스템 구축 시 운영체제 패치, 불필요한 서비스 제거 또는 비활성화, 논리적인 위치 고려하고 시스템‧네트워크‧DBMS의 보안설정 등 보안 취약점 등을 사전에 점검하고 조치
  · “행정기관 및 공공기관 정보시스템 구축·운영 지침 [별표3](소프트웨어 보안약점 기준)”의 보안약점이 없도록 소프트웨어 개발
  · 통합테스트 시 목표 시스템의 정보보안 취약점을 점검하고 “정보시스템 보안취약점 점검 및 시정 조치 결과서”를 검수 시 제출
   ※ 소프트웨어 보안약점 진단가이드(행정안전부) 준용</t>
    <phoneticPr fontId="0" type="noConversion"/>
  </si>
  <si>
    <t>데이터 전송 시 암호화 통신이 될 수 있도록 SSL(Secure Sockets Layer)인증서를 설치·구축</t>
    <phoneticPr fontId="0" type="noConversion"/>
  </si>
  <si>
    <t>정보보안 및 안정성을 위하여 개발시스템은 반드시 운영시스템과 분리하고 폐쇄 및 보안이 강화된 네트워크상에서 구축</t>
    <phoneticPr fontId="0" type="noConversion"/>
  </si>
  <si>
    <t>SER-005</t>
    <phoneticPr fontId="0" type="noConversion"/>
  </si>
  <si>
    <t>51~52</t>
    <phoneticPr fontId="0" type="noConversion"/>
  </si>
  <si>
    <t>과업참여자는 일반보안업무지침(한국국토정보공사), 정보보안업무지침(한국국토정보공사), 공간정보 보안업무지침(한국국토정보공사) 및 외주 용역사업 보안특약 조항(붙임 7)을 준수하여야 함</t>
    <phoneticPr fontId="0" type="noConversion"/>
  </si>
  <si>
    <t>참여인원에 대한 보안관리
  · 과업 참여인원에 한하여 자필서명이 들어간 보안서약서를 제출해야 하며 제안사 대표는 사업 참여인원 전원에 대한 보안상 총괄책임을 짐
  · 발주기관는 사업 참여인원에 대해 비밀유지 의무 준수 및 공간정보 보호 의무가 있으며, 위반 시 손해배상 등의 책임을 져야함 
  · 발주기관은 보안업무지침에 따라 보안교육을 실시할 수 있으며, 과업수행자는 이에 응해야 함 
  · 과업수행자가 교체되거나 사업 참여자 이외의 자에게 부득이한 사정으로 성과품 등 관계 자료를 취급하게 해야 할 경우에는 반드시 보안각서를 징구 후 취급하도록 하여야 함
  · 과업수행 중 과업참여자를 교체할 경우에는 인계인수를 철저히 하여 자료의 외부유출을 사전에 방지하여야 하며, 발주처의 확인을 받아야 함
  · 과업수행자는 용역사업 수행 중 공사에서 실시하는 정기·불시 보안점검에 성실히 임하여야 하며 보안점검 시 지적사항은 “계약 상대자 보안 규정 위반 처리기준”에 따라 처리한 후 보안위약금 부과기준에 따라 처리함
  · 과업수행자와 과업참여인원은 보안준수사항을 위반하여 발생하는 모든 민·형사상 책임 및 그에 따른 유·무형의 손해에 대하여 모든 책임을 져야 함</t>
    <phoneticPr fontId="0" type="noConversion"/>
  </si>
  <si>
    <t>SER-006</t>
    <phoneticPr fontId="0" type="noConversion"/>
  </si>
  <si>
    <t>업무별, 데이터별 중요도에 따른 접근권한의 차등 부여방안 마련</t>
    <phoneticPr fontId="0" type="noConversion"/>
  </si>
  <si>
    <t>작업 장소를 제한구역으로 지정하여 외부인의 출입을 금하도록 하고 정규직원에 한해 업무를 수행하게 해야 하며, 성과품 작업 시에는 참여인원을 최소화하여 업무를 수행하여야 함</t>
    <phoneticPr fontId="0" type="noConversion"/>
  </si>
  <si>
    <t>본 사업수행과 관련된 자료 및 정보는 본 사업 이외의 여타 목적을 위해 사용될 수 없으며, 발주처의 서면승인 없이 타인에게 제공 또는 대여하거나 외부에 공개할 수 없음</t>
    <phoneticPr fontId="0" type="noConversion"/>
  </si>
  <si>
    <t>사업의 보안유지를 위해 자료보관함은 별도로 비치하되 비밀, 대외비, 일반자료 보관함으로 구분관리하고 보관함 관리를 위한 정·부책임자지정</t>
    <phoneticPr fontId="0" type="noConversion"/>
  </si>
  <si>
    <t>보안이 요구되는 과업을 수행하는 경우에는 작업실을 제한구역으로 지정하여 외부인의 출입을 금하도록 하고 정규직원에 한해 업무를 수행하게 해야 하며, 성과품 작업 시에는 참여인원을 최소화하여 업무를 수행하여야 한다.</t>
    <phoneticPr fontId="0" type="noConversion"/>
  </si>
  <si>
    <t>과업수행과정에서 생성된 모든 자료 및 취득한 자료와 정보에 대해 사업수행 중은 물론 사업완료 후에도 이를 외부에 유출해서는 안되며, 사업종료시 정보보안담당자의 입회하에 완전 폐기 또는 반납하여야 하고, 발주기관의 승인 없이 타 용도로 사용하거나 외부에 공개 또는 유출하지 못함</t>
    <phoneticPr fontId="0" type="noConversion"/>
  </si>
  <si>
    <t>과업수행자는 사업수행과정에서 발생한 각종 자료와 성과품을 발주처의 검토 이후 전부 납품하고, 성과품을 추가로 인쇄하여 보관할 수 없으며 과업완료 후 성과품 배부 및 보관 시에는 반듯이 사본번호를 부여함</t>
    <phoneticPr fontId="0" type="noConversion"/>
  </si>
  <si>
    <t>비밀 또는 대외비로 분류된 성과물을 인쇄하고자 할 경우에는 과업수행 과제담당관 입회하에 정부 비밀취급인가 업체에서 발간하여야 하며, 성과품에는 발간근거를 명시(업체명, 인가근거, 참여자, 발간일자)하여야 함</t>
    <phoneticPr fontId="0" type="noConversion"/>
  </si>
  <si>
    <t>용역사업 수행으로 인하여 발생한 보안 사고에 대하여 손해배상 등 일체의 민·형사상 책임을 져야 함</t>
    <phoneticPr fontId="0" type="noConversion"/>
  </si>
  <si>
    <t>발주기관은 과업수행자의 보안관리 상태를 점검할 수 있으며 또한 보안상 필요한 보완조치를 요구할 수 있으며, 과업수행자는 이에 즉시 따라야 함</t>
    <phoneticPr fontId="0" type="noConversion"/>
  </si>
  <si>
    <t>용역사업 수행으로 인하여 대내‧외적으로 알게 된 내용을 누설‧유출하거나 임의로 사용하여 국가가 손해를 입었을 경우에는 해당 손해에 대한 배상책임을 질 수 있음</t>
    <phoneticPr fontId="0" type="noConversion"/>
  </si>
  <si>
    <t>QUR-001</t>
    <phoneticPr fontId="0" type="noConversion"/>
  </si>
  <si>
    <t>연중 무중단 서비스 제공을 위한 품질 보장
  · 목표 시스템은 1일 24시간, 365일 상시 운영 가용성을 보장
  · 모든 페이지(채널)에 동일한 결과를 생성하고 구현
  · 시범 운영기간 동안 발견된 결함 수와 결함의 지속 시간 측정
  · 결함의 지속시간이 장시간 길어지는 경우 비상 대책을 수립 후 보고
  · 발견된 결함은 시스템 오픈 이전에 모두 조치한 후 서비스 오픈</t>
    <phoneticPr fontId="0" type="noConversion"/>
  </si>
  <si>
    <t>53~54</t>
    <phoneticPr fontId="0" type="noConversion"/>
  </si>
  <si>
    <t>QUR-002</t>
    <phoneticPr fontId="0" type="noConversion"/>
  </si>
  <si>
    <t>목표 시스템의 장애 시 신속한 대응을 위하여 백업 절차를 마련</t>
    <phoneticPr fontId="0" type="noConversion"/>
  </si>
  <si>
    <t>장애 발생 시 조치 방안을 제시
  · 복구할 수 없는 자료의 손실로 이어질 수 있는 오류를 방지하기 위한 통제 방안
  · 오류가 발생하는 즉시 사용자에게 관련 메시지를 공지하고 즉시 처리할 수 있는 비상 대책 방안</t>
    <phoneticPr fontId="0" type="noConversion"/>
  </si>
  <si>
    <t>QUR-003</t>
    <phoneticPr fontId="0" type="noConversion"/>
  </si>
  <si>
    <t>사용성 확보 방안 제시
  · 시스템의 관리·운영에 필요한 관리자 및 사용자 매뉴얼 제공
  · 사용 지원을 위한 조직, 방법, 절차, 내용 등을 제시</t>
    <phoneticPr fontId="0" type="noConversion"/>
  </si>
  <si>
    <t>사용 편의성 제공
  · 기능 이해도 : 자주 찾는 콘텐츠 순으로 찾기 쉬운 위치에 배치하는 등 정보접근의 편의성을 개선하고 시스템에서 제공하는 모든 기능에 대해 사용자 매뉴얼에서 정보를 제공
  · 인터페이스 이해도 : 시스템에서 제공하는 인터페이스 기능과 방법을 초급자라도 쉽게 운영할 수 있는 직관적인 인터페이스로 제작하고 관리자 매뉴얼에 포함</t>
    <phoneticPr fontId="0" type="noConversion"/>
  </si>
  <si>
    <t>QUR-004</t>
    <phoneticPr fontId="0" type="noConversion"/>
  </si>
  <si>
    <t>상호 운용성 요구사항 정의
  · 목표시스템은 본 사업과 관련된 정보시스템 및 기술표준과의 상호 운영성을 확보
  · 시스템 인터페이스 요구사항 및 어플리케이션과 정보간의 상호작용을 하는 기능은 기능 구현의 정확성뿐만 아니라 정보의 무결성, 데이터 정합성을 보장</t>
    <phoneticPr fontId="0" type="noConversion"/>
  </si>
  <si>
    <t>신뢰성 및 이식성 보장
  · 시스템 인터페이스 요구사항은 기능 구현의 정확성뿐만 아니라 정보의 무결성, 데이터 정합성을 준수
  · 시스템은 통상적인 운영시간 동안 가용성을 보장하여야 하며 시스템 조건이 무엇이든지 간에 모든 채널에 동일한 자료 및 결과를 생성하고 인도</t>
    <phoneticPr fontId="0" type="noConversion"/>
  </si>
  <si>
    <t>COR-001</t>
    <phoneticPr fontId="0" type="noConversion"/>
  </si>
  <si>
    <t>정보시스템의 효과적인 구축을 위하여 행정자치부 행정기관 및 공공기관 정보시스템 구축 운영 지침(행정안전부 고시 제2018-21호)을 준수하여야 함</t>
    <phoneticPr fontId="0" type="noConversion"/>
  </si>
  <si>
    <t>데이터 품질관리, 표준화를 위해 공공기관의 데이터베이스 표준화 지침, 공공데이터 관리지침, 공공정보 품질관리 매뉴얼을 준수하여야 함</t>
    <phoneticPr fontId="0" type="noConversion"/>
  </si>
  <si>
    <t>개발 프레임워크는 전자정부 프레임워크를 적용</t>
    <phoneticPr fontId="0" type="noConversion"/>
  </si>
  <si>
    <t>행정기관 및 공공기관 정보시스템 구축 운영 지침(행정안전부 고시 제2018-21호)의 기술적용계획표를 준수</t>
    <phoneticPr fontId="0" type="noConversion"/>
  </si>
  <si>
    <t>웹사이트 표준성 및 보안성 강화를 위한 HTML5를 사용 해야하고, Active-x는 사용하지 않아야 함
※ 예외가 있는 경우 한국국토정보공사와 협의하여 적용</t>
    <phoneticPr fontId="0" type="noConversion"/>
  </si>
  <si>
    <t>플랫폼을 개발할 때 사용되거나 직접 구현되는 공간정보 관련 소프트웨어들은 OGC 표준을 준수해야 함</t>
    <phoneticPr fontId="0" type="noConversion"/>
  </si>
  <si>
    <t>OGC Web Service(WMS, WFS, WCS, WPS), FE(Filter Encoding), SLD(Styled Layer Descriptor), Format(CityGML, GML 등) 지원</t>
    <phoneticPr fontId="0" type="noConversion"/>
  </si>
  <si>
    <t xml:space="preserve">응용소프트웨어 개발 시 공간정보 표준 적용
   ※ 표준 적용 항목은 한국국토정보공사와 협의 후 변경 가능  </t>
    <phoneticPr fontId="0" type="noConversion"/>
  </si>
  <si>
    <t>COR-002</t>
    <phoneticPr fontId="0" type="noConversion"/>
  </si>
  <si>
    <t>제안사는 본 사업을 수행함에 있어 관련 법령 및 규칙, 지침, 표준 등을 준수해야 함</t>
    <phoneticPr fontId="0" type="noConversion"/>
  </si>
  <si>
    <t>모바일 서비스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t>
    <phoneticPr fontId="0" type="noConversion"/>
  </si>
  <si>
    <t>개인정보보호
  · 개인정보보호 지침(행정안전부)
  · 웹사이트 개인정보 노출방지 가이드라인(행정안전부)
  · 개인정보의 안전성 확보조치 기준(행정안전부)</t>
    <phoneticPr fontId="0" type="noConversion"/>
  </si>
  <si>
    <t>관련 규정이 사업기간 중 변경되거나 새로 시행될 경우 변경된 규정 반영(단, 반영 시점을 고려하여 발주기관과 협의)</t>
    <phoneticPr fontId="0" type="noConversion"/>
  </si>
  <si>
    <t>COR-003</t>
    <phoneticPr fontId="0" type="noConversion"/>
  </si>
  <si>
    <t>발주기관에서 작성한 기술적용계획표를 검토하고 사업자 관점의 기술적용계획표를 작성하여 제출
  · 특정 기술에 종속되지 않는 개방형 기술로 구현하도록 검토</t>
    <phoneticPr fontId="0" type="noConversion"/>
  </si>
  <si>
    <t>확정된 기술적용계획표에 따라 표준기술을 적용하고 검수 전 기술적용결과표를 작성하여 제출</t>
    <phoneticPr fontId="0" type="noConversion"/>
  </si>
  <si>
    <t>COR-004</t>
    <phoneticPr fontId="0" type="noConversion"/>
  </si>
  <si>
    <t>본 사업은 정보시스템 감리 대상으로 “정보화사업 감리수행 가이드, 한국지능정보사회진흥원”에 기재된 사항을 점검할 수 있도록 산출물을 작성하여 제출(산출물 작성 기준은 발주기관과 협의)</t>
    <phoneticPr fontId="0" type="noConversion"/>
  </si>
  <si>
    <t>제안사는 감리업체(발주기관의 별도 외부 감리용역 계약 업체)의 감리 수행에 적극 협조하여야 하며 감리 준비 및 인터뷰 등 대응에 따른 소요시간을 고려하여 일정을 계획하고 편성</t>
    <phoneticPr fontId="0" type="noConversion"/>
  </si>
  <si>
    <t>감리업체의 사업수행 점검 및 평가 결과에 따른 후속조치를 적극 반영하여 사업수행의 효율성, 안전성, 완결성을 도모</t>
    <phoneticPr fontId="0" type="noConversion"/>
  </si>
  <si>
    <t>위험관리, 품질관리, 일정관리, 자원관리, 형상관리 등 프로젝트 관리 방법론을 통한 체계적인 사업 관리 방안을 제시
  · 범정부EA 포털의 프로세스 준수 및 관련 자료를 등록 할 수 있어야 함</t>
    <phoneticPr fontId="0" type="noConversion"/>
  </si>
  <si>
    <t>사업수행계획, 공정관리계획은 수행 절차에 따른 전체 추진일정과 세부 추진일정을 제시</t>
    <phoneticPr fontId="0" type="noConversion"/>
  </si>
  <si>
    <t>개발의 완성도를 높이기 위해서 프로젝트 착수에서 종료까지 체계적으로 프로젝트를 관리(관리도구 이용 등)해야 함
  · 개발이 체계적으로 추진되도록 각 개발 단계별 활용할 도구(분석 및 설계 도구, 개발도구 등)와 기법의 적정성을 제시</t>
    <phoneticPr fontId="0" type="noConversion"/>
  </si>
  <si>
    <t>원시자료를 이용하여 사업을 수행하고자 할 때에는 지적소유권(저작권) 여부를 확인하고 사용</t>
    <phoneticPr fontId="0" type="noConversion"/>
  </si>
  <si>
    <t>PMR-002</t>
    <phoneticPr fontId="0" type="noConversion"/>
  </si>
  <si>
    <t>사업수행 일정관리 방안 제시
  · 일정관리를 통해 프로젝트의 세부 작업 분할구조(WBS)와 단계 별 산출물을 명확히 제시
  · 추진 일정은 전체 일정과 세부 일정으로 구분하여 작성
  · 사업수행에 있어 일정지연 등 위험 관리 방안 제시
  · 프로젝트 추진과정에서 요구되는 진척/위험/변경사항의 관리방안 및 지속적으로 문제를 파악 관리할 수 있는 방안 제시</t>
    <phoneticPr fontId="0" type="noConversion"/>
  </si>
  <si>
    <t>프로젝트의 목표관리, 진도관리, 변경관리, 성과관리 등 프로젝트 수행 과정상 에서의 문제점 및 위험요소 등을 위해 정기 또는 비정기적으로 수행하는 보고체계를 계획하고 수행</t>
    <phoneticPr fontId="0" type="noConversion"/>
  </si>
  <si>
    <t>테스트 개발을 위한 서버는 발주기관과 협의하고 제공 사업수행 시 프로그램 소스의 버전 관리 및 백업자료, 문서자료를 보관할 수 있도록 개발환경 구축</t>
    <phoneticPr fontId="0" type="noConversion"/>
  </si>
  <si>
    <t>과업기간 동안에 내/외부 관계자를 참석시켜 착수보고회, 중간보고회, 최종보고회를 각각 1회 실시하고, 그 결과를 반영하여 산출물에 제출
  · 착수보고회 : 계약일로부터 14일 이내
  · 최종보고회 : 계약완료일로부터 14일 이내</t>
    <phoneticPr fontId="0" type="noConversion"/>
  </si>
  <si>
    <t>계약일로부터 사업완료일까지 착수일 기준 사업수행계획서에 제시된 사업수행 절차에 따른 현재의 구체적인 공정 및 진행 상황, 업무 추진상 문제점 및 대안방안 등에 대한 주간·월간보고서를 제출
  · 월간보고서는 대면 또는 비대면 화상회의를 통한 구두 보고 포함</t>
    <phoneticPr fontId="0" type="noConversion"/>
  </si>
  <si>
    <t>PMR-003</t>
    <phoneticPr fontId="0" type="noConversion"/>
  </si>
  <si>
    <t>요구사항 관리 방안
  · 사업자는 기능/비기능 요구사항을 빠짐없이 관리하고, 각각의 요구 사항이 분석, 설계, 시험단계 등 개발 전 단계의 관련 산출물에 반영 여부를 확인할 수 있도록 관리(요구사항 추적)하여야 함</t>
    <phoneticPr fontId="0" type="noConversion"/>
  </si>
  <si>
    <t>실무부서 요구사항 분석 방안 제시
  · 발주기관 실무부서의 요구사항 분석을 위한 설문 조사 또는 인터뷰 수행 방안 제시
  · 요구사항 분석 결과에 대해 실무 부서와 협의하여 반영 여부 결정</t>
    <phoneticPr fontId="0" type="noConversion"/>
  </si>
  <si>
    <t>PMR-004</t>
    <phoneticPr fontId="0" type="noConversion"/>
  </si>
  <si>
    <t>보안, 일정지연, 품질저하에 따르는 예산초과 등 리스크 발생을 사전 예방하고 발생 시 사후 대처방안을 제시</t>
    <phoneticPr fontId="0" type="noConversion"/>
  </si>
  <si>
    <t>프로젝트 추진 과정에서 요구되는 진척/위험/변경사항의 관리 방안 및 지속적으로 문제를 파악 관리할 수 있는 방안 제시</t>
    <phoneticPr fontId="0" type="noConversion"/>
  </si>
  <si>
    <t>데이터 통합 및 이행시 누락 데이터 방지 계획을 기술적으로 제시</t>
    <phoneticPr fontId="0" type="noConversion"/>
  </si>
  <si>
    <t>성능상 문제 등으로 SW가 변경되는 경우에 대한 사후 대응방안을 구체적으로 제시하여야 함</t>
    <phoneticPr fontId="0" type="noConversion"/>
  </si>
  <si>
    <t>본 사업의 수행 시 발생 예상되는 쟁점 및 미결사항에 대한 관리, 사용자 요구사항의 상세화 과정에서의 리스크 관리 등 각종 위험에 대한 통제 및 리스크 관리 방안을 제시하여야 하며, 지속적으로 문제를 파악 관리하고, 조치사항에 대하여 추적할 수 있는 방안을 제시해야 함</t>
    <phoneticPr fontId="0" type="noConversion"/>
  </si>
  <si>
    <t>긴급한 이슈사항이나 위험요소에 대해서 수시 보고 및 회의 진행을 할 수 있는 통제 방안을 제시해야 함</t>
    <phoneticPr fontId="0" type="noConversion"/>
  </si>
  <si>
    <t>PMR-005</t>
    <phoneticPr fontId="0" type="noConversion"/>
  </si>
  <si>
    <t>개발환경 구성_개발서버 및 장비</t>
    <phoneticPr fontId="0" type="noConversion"/>
  </si>
  <si>
    <t>개발환경 구성_저작권</t>
    <phoneticPr fontId="0" type="noConversion"/>
  </si>
  <si>
    <t>개발서버 및 장비
  · 개발전용 서버 및 사업 수행에 필요한 S/W, 장비 등은 제안사가 준비</t>
    <phoneticPr fontId="0" type="noConversion"/>
  </si>
  <si>
    <t>저작권
  · 계약자가 사업 진행 동안 사용할 도구는 저작권법 등 발주자와 소프트웨어 관리 규정에 적합하여야 하며, 불법 소프트웨어 사용과 관련하여 발생하는 문제에 대해서는 용역사가 모든 책임을 짐</t>
    <phoneticPr fontId="0" type="noConversion"/>
  </si>
  <si>
    <t>PMR-006</t>
    <phoneticPr fontId="0" type="noConversion"/>
  </si>
  <si>
    <t>검수_검수 조건</t>
    <phoneticPr fontId="0" type="noConversion"/>
  </si>
  <si>
    <t>검수_검수계획서 필수 포함 내용</t>
    <phoneticPr fontId="0" type="noConversion"/>
  </si>
  <si>
    <t>검수_검수 시행</t>
    <phoneticPr fontId="0" type="noConversion"/>
  </si>
  <si>
    <t>검수 조건
  · 검수 요청 및 검수계획서에 따라 시작하고 완료 통보 문서로 종료
  · 계획서는 일정계획, 구축 및 검사 담당자, 검수대상 산출물 제시
  · 구축완료 후 프로젝트 진행 과정 중에 생산된 중간단계 자료와 이력관리 DB, 최종 산출물 목록은 누락 없이 제출</t>
    <phoneticPr fontId="0" type="noConversion"/>
  </si>
  <si>
    <t>검수계획서 필수 포함 내용
  · 제안요청서, 제안서, 사업수행계획서, 사용자 요구 분석서를 통합한 요구내용 적용 여부, 적합 여부를 확인할 수 있는 체크리스트 및 상호 필요한 준비사항, 요소별 산출물을 명시</t>
    <phoneticPr fontId="0" type="noConversion"/>
  </si>
  <si>
    <t>검수 시행
  · 최종 납품된 산출물 상태에서 기술검사 결과와 업무수행성 검사 수행하며 기존 계획과 일치하지 않는 경우 지체 없이 보완 후 재검사를 받아야 함</t>
    <phoneticPr fontId="0" type="noConversion"/>
  </si>
  <si>
    <t>PMR-007</t>
    <phoneticPr fontId="0" type="noConversion"/>
  </si>
  <si>
    <t>LX 정보자원통합시스템에 의한 프로젝트 관리_</t>
    <phoneticPr fontId="0" type="noConversion"/>
  </si>
  <si>
    <t>정보자원통합시스템(IRIS)에 최종 산출물 등록 여부를 검수 항목에 포함</t>
    <phoneticPr fontId="0" type="noConversion"/>
  </si>
  <si>
    <t>PMR-008</t>
    <phoneticPr fontId="0" type="noConversion"/>
  </si>
  <si>
    <t>단계별로 제출시기에 맞게 산출물을 제출하고 아래 산출물 제출 시 보고회를 개최(보고회 방식은 발주기관과 협의)하고 보고서 제출 및 보고회 개최 시기는 제안서에 명시
  · 요구사항 분석 보고서
  · 목표 정보시스템 설계 보고서
  · 목표 정보시스템 테스트 계획서
  · 완료보고서</t>
    <phoneticPr fontId="0" type="noConversion"/>
  </si>
  <si>
    <t>제안사는 검수요청 시 일반적인 방법(정통법)으로 SW개발비 산정 후 제출(SW사업 대가산정 가이드 참고, 한국소프트웨어산업협회)</t>
    <phoneticPr fontId="0" type="noConversion"/>
  </si>
  <si>
    <t xml:space="preserve">단계 별 산출물 리스트
</t>
    <phoneticPr fontId="0" type="noConversion"/>
  </si>
  <si>
    <t>62~63</t>
    <phoneticPr fontId="0" type="noConversion"/>
  </si>
  <si>
    <t>PSR-001</t>
    <phoneticPr fontId="0" type="noConversion"/>
  </si>
  <si>
    <t>교육지원_교육훈련 계획서 작성</t>
    <phoneticPr fontId="0" type="noConversion"/>
  </si>
  <si>
    <t>교육지원_교육 소요경비 내용</t>
    <phoneticPr fontId="0" type="noConversion"/>
  </si>
  <si>
    <t xml:space="preserve">교육지원_시스템 운영에 필요한 교육 </t>
    <phoneticPr fontId="0" type="noConversion"/>
  </si>
  <si>
    <t>교육지원_교육 제반사항</t>
    <phoneticPr fontId="0" type="noConversion"/>
  </si>
  <si>
    <t>교육은 프로젝트 착수 시부터 지속적으로 실시해야 하며 체계적이고 효율적인 교육을 위해 교육훈련에 대한 계획서를 작성하여 제시
  · 교육일정, 지역 및 과목, 교육대상 및 인원, 소요비용(유상/무상) 등</t>
    <phoneticPr fontId="0" type="noConversion"/>
  </si>
  <si>
    <t>교육에 따른 교재 및 소요경비는 주관사업자가 지원하는 것을 원칙으로 하나 부득이한 경우 발주기관과 협의하여 조정 가능</t>
    <phoneticPr fontId="0" type="noConversion"/>
  </si>
  <si>
    <t>제안 요청서에 명시되지 아니한 교육과정이라도 본 시스템 운영에 필요한 교육을 발주기관에서 요구할 경우 이에 응하여야 함</t>
    <phoneticPr fontId="0" type="noConversion"/>
  </si>
  <si>
    <t>일정, 장소, 내용, 교재 등 기타 제반사항은 발주기관과 협의하여 결정</t>
    <phoneticPr fontId="0" type="noConversion"/>
  </si>
  <si>
    <t>산출물 요구사항_단계 별 산출물 리스트</t>
    <phoneticPr fontId="0" type="noConversion"/>
  </si>
  <si>
    <t>산출물 요구사항_검수요청 시 일반적인 방법(정통법)으로 SW개발비 산정</t>
    <phoneticPr fontId="0" type="noConversion"/>
  </si>
  <si>
    <t>산출물 요구사항_단계별 산출물 제출</t>
    <phoneticPr fontId="0" type="noConversion"/>
  </si>
  <si>
    <t>PSR-002</t>
    <phoneticPr fontId="0" type="noConversion"/>
  </si>
  <si>
    <t>PSR-003</t>
  </si>
  <si>
    <t>PSR-003</t>
    <phoneticPr fontId="0" type="noConversion"/>
  </si>
  <si>
    <t>시스템 개발 및 운영에 필요한 내용으로 시스템의 운영, 감시 및 보안, 비상복구 방법 등 시스템 구성방법 및 장애 대처 방법, 기타 운영에 관한 사항 등 시스템 운영 직원의 자체 유지관리 능력 배양을 위한 기술 이전 계획을 제시</t>
    <phoneticPr fontId="0" type="noConversion"/>
  </si>
  <si>
    <t>기술이전_기술이전 방안 제시</t>
    <phoneticPr fontId="0" type="noConversion"/>
  </si>
  <si>
    <t>하자보수 책임기간은 검수완료일일로부터 12개월</t>
    <phoneticPr fontId="0" type="noConversion"/>
  </si>
  <si>
    <t>제안사는 구축 시스템이 안전성 있게 유지될 수 있도록 하자보수 계획을 상세하게 제시
  · 시스템의 안정성 및 신뢰성 확보와 장애시간을 최소화하기 위하여 시스템을 단위 요소기술과 기능으로 구분하여 세부 계획 제시</t>
    <phoneticPr fontId="0" type="noConversion"/>
  </si>
  <si>
    <t>하자보수 지원은 발주기관의 근무시간을 기준으로 하되 정상적인 운영이 불가한 상황이 발생하는 경우 야간시간/휴일에도 지원</t>
    <phoneticPr fontId="0" type="noConversion"/>
  </si>
  <si>
    <t>하자보수_하자보수 기간</t>
    <phoneticPr fontId="0" type="noConversion"/>
  </si>
  <si>
    <t>하자보수_하자보수 계획</t>
    <phoneticPr fontId="0" type="noConversion"/>
  </si>
  <si>
    <t>하자보수_하자보수 지원 기준</t>
    <phoneticPr fontId="0" type="noConversion"/>
  </si>
  <si>
    <t>MPR-001</t>
    <phoneticPr fontId="0" type="noConversion"/>
  </si>
  <si>
    <t>유지관리 대상 및 일반사항_유지관리 대상</t>
    <phoneticPr fontId="0" type="noConversion"/>
  </si>
  <si>
    <t>유지관리 대상 및 일반사항_유지관리 일반사항</t>
    <phoneticPr fontId="0" type="noConversion"/>
  </si>
  <si>
    <t>유지관리 대상
  · LX플랫폼(데이터 및 가시화서비스)의 인프라 자원 및 응용 소프트웨어의 유지관리</t>
    <phoneticPr fontId="0" type="noConversion"/>
  </si>
  <si>
    <t>유지관리 일반사항
  · 시스템 유지관리는 정상적인 기능 및 성능 유지를 원칙으로 함
  · 유지관리 대상에 대한 현황, 상태 등 유지관리에 필요한 일체의 사항을 숙지하여야 하며, 유지관리 개시 전 인수시기 및 유지관리 개시 후 정기점검, 수시점검 등을 통하여 모든 SW에 대하여 원활히 작동하고 있는지 파악ㆍ분석한 후 조치하여야 하며, 장애 발생 시에도 원인분석 후 조치하고 그 결과 제출
  · 발주자의 요청이 있는 경우 시스템의 안정적인 운영 및 효율적 유지관리를 위한 협의회를 월 1회 이상 실시
  · 유지관리대상에 대한 일일 점검 수행하여 월간보고서 제출
  · 법·제도, 조직, 업무처리절차 변경에 의해 기 운영 중인 시스템 변경이 필요한 경우 정상 운용이 가능하도록 응용시스템의 간단한 기능 변경, 보완, 사용 방법 변경 등을 수행
  · 연계시스템 변경에 따른 관련 프로그램 변경 및 적용
  · 응용프로그램에 대한 유지관리 사항을 기록 및 보고하고, 변경된 프로그램에 대한 효율적인 배포 방안을 마련하여 시행
  · 요구사항 관리 및 SW형상관리(프로그램 소스의 버전관리 포함) 등을 통한 시스템의 변경 이력을 체계적으로 관리
  · 지원 요청은 1일 처리를 기준으로 하나, 5일 이상 처리가 되지 않을 경우 중기 미해결 과제, 1개월 이상 처리가 되지 않을경우 장기 미해결 과제로 분리하여 수시로 관리</t>
    <phoneticPr fontId="0" type="noConversion"/>
  </si>
  <si>
    <t>MPR-002</t>
    <phoneticPr fontId="0" type="noConversion"/>
  </si>
  <si>
    <t>66~67</t>
    <phoneticPr fontId="0" type="noConversion"/>
  </si>
  <si>
    <t>유지관리 대상 및 일반사항
  · 소프트웨어 사용에 따른 하드웨어, OS, 네트워크 등의 환경변화에 대응하기 위한 프로그램 수정, 데이터 분류코드의 변경, 데이터베이스의 변경 등에 따른 보수
  · 솔루션 제공 업체 및 연계 응용SW와 유기적으로 협조하여 업무에 차질이 없도록 해야 함
  · 기존페이지 수정 시 웹 접근성, 웹 표준 개발 가이드라인에 맞춰 수정 작업 진행
  · 인프라 자원에 대한 OS 및 SW에 대한 최신 패치 및 업그레이드 수행
  · 플랫폼의 공간정보 가시화 속도 개선
  · 전산센터 이전에 따른 시스템 이관 지원
  · LX플랫폼 상시 점검인력 상주(1인 이상, LX공간정보혁신센터)
  · 클라우드 및 데이터 관리체계, 서비스 운영지원</t>
    <phoneticPr fontId="0" type="noConversion"/>
  </si>
  <si>
    <t>LX플랫폼의 기능 수정 및 개선_유지관리 대상 및 일반사항</t>
    <phoneticPr fontId="0" type="noConversion"/>
  </si>
  <si>
    <t>MHR-001</t>
    <phoneticPr fontId="0" type="noConversion"/>
  </si>
  <si>
    <t>조직 및 인력
  · 사업수행사는 투입할 인력들의 소속, 성명, 실무경력, 보유기술자격증 등 인적사항을 제안 시 제출하고, 계약 후 발주기관에 투입인력의 보안각서를 제출하여 승인을 받아야 함
  · 운영·유지관리 투입인력은 충분한 기술과 경험을 가진 인력으로 하며 과업을 수행함에 있어 부적당하다고 판단되는 인력에 대하여 교체를 요청할 수 있으며, 이 경우 특별한 사유가 없는 한 동급 이상의 인력으로 발주기관의 승인을 받은 후 15일 이내에 교체해야 함
  · 사업기간 동안 투입한 인력을 임의로 교체할 수 없으며, 교체하고자 할 경우 10일 이내의 업무 인계·인수를 하고 발주기관의 승인을 받아야 함
  · 운영·유지관리 인력은 감독관의 지시에 따라 전산·정보시스템의 운영 상태를 점검하고 각종 대장 및 일지를 기록하여 확인 받아야 함
  · 운영·유지관리 인력이 직무를 태만히 하거나 고의 또는 허위로  작성한 문서(보고서, 점검일지 등) 및 제반업무 수행에 대하여   전적으로 사업수행사에서 기술적, 법적 책임을 져야 함
  · 사업수행사는 장애발생 등 특별히 필요한 경우 발주기관 요청에 의해 편성된 근무시간 외에도 운영·유지관리 업무에 임해야 함
  · 투입 인력의 사고, 이직, 휴가 및 교육 등 업무 수행이 불가한 경우를 대비한 대체 인력 구성을 포함한 업무수행 방안을 제시하여야 함</t>
    <phoneticPr fontId="0" type="noConversion"/>
  </si>
  <si>
    <t>조직 및 인력_조직 및 인력</t>
    <phoneticPr fontId="0" type="noConversion"/>
  </si>
  <si>
    <t>MHR-002</t>
    <phoneticPr fontId="0" type="noConversion"/>
  </si>
  <si>
    <t>총 투입인력
  · 계약일부터 준공일까지 유지관리 인력 : 월 1인 * 4개월 = 4 M/M
  · 투입 인력은 제안사가 추가로 계약금액 변동 없이 증원할 수 있음
  · 투입인력은 유지관리 대상 시스템 개발에 직접 참여하였거나, 시스템 파트별(인프라, 데이터, 가시화 서비스) 사용언어의 유사 프로젝트 개발경험 또는 1년 이상 유지관리 경험이 있는 전문기술 인력을 투입하여야 함
  · 투입 인력은 제안사 소속의 인력이어야 함</t>
    <phoneticPr fontId="0" type="noConversion"/>
  </si>
  <si>
    <t>월별 총 투입인력_총 투입인력</t>
    <phoneticPr fontId="0" type="noConversion"/>
  </si>
  <si>
    <t>위험관리_리스크 대처방안 제시</t>
    <phoneticPr fontId="0" type="noConversion"/>
  </si>
  <si>
    <t>위험관리_진척/위험/변경사항 관리방안 제시</t>
    <phoneticPr fontId="0" type="noConversion"/>
  </si>
  <si>
    <t>위험관리_누락데이터 방지 계획 제시</t>
    <phoneticPr fontId="0" type="noConversion"/>
  </si>
  <si>
    <t>위험관리_SW 변경 시 사후 대응방안 제시</t>
    <phoneticPr fontId="0" type="noConversion"/>
  </si>
  <si>
    <t>위험관리_미결사항, 리스크 관리 방안 제시</t>
    <phoneticPr fontId="0" type="noConversion"/>
  </si>
  <si>
    <t>위험관리_이슈 및 위험요소 통제 방안</t>
    <phoneticPr fontId="0" type="noConversion"/>
  </si>
  <si>
    <t>요구사항 관리_실무부서 요구사항 분석 방안 제시</t>
    <phoneticPr fontId="0" type="noConversion"/>
  </si>
  <si>
    <t>요구사항 관리_요구사항 관리 방안</t>
    <phoneticPr fontId="0" type="noConversion"/>
  </si>
  <si>
    <t>프로젝트 일정관리_주간·월간보고서를 제출</t>
    <phoneticPr fontId="0" type="noConversion"/>
  </si>
  <si>
    <t>프로젝트 일정관리_착수, 중간, 최종보고회 산출물 제출</t>
    <phoneticPr fontId="0" type="noConversion"/>
  </si>
  <si>
    <t>프로젝트 일정관리_사업수행 일정관리 방안 제시</t>
    <phoneticPr fontId="0" type="noConversion"/>
  </si>
  <si>
    <t>프로젝트 관리방법_개발환경 구축</t>
    <phoneticPr fontId="0" type="noConversion"/>
  </si>
  <si>
    <t>프로젝트 관리방법_보고체계 계획 및 수행</t>
    <phoneticPr fontId="0" type="noConversion"/>
  </si>
  <si>
    <t>프로젝트 관리방법_지적소유권(저작권) 여부 확인</t>
    <phoneticPr fontId="0" type="noConversion"/>
  </si>
  <si>
    <t>프로젝트 관리방법_활용할 도구와 기법의 적정성을 제시</t>
    <phoneticPr fontId="0" type="noConversion"/>
  </si>
  <si>
    <t>프로젝트 관리방법_전체 추진일정과 세부 추진일정을 제시</t>
    <phoneticPr fontId="0" type="noConversion"/>
  </si>
  <si>
    <t>프로젝트 관리방법_방법론을 통한 체계적인 사업 관리 방안을 제시</t>
    <phoneticPr fontId="0" type="noConversion"/>
  </si>
  <si>
    <t>감리_감리 후속조치 적극 반영</t>
    <phoneticPr fontId="0" type="noConversion"/>
  </si>
  <si>
    <t>감리_감리 수행 적극 협조</t>
    <phoneticPr fontId="0" type="noConversion"/>
  </si>
  <si>
    <t>감리_감리 관련 산출물 제출</t>
    <phoneticPr fontId="0" type="noConversion"/>
  </si>
  <si>
    <t>기술적용계획표 및 결과표_기술적용결과표 작성 및 제출</t>
    <phoneticPr fontId="0" type="noConversion"/>
  </si>
  <si>
    <t>기술적용계획표 및 결과표_기술적용계획표를 작성 및 제출</t>
    <phoneticPr fontId="0" type="noConversion"/>
  </si>
  <si>
    <t>관련 규정 준수_관련 규정 변경 시 변경된 규정 반영</t>
    <phoneticPr fontId="0" type="noConversion"/>
  </si>
  <si>
    <t>관련 규정 준수_개인정보보호</t>
    <phoneticPr fontId="0" type="noConversion"/>
  </si>
  <si>
    <t>관련 규정 준수_정보보안</t>
    <phoneticPr fontId="0" type="noConversion"/>
  </si>
  <si>
    <t>관련 규정 준수_모바일 서비스</t>
    <phoneticPr fontId="0" type="noConversion"/>
  </si>
  <si>
    <t>관련 규정 준수_정보시스템 및 웹사이트 구축</t>
    <phoneticPr fontId="0" type="noConversion"/>
  </si>
  <si>
    <t>관련 규정 준수_관련 법령 및 규칙, 지침, 표준 등 준수</t>
    <phoneticPr fontId="0" type="noConversion"/>
  </si>
  <si>
    <t xml:space="preserve">표준 준수_응용소프트웨어 개발 시 공간정보 표준 적용
</t>
    <phoneticPr fontId="0" type="noConversion"/>
  </si>
  <si>
    <t>표준 준수_OGC Web Service 지원</t>
    <phoneticPr fontId="0" type="noConversion"/>
  </si>
  <si>
    <t>표준 준수_OGC 표준 준수</t>
    <phoneticPr fontId="0" type="noConversion"/>
  </si>
  <si>
    <t>테스트 일반사항_테스트 최종 베이스라인 정의</t>
    <phoneticPr fontId="0" type="noConversion"/>
  </si>
  <si>
    <t>테스트 일반사항_테스트 결과 판정 정의</t>
    <phoneticPr fontId="0" type="noConversion"/>
  </si>
  <si>
    <t>테스트 일반사항_테스트 진행 순서</t>
    <phoneticPr fontId="0" type="noConversion"/>
  </si>
  <si>
    <t>테스트 일반사항_테스트 계획서</t>
    <phoneticPr fontId="0" type="noConversion"/>
  </si>
  <si>
    <t>테스트 일반사항_테스트 결함 조치</t>
    <phoneticPr fontId="0" type="noConversion"/>
  </si>
  <si>
    <t>테스트 일반사항_미조치 사항</t>
    <phoneticPr fontId="0" type="noConversion"/>
  </si>
  <si>
    <t>단위 테스트_단위테스트 정의</t>
    <phoneticPr fontId="0" type="noConversion"/>
  </si>
  <si>
    <t>단위 테스트_단위 테스트 수립 기준</t>
    <phoneticPr fontId="0" type="noConversion"/>
  </si>
  <si>
    <t>단위 테스트_단위 테스트 절차</t>
    <phoneticPr fontId="0" type="noConversion"/>
  </si>
  <si>
    <t>통합 테스트_통합 테스트 정의</t>
    <phoneticPr fontId="0" type="noConversion"/>
  </si>
  <si>
    <t>통합 테스트_통합 테스트 실헹</t>
    <phoneticPr fontId="0" type="noConversion"/>
  </si>
  <si>
    <t>통합 테스트_테스트 후 결함 제거</t>
    <phoneticPr fontId="0" type="noConversion"/>
  </si>
  <si>
    <t>성능 테스트_성능 테스트 실시</t>
    <phoneticPr fontId="0" type="noConversion"/>
  </si>
  <si>
    <t>성능 테스트_성능 테스트 내용</t>
    <phoneticPr fontId="0" type="noConversion"/>
  </si>
  <si>
    <t>성능 테스트_성능 테스트 계획서 제출</t>
    <phoneticPr fontId="0" type="noConversion"/>
  </si>
  <si>
    <t>성능 테스트_부하 테스트 실행</t>
    <phoneticPr fontId="0" type="noConversion"/>
  </si>
  <si>
    <t>인수 테스트_인수 테스트 요청</t>
    <phoneticPr fontId="0" type="noConversion"/>
  </si>
  <si>
    <t>인수 테스트_인수 테스트 계획 수립</t>
    <phoneticPr fontId="0" type="noConversion"/>
  </si>
  <si>
    <t>인수 테스트_데스트 데이터 준비</t>
    <phoneticPr fontId="0" type="noConversion"/>
  </si>
  <si>
    <t>인수 테스트_인수 테스트 이행</t>
    <phoneticPr fontId="0" type="noConversion"/>
  </si>
  <si>
    <t>인수 테스트_하자사항 보완 및 테스트 재실시</t>
    <phoneticPr fontId="0" type="noConversion"/>
  </si>
  <si>
    <t>정보보안 일반사항_정보보호계획 방안 제시</t>
    <phoneticPr fontId="0" type="noConversion"/>
  </si>
  <si>
    <t xml:space="preserve">정보보안 규정 준수_정보보안 규정 준수 </t>
    <phoneticPr fontId="0" type="noConversion"/>
  </si>
  <si>
    <t>정보보안 규정 준수_규정 변경 시 변경된 규정 준수</t>
    <phoneticPr fontId="0" type="noConversion"/>
  </si>
  <si>
    <t>정보보안 규정 준수_사후 문제 발생 시 조치</t>
    <phoneticPr fontId="0" type="noConversion"/>
  </si>
  <si>
    <t>개인정보보호_개인정보 보호 구축</t>
    <phoneticPr fontId="0" type="noConversion"/>
  </si>
  <si>
    <t>개인정보보호_주민등록번호를 대체 하는 본인 확인방법 도입</t>
    <phoneticPr fontId="0" type="noConversion"/>
  </si>
  <si>
    <t>개인정보보호_개인정보 필터링 기능 구현</t>
    <phoneticPr fontId="0" type="noConversion"/>
  </si>
  <si>
    <t>응용프로그램 보안_소프트웨어 개발보안 적용 계획서 제출</t>
    <phoneticPr fontId="0" type="noConversion"/>
  </si>
  <si>
    <t>응용프로그램 보안_소프트웨어 보안약점 진단가이드 준용</t>
    <phoneticPr fontId="0" type="noConversion"/>
  </si>
  <si>
    <t>응용프로그램 보안_SSL(Secure Sockets Layer)인증서를 설치·구축</t>
    <phoneticPr fontId="0" type="noConversion"/>
  </si>
  <si>
    <t>응용프로그램 보안_개발 시스템 보완 환경</t>
    <phoneticPr fontId="0" type="noConversion"/>
  </si>
  <si>
    <t>인력 보안_참여인력 보안지침 준수</t>
    <phoneticPr fontId="0" type="noConversion"/>
  </si>
  <si>
    <t>인력 보안_참여인력 보안관리</t>
    <phoneticPr fontId="0" type="noConversion"/>
  </si>
  <si>
    <t>자료 및 데이터 보안_접근권한 부여 방안 마련</t>
    <phoneticPr fontId="0" type="noConversion"/>
  </si>
  <si>
    <t>자료 및 데이터 보안_보안책임자 지정</t>
    <phoneticPr fontId="0" type="noConversion"/>
  </si>
  <si>
    <t>자료 및 데이터 보안_제한구역 지정</t>
    <phoneticPr fontId="0" type="noConversion"/>
  </si>
  <si>
    <t>자료 및 데이터 보안_관련 자료 외부 공개 금지</t>
    <phoneticPr fontId="0" type="noConversion"/>
  </si>
  <si>
    <t>자료 및 데이터 보안_자료 보관함 책임자 지정</t>
    <phoneticPr fontId="0" type="noConversion"/>
  </si>
  <si>
    <t>자료 및 데이터 보안_보안 필요시 환경 조성</t>
    <phoneticPr fontId="0" type="noConversion"/>
  </si>
  <si>
    <t>자료 및 데이터 보안_관련 자료 및 정보 외부 유출 금지</t>
    <phoneticPr fontId="0" type="noConversion"/>
  </si>
  <si>
    <t>자료 및 데이터 보안_과업내용 포함 문서 처리 방안</t>
    <phoneticPr fontId="0" type="noConversion"/>
  </si>
  <si>
    <t>자료 및 데이터 보안_성과품 관리</t>
    <phoneticPr fontId="0" type="noConversion"/>
  </si>
  <si>
    <t>자료 및 데이터 보안_성과품 보안 유지</t>
    <phoneticPr fontId="0" type="noConversion"/>
  </si>
  <si>
    <t>자료 및 데이터 보안_보안사고 책임</t>
    <phoneticPr fontId="0" type="noConversion"/>
  </si>
  <si>
    <t>자료 및 데이터 보안_발주처 보안관리 점검</t>
    <phoneticPr fontId="0" type="noConversion"/>
  </si>
  <si>
    <t>자료 및 데이터 보안_정보 유출 손해 배상책임</t>
    <phoneticPr fontId="0" type="noConversion"/>
  </si>
  <si>
    <t>품질 요구사항_연중 무중단 서비스 제공 품질 보장</t>
    <phoneticPr fontId="0" type="noConversion"/>
  </si>
  <si>
    <t>시스템 백업_백업 절차 마련</t>
    <phoneticPr fontId="0" type="noConversion"/>
  </si>
  <si>
    <t>시스템 백업_장내 발생 시 조치 방안 제시</t>
    <phoneticPr fontId="0" type="noConversion"/>
  </si>
  <si>
    <t>프로그램 사용성_사용성 확보 방안 제시</t>
    <phoneticPr fontId="0" type="noConversion"/>
  </si>
  <si>
    <t>프로그램 사용성_사용 편의성 제공</t>
    <phoneticPr fontId="0" type="noConversion"/>
  </si>
  <si>
    <t>상호 운영성 및 신뢰성_상호 운용성 요구사항 정의</t>
    <phoneticPr fontId="0" type="noConversion"/>
  </si>
  <si>
    <t>상호 운영성 및 신뢰성_신뢰성 및 이식성 보장</t>
    <phoneticPr fontId="0" type="noConversion"/>
  </si>
  <si>
    <t>표준 준수_정보시스템 구축 운영지침 준수</t>
    <phoneticPr fontId="0" type="noConversion"/>
  </si>
  <si>
    <t>표준 준수_데이터 품질관리 지침 준수</t>
    <phoneticPr fontId="0" type="noConversion"/>
  </si>
  <si>
    <t>표준 준수_전자정부 프레임워크 적용</t>
    <phoneticPr fontId="0" type="noConversion"/>
  </si>
  <si>
    <t>표준 준수_기술적용계획표 준수</t>
    <phoneticPr fontId="0" type="noConversion"/>
  </si>
  <si>
    <t>표준 준수_웹사이트 표준성 및 보안성 강화</t>
    <phoneticPr fontId="0" type="noConversion"/>
  </si>
  <si>
    <t>Ⅳ</t>
  </si>
  <si>
    <t>Ⅳ 1.1성능 요구사항 개요</t>
    <phoneticPr fontId="0" type="noConversion"/>
  </si>
  <si>
    <t>134~136</t>
    <phoneticPr fontId="0" type="noConversion"/>
  </si>
  <si>
    <t>Ⅳ 1.4분야별 성능 측정</t>
    <phoneticPr fontId="0" type="noConversion"/>
  </si>
  <si>
    <t>137~138</t>
  </si>
  <si>
    <t>Ⅳ 3.1인터페이스 일반</t>
    <phoneticPr fontId="0" type="noConversion"/>
  </si>
  <si>
    <t>Ⅳ 3.3 사용자 인터페이스 (2/2)</t>
    <phoneticPr fontId="0" type="noConversion"/>
  </si>
  <si>
    <t>Ⅳ 3.3 사용자 인터페이스 (1/2)</t>
    <phoneticPr fontId="0" type="noConversion"/>
  </si>
  <si>
    <t xml:space="preserve">Ⅳ 3.1 인터페이스 일반
</t>
    <phoneticPr fontId="0" type="noConversion"/>
  </si>
  <si>
    <t xml:space="preserve">Ⅳ 3.2 시스템 인터페이스
</t>
    <phoneticPr fontId="0" type="noConversion"/>
  </si>
  <si>
    <t>149~150</t>
    <phoneticPr fontId="0" type="noConversion"/>
  </si>
  <si>
    <t>웹사이트 구현_플러그인 배제</t>
    <phoneticPr fontId="0" type="noConversion"/>
  </si>
  <si>
    <t>SFR-002</t>
  </si>
  <si>
    <t>중</t>
    <phoneticPr fontId="15" type="noConversion"/>
  </si>
  <si>
    <t>SFR-003</t>
  </si>
  <si>
    <t>SFR-006</t>
    <phoneticPr fontId="15" type="noConversion"/>
  </si>
  <si>
    <t>18~19</t>
    <phoneticPr fontId="15" type="noConversion"/>
  </si>
  <si>
    <t>SFR-008</t>
  </si>
  <si>
    <t>SFR-009</t>
    <phoneticPr fontId="15" type="noConversion"/>
  </si>
  <si>
    <t>SFR-010</t>
    <phoneticPr fontId="15" type="noConversion"/>
  </si>
  <si>
    <t>21~22</t>
    <phoneticPr fontId="15" type="noConversion"/>
  </si>
  <si>
    <r>
      <t>Ⅲ.1.10.1 건물 실내</t>
    </r>
    <r>
      <rPr>
        <sz val="11"/>
        <rFont val="맑은 고딕"/>
        <family val="3"/>
        <charset val="129"/>
      </rPr>
      <t>〮</t>
    </r>
    <r>
      <rPr>
        <sz val="11"/>
        <rFont val="맑은 고딕"/>
        <family val="2"/>
        <charset val="129"/>
        <scheme val="minor"/>
      </rPr>
      <t>외 연기 확산 시뮬레이션</t>
    </r>
    <phoneticPr fontId="15" type="noConversion"/>
  </si>
  <si>
    <t>Ⅲ.1.10.2 바람길 분석 구성 개요</t>
    <phoneticPr fontId="15" type="noConversion"/>
  </si>
  <si>
    <t>Ⅲ.1.10.3 하천 범람 시뮬레이션 고도화</t>
    <phoneticPr fontId="15" type="noConversion"/>
  </si>
  <si>
    <t>SFR-011</t>
  </si>
  <si>
    <t>Ⅲ.1.11 3차원 모델링 자동화 기능 개요</t>
    <phoneticPr fontId="15" type="noConversion"/>
  </si>
  <si>
    <t>SFR-012</t>
  </si>
  <si>
    <t xml:space="preserve">Ⅲ.1.12 상용프로그램(Rhino, CAD 등)플러그인 개발 개요
</t>
    <phoneticPr fontId="15" type="noConversion"/>
  </si>
  <si>
    <t>Ⅲ.1.12 2D 도면 정리 플러그인 구현방안</t>
    <phoneticPr fontId="15" type="noConversion"/>
  </si>
  <si>
    <t>1. 도형 DB 생성
- DB변환
- 불러오기
- 내보내기</t>
    <phoneticPr fontId="15" type="noConversion"/>
  </si>
  <si>
    <t>SFR-014</t>
  </si>
  <si>
    <t>SFR-018</t>
    <phoneticPr fontId="15" type="noConversion"/>
  </si>
  <si>
    <t>SFR-022</t>
  </si>
  <si>
    <t>SFR-025</t>
  </si>
  <si>
    <t>SFR-026</t>
    <phoneticPr fontId="15" type="noConversion"/>
  </si>
  <si>
    <t>SFR-027</t>
  </si>
  <si>
    <t xml:space="preserve">Ⅲ. 1.3 클라우드 통합 운영관리 포털 고도화
</t>
    <phoneticPr fontId="15" type="noConversion"/>
  </si>
  <si>
    <t>Ⅲ. 1.8 3차원 데이터 모델러 기능 고도화</t>
    <phoneticPr fontId="15" type="noConversion"/>
  </si>
  <si>
    <t>67~68</t>
    <phoneticPr fontId="15" type="noConversion"/>
  </si>
  <si>
    <t>Ⅲ. 1.9 가시화 서비스 3차원 기능 고도화</t>
    <phoneticPr fontId="15" type="noConversion"/>
  </si>
  <si>
    <t>69~70</t>
    <phoneticPr fontId="15" type="noConversion"/>
  </si>
  <si>
    <t xml:space="preserve">Ⅴ. 1.1 사업관리 방법론(1/2)
Ⅴ. 1.2 단계별 관리방안
</t>
    <phoneticPr fontId="0" type="noConversion"/>
  </si>
  <si>
    <t>Ⅴ. 1.3 일정관리</t>
    <phoneticPr fontId="0" type="noConversion"/>
  </si>
  <si>
    <r>
      <rPr>
        <sz val="11"/>
        <rFont val="맑은 고딕"/>
        <family val="3"/>
        <charset val="129"/>
      </rPr>
      <t>Ⅳ</t>
    </r>
    <r>
      <rPr>
        <sz val="11"/>
        <rFont val="맑은 고딕"/>
        <family val="2"/>
        <charset val="129"/>
        <scheme val="minor"/>
      </rPr>
      <t>. 3.3 데이터 이관</t>
    </r>
    <phoneticPr fontId="0" type="noConversion"/>
  </si>
  <si>
    <r>
      <rPr>
        <sz val="11"/>
        <rFont val="맑은 고딕"/>
        <family val="3"/>
        <charset val="129"/>
      </rPr>
      <t>Ⅳ</t>
    </r>
    <r>
      <rPr>
        <sz val="11"/>
        <rFont val="맑은 고딕"/>
        <family val="2"/>
        <charset val="129"/>
        <scheme val="minor"/>
      </rPr>
      <t xml:space="preserve">. 3.4 공공데이터 관리
</t>
    </r>
    <phoneticPr fontId="0" type="noConversion"/>
  </si>
  <si>
    <t>Ⅳ. 4.1 시험 방법론</t>
    <phoneticPr fontId="0" type="noConversion"/>
  </si>
  <si>
    <t xml:space="preserve">Ⅴ. 1.8 문서(산출물)관리
</t>
    <phoneticPr fontId="0" type="noConversion"/>
  </si>
  <si>
    <t>Page</t>
    <phoneticPr fontId="15" type="noConversion"/>
  </si>
  <si>
    <t>사업수행계획서</t>
    <phoneticPr fontId="15" type="noConversion"/>
  </si>
  <si>
    <t>2. 건물 및 시설물 객체에 닿는 바람의 영향(면적, 풍속 등) 분석
- 건물 및 시설물 객체에 닿는 바람의 영향（면적, 풍속 등） 분석</t>
    <phoneticPr fontId="15" type="noConversion"/>
  </si>
  <si>
    <t>1. 고도별 풍향 및 풍속 설정에 따른 바람길 시뮬레이션 구현
- 고도별 풍향 설정에 따른 바람길 시뮬레이션
- 고도별 풍속 설정에 따른 바람길 시뮬레이션</t>
    <phoneticPr fontId="15" type="noConversion"/>
  </si>
  <si>
    <t>2. 하천 시설（보, 제방, 댐 등） 추가 설치에 따른 영향（범람 지연 등） 분석 시뮬레이션 구현
- 하천 시설 추가 설치에 따른 영향 분석 시뮬레이션 구현</t>
    <phoneticPr fontId="15" type="noConversion"/>
  </si>
  <si>
    <t>1. 건물 footprint 도면 기반 3D 건물 모델링 배치 기능 구현
- 건물 footprint 도면 기반 3D 건물 모델링 배치 기능
- 건물 footprint 도면 기반 3D 건물 방향 설정 기능
- 건물 footprint 도면 기반 3D 건물 자동 배치 기능</t>
    <phoneticPr fontId="15" type="noConversion"/>
  </si>
  <si>
    <t>2. LOD4 건물 모델링（실내 시설물 모델 포함）
-  LOD4 건물 모델링（실내 시설물 모델 포함)</t>
    <phoneticPr fontId="15" type="noConversion"/>
  </si>
  <si>
    <t>3. 3D 모델링 가능한 건물 형태 확대하여 기능 구현
- 곡면 외벽 건물
- 경사진 외벽 건물
- 연결 브릿지 보유 건물
- 복잡한 지붕구조 보유 건물</t>
    <phoneticPr fontId="15" type="noConversion"/>
  </si>
  <si>
    <t>4. 변환된 실내 모델（Room Space 등） 및 시설물에 대한 속성 입력, 편집기능 구현
- 변환 실내 모델 속성 입력 기능
- 변환 실내 모델 속성 편집 기능
- 변환 시설물 속성 입력 기능
- 변환 시설물 속성 편집 기능</t>
    <phoneticPr fontId="15" type="noConversion"/>
  </si>
  <si>
    <t>6~7</t>
  </si>
  <si>
    <t>3.3 클라우드 통합 운영관리 포털 고도화 (SFR-003)</t>
    <phoneticPr fontId="0" type="noConversion"/>
  </si>
  <si>
    <t>3.4 통합 개발환경 구축 (SFR-004)</t>
  </si>
  <si>
    <t>12~15</t>
  </si>
  <si>
    <t>3.6 서비스 제작 도구 개발 (SFR-006)</t>
  </si>
  <si>
    <t>19~20</t>
  </si>
  <si>
    <t>3.7 샌드박스 기능 고도화 (SFR-007)</t>
    <phoneticPr fontId="0" type="noConversion"/>
  </si>
  <si>
    <t>21~23</t>
    <phoneticPr fontId="0" type="noConversion"/>
  </si>
  <si>
    <t>3.8 3차원 데이터 모델러 기능 고도화 (SFR-008)</t>
    <phoneticPr fontId="0" type="noConversion"/>
  </si>
  <si>
    <t>24~26</t>
    <phoneticPr fontId="0" type="noConversion"/>
  </si>
  <si>
    <t>3.9 가시화 서비스 3차원 기능 고도화 (SFR-009)</t>
    <phoneticPr fontId="0" type="noConversion"/>
  </si>
  <si>
    <t>27~28</t>
    <phoneticPr fontId="0" type="noConversion"/>
  </si>
  <si>
    <t>3.10 가시화 서비스 (시물레이션) 기능 개발 및 고도화 (SFR-010)</t>
    <phoneticPr fontId="0" type="noConversion"/>
  </si>
  <si>
    <t>29~34</t>
    <phoneticPr fontId="0" type="noConversion"/>
  </si>
  <si>
    <t>3.11 3차원 모델링 자동화 기능 개선 (SFR-011)</t>
    <phoneticPr fontId="0" type="noConversion"/>
  </si>
  <si>
    <t>35~36</t>
    <phoneticPr fontId="0" type="noConversion"/>
  </si>
  <si>
    <t>3.12 플러그인 개발 (SFR-012)</t>
    <phoneticPr fontId="0" type="noConversion"/>
  </si>
  <si>
    <t>37~40</t>
    <phoneticPr fontId="0" type="noConversion"/>
  </si>
  <si>
    <t>1. 2D 도면 기준 건물 외벽（창문, 벽체 등） 및 내부（창문, 문, 계단 등） 자동 인식 및 추출기능 고도화
- 건물 외벽（창문, 벽체 등）자동 인식 및 추출기능
- 건물 내부（창문, 문, 계단 등） 자동 인식 및 추출기능</t>
    <phoneticPr fontId="15" type="noConversion"/>
  </si>
  <si>
    <t>2. 추출된 건물 구조체를 사용자가 확인하여 추가 선택 및 제거하여 3D 건물 모델 생성을 위한 최종 건물 도면 생성
- 추출건물 추가 선택 및 제거</t>
    <phoneticPr fontId="15" type="noConversion"/>
  </si>
  <si>
    <t xml:space="preserve">3. 기 구축한 3차원 모델링 자동화 프로세스 적용하여 입력자료 변환 및 시각화
- 3차원 모델링 자동화 프로세스 적용 입력자료 변환 및 시각화
- 3D 건물 속성정보 사용자 입력/저장
</t>
    <phoneticPr fontId="15" type="noConversion"/>
  </si>
  <si>
    <t>4. 변환 오류 상황을 세분화하고, 오류 발생 시 원인 파악을 위한 상세 정보 및 보완 가이드 제공
- 변환 오류 상황 세분화
- 오류 발생 시 원인 파악을 위한 상세 정보 및 보완 가이드 제공</t>
    <phoneticPr fontId="15" type="noConversion"/>
  </si>
  <si>
    <t>4. 노선구간 속성정보 부여
- 노선구간 속성정보 부여</t>
    <phoneticPr fontId="15" type="noConversion"/>
  </si>
  <si>
    <t>3. 데이터 검증 방안（오류검사 및 확인 등） 
- 오류검사 및 확인</t>
    <phoneticPr fontId="15" type="noConversion"/>
  </si>
  <si>
    <t>2. 노선구간 도형정보 생성
- 노드최적화
- 직선•직진구간 유의점
- 회전구간 유의점
- 입체도로</t>
    <phoneticPr fontId="15" type="noConversion"/>
  </si>
  <si>
    <t>1. 도면분류
- 데이터 이동
- 파일명 복사
- 파일명 검사</t>
    <phoneticPr fontId="15" type="noConversion"/>
  </si>
  <si>
    <t>2. 정리작업
- 중복객체 삭제, 짧은 객체 끊기, 미달 연장, 매달린 객체 지우기, 길이가 0인 객체 선택, 선택레이어 삭제, 도면 색상 변경, 미세폴리곤 처리, 미정의 레이어 삭제, 닫힌 폴리 선 작성, 중소편집, 정점삭제, 직선화, 라인자동병합, 폴리곤 병합, 폴리곤 자르기, 폴리곤 연장, 폴리곤 끊기</t>
    <phoneticPr fontId="15" type="noConversion"/>
  </si>
  <si>
    <t>3. 객체 변환
- 선을 폴리선으로
- 호를 폴리선으로
- 3D폴리선을 폴리선 으로
- 원을 폴리선으로</t>
    <phoneticPr fontId="15" type="noConversion"/>
  </si>
  <si>
    <t>데이터 및 기능 API 관리 체계 마련</t>
  </si>
  <si>
    <t>제공 API에 대한 정보 및 이력관리</t>
  </si>
  <si>
    <t>신규 및 버전업 API에 대한 관리</t>
  </si>
  <si>
    <t>데이터 API 키신청, 승인(발급), 조회 및 유효성 검사 등 기능.</t>
  </si>
  <si>
    <t xml:space="preserve">데이터 조회 및 API 활용 건 등
우선순위 조회 기능 </t>
  </si>
  <si>
    <t>SFR-007</t>
  </si>
  <si>
    <t>데이터 접근기능</t>
  </si>
  <si>
    <t>기 구축 학습데이터 활용</t>
  </si>
  <si>
    <t>이 기종 프로그램 구동 기능</t>
  </si>
  <si>
    <t>결과 레포팅 기능</t>
  </si>
  <si>
    <t>범용 분석기능 고도화</t>
  </si>
  <si>
    <t>BI 통계 시각화</t>
  </si>
  <si>
    <t>■ BI를 통한 통계 시각화 기능</t>
  </si>
  <si>
    <t>추가개발 기증 활용</t>
  </si>
  <si>
    <t>■  기존 범용 분석기능 외 추가 개발된 기능은 
    샌드박스에서도 활용 할 수 있도록 구축</t>
  </si>
  <si>
    <t>분석결과 반출 신청 관리기능</t>
  </si>
  <si>
    <t>■ 분석된 결과에 대해 외부 반출 신청이 가능
    하도록 신청 관리 기능</t>
  </si>
  <si>
    <t xml:space="preserve">자원 할당, 접근제어 </t>
  </si>
  <si>
    <t>■ 신청된 사용자에 자원의 할당, 접근제어 등의
   관리 기능 구현</t>
  </si>
  <si>
    <t>■ 분석지원을 위한 가이드제공, GUI 툴 관리 
   등의 구현</t>
  </si>
  <si>
    <t>분석결과 가명 처리
분석결과 보안 처리</t>
  </si>
  <si>
    <t>■ 분석된 결과의 승인을 위한 가명처리여부,
   보안처리 여부 검토 기능</t>
  </si>
  <si>
    <t>프로세스 구축
프로세스 단위별 기능</t>
  </si>
  <si>
    <t xml:space="preserve">■ 신청 -&gt; 검토-&gt;승인-&gt; 반출 등의 보안규정에
    적합한 프로세스 구축 및 프로세스 단위별 
    기능 개발 </t>
  </si>
  <si>
    <t>■ 데이터 및 기능의 활용 이력, 통계 등
    사용이력 관리가 가능한 기능</t>
  </si>
  <si>
    <t xml:space="preserve">데이터 연계&amp;적재 상태 시각화 </t>
  </si>
  <si>
    <t xml:space="preserve">데이터 연계&amp;적재 오류관리 </t>
  </si>
  <si>
    <t>데이터 생애주기 관리</t>
  </si>
  <si>
    <t>레이어 그룹관리  페이지 개선</t>
  </si>
  <si>
    <t>연계 상태 시각화</t>
  </si>
  <si>
    <t>대용량 데이터 연계 기능 개선</t>
  </si>
  <si>
    <t>사업수행계획서</t>
    <phoneticPr fontId="0" type="noConversion"/>
  </si>
  <si>
    <t>Page</t>
    <phoneticPr fontId="0" type="noConversion"/>
  </si>
  <si>
    <t>SFR-009</t>
  </si>
  <si>
    <t>loT 센서 모니터링 대시보드</t>
  </si>
  <si>
    <t>LX 플랫폼 통합 아키텍처 구성
- 통합 EA 아키텍처 설계 및 재구성</t>
  </si>
  <si>
    <t>네크워크 보안 고려 아키텍처 설계</t>
  </si>
  <si>
    <t>하나의 통합 운영관리 포털과 연동하여 각 망의 IaaS, PaaS 자원들을 통합 관리</t>
  </si>
  <si>
    <t>VM 생성 시 모니터링을 위한 스크립트 자동 실행 기능</t>
  </si>
  <si>
    <t>외부기관 인프라 모니터링 페이지 개발 및 계정 관리 기능</t>
  </si>
  <si>
    <t>Container 관리 및 PaaS 형상관리 기능</t>
  </si>
  <si>
    <t>생성 시 필요 프레임워크 및 라이브러리 설정 기능</t>
  </si>
  <si>
    <t>인프라 자원의 네트워크(기능, DBMS 등) 구성 설정 기능 고도화</t>
  </si>
  <si>
    <t>생성된 VM의 로드밸런싱 관리 및 조회 기능</t>
  </si>
  <si>
    <t>LX플랫폼에서 활용 중인 스토리지 장비 모니터링 및 관리</t>
  </si>
  <si>
    <t>수요기관용 DB 증설을 대비한 DBMS 선택 설정 기능</t>
  </si>
  <si>
    <t xml:space="preserve">LX 플랫폼 실험사업 인프라 VM 이관 </t>
  </si>
  <si>
    <t>LX 플랫폼 실험사업 인프라 통합개발환경 구성용 인프라 전환
- 운영관리 포털에서 통합관리 연동</t>
  </si>
  <si>
    <t>LX 플랫폼 실험사업 인프라 통합개발환경 구성용 인프라 전환
- GPU 서버 운영인프라 통합관리 연동</t>
  </si>
  <si>
    <t>구분</t>
    <phoneticPr fontId="15" type="noConversion"/>
  </si>
  <si>
    <t>SFR-004</t>
  </si>
  <si>
    <t>SFR-006</t>
  </si>
  <si>
    <t>SFR-019</t>
  </si>
  <si>
    <t>SFR-020</t>
  </si>
  <si>
    <t>요구사항 상세 정의</t>
    <phoneticPr fontId="23" type="noConversion"/>
  </si>
  <si>
    <t>요구사항정의서(아키텍처 및 개발환경)</t>
    <phoneticPr fontId="0" type="noConversion"/>
  </si>
  <si>
    <t>- 사용자 그룹 분류 기준 (업무종류, 권한, 역할)에 따른 분류체계 구상 협의 하고 해당 기준에 따른 업무 처리 아키텍쳐 설계</t>
  </si>
  <si>
    <t>- LX 실험사업 및 국플, DTPF를 반영한 인프라 아키텍처 설계</t>
  </si>
  <si>
    <t>- 통합운영관리 포털에 외부망, 내부망 IaaS 및 PaaS 연동</t>
    <phoneticPr fontId="0" type="noConversion"/>
  </si>
  <si>
    <t>- 행정망, 내부망, 외부망의 IaaS, PaaS를 통합운영 관리 포털에 연동</t>
    <phoneticPr fontId="0" type="noConversion"/>
  </si>
  <si>
    <t xml:space="preserve">- VM 신규 혹은 추가 생성시 프로젝트의 보안그룹을 자동으로 설정하는 기능 구현
</t>
    <phoneticPr fontId="0" type="noConversion"/>
  </si>
  <si>
    <t>- 로드밸런싱을 간편 관리, 조회 기능 구현</t>
    <phoneticPr fontId="0" type="noConversion"/>
  </si>
  <si>
    <t>- 실험사업 VM 이관
- 현재 활용중인 VM 조사 필요하며, 조사 결과에 따라 이관 진행
- 3월 말에는 진행되어야 함</t>
    <phoneticPr fontId="0" type="noConversion"/>
  </si>
  <si>
    <t>- 실험사업팜을 구성중인 인프라 자원을 통합개발환경 구성용으로 전환 구성(Redhat Community version 예정?)
- 구성한 통합개발환경은 통합운영 관리 포털 연동</t>
    <phoneticPr fontId="0" type="noConversion"/>
  </si>
  <si>
    <t>- 타사업으로 구매예정인 GPU와 함께 합쳐서 GPU 서버 구성
- 통합운영 관리 포털과 연동</t>
    <phoneticPr fontId="0" type="noConversion"/>
  </si>
  <si>
    <t>요구사항정의서(인프라)</t>
    <phoneticPr fontId="0" type="noConversion"/>
  </si>
  <si>
    <t>요구사항정의서(3D 기능 고도화)</t>
    <phoneticPr fontId="0" type="noConversion"/>
  </si>
  <si>
    <t>보류</t>
  </si>
  <si>
    <t>72, 73</t>
  </si>
  <si>
    <t>75, 76</t>
  </si>
  <si>
    <t>요구사항정의서(데이터)</t>
    <phoneticPr fontId="0" type="noConversion"/>
  </si>
  <si>
    <t>SFR-005</t>
    <phoneticPr fontId="15" type="noConversion"/>
  </si>
  <si>
    <t>사용자별,데이터별,기간별, 서비스별，API별 등 통계</t>
  </si>
  <si>
    <t xml:space="preserve">분석 결과 가명처리 기능
분석 결과 보안처리(해상도) 등 기능
</t>
  </si>
  <si>
    <t>■ 분석된 결과의 가명처리, 보안처리(해상도)등
    기능</t>
  </si>
  <si>
    <t>■ 비전문가의 활용이 가능하도록 샌드박스 
     내 범용 분석 기능이 활용될 수 있도록
    기능 고도화</t>
  </si>
  <si>
    <t>데이터 활용 이력
데이터 활용 통계
데이터 활용 사용 이력</t>
  </si>
  <si>
    <t>■ 데이터시스템과 가시화서비스의 데이터를 
     한 페이지에서 관리가 가능하도록 표현</t>
    <phoneticPr fontId="15" type="noConversion"/>
  </si>
  <si>
    <t>모니터링 시스템 통합</t>
  </si>
  <si>
    <t>■ 오류 알람 표출, 오류 상세화,오류 해결 방안 제시</t>
  </si>
  <si>
    <t>목록에서 현재 상태 표출</t>
  </si>
  <si>
    <t>데이터 최종 적재일시 표시</t>
  </si>
  <si>
    <t>연계&amp;적재 프로세스별 페이지 이동</t>
  </si>
  <si>
    <t>그룹별 단위 또는 전체 데이터로 
단건을 다중선택 배포</t>
  </si>
  <si>
    <t>배포를 위한 프로세스 간편화</t>
  </si>
  <si>
    <t xml:space="preserve"> 단건을 다중 발행</t>
  </si>
  <si>
    <t>타 기관 및 지자체 배포/발행 기능
(물리적 분리)</t>
  </si>
  <si>
    <t>대용량 데이터 배포/발행
(DB 물리적분리)</t>
  </si>
  <si>
    <t>■ 대용량 데이터(DB) 배포/발행(사용자 포털 DB)</t>
  </si>
  <si>
    <t>사용자포털 메뉴추가</t>
  </si>
  <si>
    <t>■ 화면 ui 추가(우측끝) 데이터 목록</t>
  </si>
  <si>
    <t>지자체 전용 적제 데이터 목록의
연계 상태 표출(사용자테이블 목록)</t>
  </si>
  <si>
    <t>업데이트 주기 표출
(테이블 업데이트주기)</t>
  </si>
  <si>
    <t>테이블 최종 업데이트 시간</t>
  </si>
  <si>
    <t>데이터 사용량 표출
(테이블 건수 표기)</t>
  </si>
  <si>
    <t>■ 사용자 포털 적재 데이터 목록 데이터 건수 표기
    (테이블 건수 표기)</t>
  </si>
  <si>
    <t>Agent 데이터 연계 신청 기능</t>
  </si>
  <si>
    <t>연계를 위한 테이블 생성 관련 컬럼과
자료형 등의 정보기술</t>
  </si>
  <si>
    <t> IOT ISSUE 정리
1. 사전 정책 수립
 1-1. IoT 장치 설치및 운영 정책
   1) 센서 종류, 설치 및 운용에 관한 내용
     - 센서 종류 선정 (제조사선별)
     - 선세 설치 선정 ( 제조사 혹은 설치대행사 ) 
     - 유지보수  운용 및 업체 정책
 1-2. 장치 원시데이터 적재 및 보존 정책
     - 수집데이터 적재 및 보전 정책 수립
     - 장치별, 시간별 수집데이터 (빅데이터)  운용 및
       백업 정책 
     - 원시데이터 전송 및 수신처 원시데이터 파싱
       표출 정책
 1-3. 데이터 표출 모니터링 (UX/UI) 정책
       (대시보드 연계 관련)
    - IoT 데이터 표출을 위한 JSON API 정의 및 수신측
       (UX/UI)  요구사항 정의 
2. 확인사항
  ㆍIoT 디바이스 종류 및 지역
  ㆍIoT 센서 데이터 수집 주기
  ㆍIoT 센서 low 데이터 수집주기
  ㆍUX 표현방법 
  ㆍ디바이스 프로토콜 정의
    - 업체 협의 필요(스탠다드 여부)
    - 파인 업체에 요청 가능
  ㆍ디바이스 고유주소에 따른 데이터 획득 방법
    - 업체 협의 필요
※ IoT 관리체계</t>
  </si>
  <si>
    <t>24~26</t>
    <phoneticPr fontId="15" type="noConversion"/>
  </si>
  <si>
    <r>
      <t xml:space="preserve">3.1.14 </t>
    </r>
    <r>
      <rPr>
        <sz val="11"/>
        <rFont val="맑은 고딕"/>
        <family val="3"/>
        <charset val="129"/>
        <scheme val="minor"/>
      </rPr>
      <t>웹 위젯 추가 및 관리 기능</t>
    </r>
    <phoneticPr fontId="15" type="noConversion"/>
  </si>
  <si>
    <t>SFR-015</t>
    <phoneticPr fontId="15" type="noConversion"/>
  </si>
  <si>
    <r>
      <t xml:space="preserve">3.1.15 </t>
    </r>
    <r>
      <rPr>
        <sz val="11"/>
        <rFont val="맑은 고딕"/>
        <family val="3"/>
        <charset val="129"/>
        <scheme val="minor"/>
      </rPr>
      <t>LX플랫폼(데이터 서비스) 기능 고도화</t>
    </r>
    <phoneticPr fontId="15" type="noConversion"/>
  </si>
  <si>
    <t>SFR-016</t>
    <phoneticPr fontId="15" type="noConversion"/>
  </si>
  <si>
    <t>3.16 LX플랫폼 (데이터 서비스) 분석기능 개발 및 고도화 (SFR-016)</t>
    <phoneticPr fontId="0" type="noConversion"/>
  </si>
  <si>
    <t>51~56</t>
    <phoneticPr fontId="0" type="noConversion"/>
  </si>
  <si>
    <t>3.1.16 LX플랫폼(데이터서비스) 분석기능 개발</t>
    <phoneticPr fontId="15" type="noConversion"/>
  </si>
  <si>
    <r>
      <rPr>
        <sz val="11"/>
        <rFont val="맑은 고딕"/>
        <family val="3"/>
        <charset val="129"/>
        <scheme val="minor"/>
      </rPr>
      <t>2. extract value point
- extract value point</t>
    </r>
    <phoneticPr fontId="15" type="noConversion"/>
  </si>
  <si>
    <r>
      <rPr>
        <sz val="11"/>
        <rFont val="맑은 고딕"/>
        <family val="3"/>
        <charset val="129"/>
        <scheme val="minor"/>
      </rPr>
      <t>3. 객체 정보 속성 입력
- 객체 정보 속성 입력</t>
    </r>
    <phoneticPr fontId="15" type="noConversion"/>
  </si>
  <si>
    <r>
      <rPr>
        <sz val="11"/>
        <rFont val="맑은 고딕"/>
        <family val="3"/>
        <charset val="129"/>
        <scheme val="minor"/>
      </rPr>
      <t>9. Table to XY Point layer
- Table to XY Point layer</t>
    </r>
    <phoneticPr fontId="15" type="noConversion"/>
  </si>
  <si>
    <t>3.1.16 LX플랫폼(데이터서비스)분석기능 고도화</t>
    <phoneticPr fontId="15" type="noConversion"/>
  </si>
  <si>
    <t>SFR-017</t>
    <phoneticPr fontId="15" type="noConversion"/>
  </si>
  <si>
    <t>1. 도형（점/선/면, 버퍼 등）으로 데이터셋（레이어/레코드） 검색
- 도형（점/선/면, 버퍼 등）으로 데이터셋（레이어/레코드） 검색
2. 사용자 지정영역의 데이터 융복합（컬럼 맞 레코드 선택 merge）
- 사용자 지정영역의 데이터 융복합（컬럼 맞 레코드 선택 merge）</t>
    <phoneticPr fontId="15" type="noConversion"/>
  </si>
  <si>
    <t>3.17 포털 저작도구 고도화 (융복합 지도 및 데이터) (SFR-017)</t>
    <phoneticPr fontId="0" type="noConversion"/>
  </si>
  <si>
    <r>
      <t xml:space="preserve">3.1.17 </t>
    </r>
    <r>
      <rPr>
        <sz val="11"/>
        <rFont val="맑은 고딕"/>
        <family val="3"/>
        <charset val="129"/>
        <scheme val="minor"/>
      </rPr>
      <t>융복합 데이터 저작도구 개발</t>
    </r>
    <phoneticPr fontId="15" type="noConversion"/>
  </si>
  <si>
    <t>3. 인덱스 기준정보
- 인덱스 기준정보</t>
    <phoneticPr fontId="15" type="noConversion"/>
  </si>
  <si>
    <t>매칭 킷값과 시설 간 데이터 생성
  · 비교필지 정보, 거리, 시설물 정보 및 계산정보 입력</t>
    <phoneticPr fontId="15" type="noConversion"/>
  </si>
  <si>
    <t>SFR-024</t>
    <phoneticPr fontId="15" type="noConversion"/>
  </si>
  <si>
    <t>3.24 민원정보 분석 플랫품 및 디지털 시장실 고도화 (SFR-024)</t>
    <phoneticPr fontId="0" type="noConversion"/>
  </si>
  <si>
    <t>3.25 기 분석•활용 서비스 모델 모듈화 및 고도화 (SFR-025)</t>
  </si>
  <si>
    <t>74~75</t>
  </si>
  <si>
    <t>&gt; 일반 사용자단에서 기능을 조합할 수 있도록 쉬운 조작 방법을 제공</t>
    <phoneticPr fontId="0" type="noConversion"/>
  </si>
  <si>
    <t>하</t>
    <phoneticPr fontId="15" type="noConversion"/>
  </si>
  <si>
    <t>임지수</t>
    <phoneticPr fontId="0" type="noConversion"/>
  </si>
  <si>
    <t>&gt; 카테고리는 데이터 관리 분석이며, qgis 참조
&gt; 지정된 정점 또는 입력 피쳐 위치에서 점(point)로 구성된 피쳐 클래스 생성 기능 구현
&gt; 카테고리는 데이터 관리 분석이며, qgis 참조
&gt; 다중 입력 피쳐를 여러 개의 단일 요소 피쳐 클래스로 분할하는 기능 구현
&gt; 카테고리는 데이터 관리 분석이며, qgis 참조
&gt; 각 입력 피처 또는 입력 피쳐 그룹을 둘러싸는 최소 경계 지오메트리(폴리곤 포함) 표출</t>
    <phoneticPr fontId="0" type="noConversion"/>
  </si>
  <si>
    <t>&gt; 카테고리는 위치찾기 분석이며, 레이어 발행 기능 구현
&gt; 테이블의 xy-좌표를 기준으로 2차원 XY 점 피쳐 클래스 생성 기능 구현</t>
    <phoneticPr fontId="0" type="noConversion"/>
  </si>
  <si>
    <t>정찬욱</t>
    <phoneticPr fontId="0" type="noConversion"/>
  </si>
  <si>
    <t>최윤주</t>
    <phoneticPr fontId="0" type="noConversion"/>
  </si>
  <si>
    <t>수용</t>
  </si>
  <si>
    <t>54~55</t>
  </si>
  <si>
    <t>56~57</t>
  </si>
  <si>
    <t>59~61</t>
  </si>
  <si>
    <t>81~82</t>
  </si>
  <si>
    <t>84~89</t>
  </si>
  <si>
    <t>90~99</t>
  </si>
  <si>
    <t>100 ~104</t>
  </si>
  <si>
    <t>115~116</t>
  </si>
  <si>
    <t xml:space="preserve"> 117~118</t>
  </si>
  <si>
    <t>중</t>
    <phoneticPr fontId="0" type="noConversion"/>
  </si>
  <si>
    <t>내부망과 외부망에 기 구축운영 중인 통합 운영관리 포털과의 연동</t>
    <phoneticPr fontId="15" type="noConversion"/>
  </si>
  <si>
    <t>기 구축운영 중인 통합 운영관리의 행정망 영역 구성 및 기능 연동</t>
    <phoneticPr fontId="15" type="noConversion"/>
  </si>
  <si>
    <t>타 시스템 간 연계방안 수립 및 필요 시 협의체를 구성하여 원할한 연계가 되도록 구축(K-Geo emd)</t>
    <phoneticPr fontId="15" type="noConversion"/>
  </si>
  <si>
    <t>기술협상_22.12.26</t>
    <phoneticPr fontId="15" type="noConversion"/>
  </si>
  <si>
    <r>
      <t xml:space="preserve">3D 객체 분해/조립을 위한 애니메이션 마법사 기능 구현
</t>
    </r>
    <r>
      <rPr>
        <sz val="11"/>
        <rFont val="KoPub돋움체 Bold"/>
        <family val="1"/>
        <charset val="129"/>
      </rPr>
      <t>※</t>
    </r>
    <r>
      <rPr>
        <sz val="8.8000000000000007"/>
        <rFont val="맑은 고딕"/>
        <family val="3"/>
        <charset val="129"/>
      </rPr>
      <t xml:space="preserve"> 발주처에서 구현 가이드 제공</t>
    </r>
    <phoneticPr fontId="15" type="noConversion"/>
  </si>
  <si>
    <t>3D 객체 데이터 연혁관리, 변동분 갱신 체계, 다양한 3D 파일 포맷 내보내기 구현</t>
    <phoneticPr fontId="15" type="noConversion"/>
  </si>
  <si>
    <t>LX플랫폼에서 다양한 데이터(대용량 데이터 포함)를 업로드.경량화처리.배포기능이 가능하도록 구현</t>
    <phoneticPr fontId="15" type="noConversion"/>
  </si>
  <si>
    <t>SFR-021</t>
    <phoneticPr fontId="15" type="noConversion"/>
  </si>
  <si>
    <t>항공, 드론 등 영상데이터 관리체계 구현
  · 영상데이터 조회, 등록, 수정, 삭제 기능 구현
  · 영상데이터의 메타정보 항목 정의 및 등록, 수정, 삭제 기능 구현
  · 영상데이터 시계열 관리 구현
  · 영상데이터 배포체계(지자체별 및 사용자별) 구현</t>
    <phoneticPr fontId="15" type="noConversion"/>
  </si>
  <si>
    <t>영상 타일링(맵 캐싱 포함)
  · 타일지도 연결 관리(API, 로컬 파일)
  · 타일 메타데이터 정보
  · 타일링 정보/웹레이어 등록/수정/삭제/조회
  · 타일링 생성(타일유형/좌표계/NAS설정 등)
  · 타일링 영상 지도 미리보기</t>
    <phoneticPr fontId="15" type="noConversion"/>
  </si>
  <si>
    <t>김종철</t>
    <phoneticPr fontId="15" type="noConversion"/>
  </si>
  <si>
    <t>2D, 3D 타일맵 공동 활용 방안 수립 및 적용</t>
    <phoneticPr fontId="15" type="noConversion"/>
  </si>
  <si>
    <t>SFR-012</t>
    <phoneticPr fontId="15" type="noConversion"/>
  </si>
  <si>
    <t>3.21 영상데이터 관리체계 구축 (SFR-021)</t>
  </si>
  <si>
    <t>67~68</t>
  </si>
  <si>
    <t>Ⅲ. 1.21 영상데이터 관리체계 구축</t>
  </si>
  <si>
    <t>LX플랫폼 고도화를 통해 개선된 부분에 대해 디지털 트윈국토 서비스 대상 지자체 특화 서비스에도 적용</t>
    <phoneticPr fontId="15" type="noConversion"/>
  </si>
  <si>
    <t>EFR-001</t>
    <phoneticPr fontId="0" type="noConversion"/>
  </si>
  <si>
    <t>세슘 3D타일링 서버 운영유지에 소요되는 고가의  라이선스 비용을 절감하고  오픈소스기반 시각화, 가시화 기능을 독자적으로 개발하여 국가예산 절</t>
    <phoneticPr fontId="0" type="noConversion"/>
  </si>
  <si>
    <t>Ⅶ.추가제안</t>
    <phoneticPr fontId="0" type="noConversion"/>
  </si>
  <si>
    <t>■ API의 관리체계를 통합하여 개발
   - API를 관리할 수 있는 기능 개발</t>
    <phoneticPr fontId="15" type="noConversion"/>
  </si>
  <si>
    <t>3.5 API 통합관리 및 모니터링 (통계) 체계 마련 (SFR-005)</t>
    <phoneticPr fontId="0" type="noConversion"/>
  </si>
  <si>
    <t>16~18</t>
    <phoneticPr fontId="0" type="noConversion"/>
  </si>
  <si>
    <t xml:space="preserve">Ⅲ. 1.5 API통합관리 및 모니터링체계마련
Ⅲ. 1.5 API통합관리 및 모니터링체계마련
</t>
    <phoneticPr fontId="15" type="noConversion"/>
  </si>
  <si>
    <t>62~63</t>
    <phoneticPr fontId="15" type="noConversion"/>
  </si>
  <si>
    <t>LX플랫폼 데이터관리체계 내 API 통합 관리 페이지 구축</t>
  </si>
  <si>
    <t xml:space="preserve"> 시스템 호출 API는 현재 3개사
      → AST,  온품, 파인이  각각 개발하고 하고 있으며,
         현재는 3 사의 API를 통합하여 관리하고 있지 않음
 파인 자체 API 목록 정리만 가능
   API의 관리체계의 통합 관리는 
     → 메인인 주체가 되어    관리하여야 된다 고 봄
     → 현재는 승인 발급등의 관리체계 시스템이 없슴
     → 명확한 업무 분장이 필요 하다고 봄
 논의후 정리 필요</t>
    <phoneticPr fontId="15" type="noConversion"/>
  </si>
  <si>
    <t>윤성한
남현석</t>
    <phoneticPr fontId="0" type="noConversion"/>
  </si>
  <si>
    <t>■ API를 등록하기 위한 정보 (API명, URI, 
    서비스 데이터 등)관리 기능 필요</t>
    <phoneticPr fontId="15" type="noConversion"/>
  </si>
  <si>
    <t>API 등록, 수정, 조회, 삭제 등의 API 정보 및 이력 관리</t>
    <phoneticPr fontId="0" type="noConversion"/>
  </si>
  <si>
    <t>API 변경시 변경 버전 관리 및 에 따른 버전 관리 기능</t>
    <phoneticPr fontId="0" type="noConversion"/>
  </si>
  <si>
    <t>■ 데이터 API 발급을 위한 API 인증키 신청, 승인, 조회, 삭제 기능</t>
    <phoneticPr fontId="15" type="noConversion"/>
  </si>
  <si>
    <t>데이터 API 인증키 생성 방안 수립 및 생성된 인증키의 유효성 검사 방안 마련 (인증키, IP, Port번호 등 이용)</t>
    <phoneticPr fontId="0" type="noConversion"/>
  </si>
  <si>
    <t>■ API 사용에 따른 통계 기능</t>
    <phoneticPr fontId="15" type="noConversion"/>
  </si>
  <si>
    <t>API 사용을 한 사용자, 데이터, 서비스 내용 및 특정 기간별 API 사용양 등의 통계 기능을 제공</t>
    <phoneticPr fontId="0" type="noConversion"/>
  </si>
  <si>
    <t>■ API 사용량에 따른 우선순위 조회</t>
    <phoneticPr fontId="15" type="noConversion"/>
  </si>
  <si>
    <t>API 목록상에서 사용량에 따른 목록 정리 기능</t>
    <phoneticPr fontId="0" type="noConversion"/>
  </si>
  <si>
    <t>■ 통합 플랫폼에서 보유한  모든 데이터의 접근 가능 하도록 구성</t>
    <phoneticPr fontId="15" type="noConversion"/>
  </si>
  <si>
    <t xml:space="preserve">Ⅲ. 1.7샌드박스기능 고도화개요
Ⅲ. 1.7 샌드박스 기능구현방안
</t>
    <phoneticPr fontId="15" type="noConversion"/>
  </si>
  <si>
    <t>65~66</t>
    <phoneticPr fontId="15" type="noConversion"/>
  </si>
  <si>
    <t>입력한 데이터만 분석하는 상태에서 통합플랫폼에서 보유한 모든 데이터에 접근하여 분석 가능하도록 구성 (3차원 데이터, 영상 데이터, 지형 데이터 등)</t>
    <phoneticPr fontId="0" type="noConversion"/>
  </si>
  <si>
    <t>최선우
이재용</t>
    <phoneticPr fontId="0" type="noConversion"/>
  </si>
  <si>
    <t>■ 기 구축 및 적재된 학습데이터의 활용 가능
    하도록 구성</t>
    <phoneticPr fontId="15" type="noConversion"/>
  </si>
  <si>
    <t xml:space="preserve"> 기 구축 및 적재된 학습데이터를 조회하고 활용 가능 하도록 구성</t>
    <phoneticPr fontId="0" type="noConversion"/>
  </si>
  <si>
    <t xml:space="preserve">중 </t>
    <phoneticPr fontId="0" type="noConversion"/>
  </si>
  <si>
    <t>■샌드박스 이용을 위한 다양한 이기종 프로그램이 구동하도록 구성</t>
    <phoneticPr fontId="15" type="noConversion"/>
  </si>
  <si>
    <t>파이썬, 쥬피터, Hive, R 등 분석을 위한 다양한 이기종 프로그램이 구동 가능 하도록 구성</t>
    <phoneticPr fontId="0" type="noConversion"/>
  </si>
  <si>
    <t>구동결과 시각화 기능</t>
    <phoneticPr fontId="15" type="noConversion"/>
  </si>
  <si>
    <t>■ 모든 프로그램의 구동 결과를 통합플랫폼
    에서 시각화 처리</t>
    <phoneticPr fontId="15" type="noConversion"/>
  </si>
  <si>
    <t>샌드박스 분석 결과를 LX플랫폼 데이터 서비스, 가시화 서비스에서 시각화 되어 표출 되도록 구성</t>
    <phoneticPr fontId="15" type="noConversion"/>
  </si>
  <si>
    <t xml:space="preserve"> 분석된 결과 데이터에대한 보안처리
 - 가명처리, 보안처리(해상도)
</t>
    <phoneticPr fontId="0" type="noConversion"/>
  </si>
  <si>
    <t>■ 결과의 레포팅 기능(일반 및 전문가 공통)</t>
    <phoneticPr fontId="15" type="noConversion"/>
  </si>
  <si>
    <t>분석 결과에 대한 레포팅 기능</t>
    <phoneticPr fontId="15" type="noConversion"/>
  </si>
  <si>
    <t>비전문가도 사용이 용이하도록 UI의 재설계 및 구현</t>
    <phoneticPr fontId="0" type="noConversion"/>
  </si>
  <si>
    <t>추가 개발된 분석기능을 기 구축된 분석기능와 함께 사용 가능하도록 구축</t>
    <phoneticPr fontId="0" type="noConversion"/>
  </si>
  <si>
    <t>분석 결과 외부 반출에 대한 신청 및 신청 내역 조회, 수정, 삭제, 허가 등의 관리기능 개발</t>
    <phoneticPr fontId="0" type="noConversion"/>
  </si>
  <si>
    <t>분석을 위한 자원 신청 및 신청 내역 조회, 수정, 삭제, 허가, 자원 할당, 접근제어 등의 관리기능 개발</t>
    <phoneticPr fontId="0" type="noConversion"/>
  </si>
  <si>
    <t>help 기능을 통한 상세 매뉴얼 제공</t>
    <phoneticPr fontId="0" type="noConversion"/>
  </si>
  <si>
    <t>분석 결과의 검토 기능 개발</t>
    <phoneticPr fontId="0" type="noConversion"/>
  </si>
  <si>
    <t xml:space="preserve"> 신청 -&gt; 검토-&gt;승인-&gt; 반출 등의 보안규정에 적합한 
 프로세스 구축 및 프로세스 단위별 기능 개발 </t>
    <phoneticPr fontId="0" type="noConversion"/>
  </si>
  <si>
    <t>RFP</t>
    <phoneticPr fontId="15" type="noConversion"/>
  </si>
  <si>
    <t>분석 모델, 분석에 사용된 데이터 등 활용에 대한 이력, 통계 등을 조회, 수정, 삭제 하도록 기능 개발</t>
    <phoneticPr fontId="0" type="noConversion"/>
  </si>
  <si>
    <t>SFR-007</t>
    <phoneticPr fontId="15" type="noConversion"/>
  </si>
  <si>
    <t>사용자 관리기능</t>
    <phoneticPr fontId="0" type="noConversion"/>
  </si>
  <si>
    <t>■ 사용자 권한 관리 기능</t>
    <phoneticPr fontId="15" type="noConversion"/>
  </si>
  <si>
    <t>관리자가 사용자별 권한 관리 조회, 수정, 삭제 하는 기능 개발</t>
    <phoneticPr fontId="0" type="noConversion"/>
  </si>
  <si>
    <t>데이터관리체계 통합</t>
  </si>
  <si>
    <t>3.19 데이터 관리시스템 고도화 (SFR-019)</t>
    <phoneticPr fontId="0" type="noConversion"/>
  </si>
  <si>
    <t>62~64</t>
    <phoneticPr fontId="0" type="noConversion"/>
  </si>
  <si>
    <t xml:space="preserve">Ⅲ. 1.19 데이터 관리시스템 고도화 개요
Ⅲ. 1.19 데이터 관리 기능 구현방안
</t>
    <phoneticPr fontId="15" type="noConversion"/>
  </si>
  <si>
    <t>106~107</t>
    <phoneticPr fontId="15" type="noConversion"/>
  </si>
  <si>
    <t>LX플랫폼 데이터관리체계에서 모든 DB의 데이터를 관리 하도록 구성</t>
  </si>
  <si>
    <t>윤종화
윤성한
남현석
신민영</t>
  </si>
  <si>
    <t>■  LX 플랫폼 데이터 서비스 및 가시화 서비스 모니터링 시스템을 통합하여 관리</t>
    <phoneticPr fontId="15" type="noConversion"/>
  </si>
  <si>
    <t>LX플랫폼에서 사용하는 여러 데이터들에 대한 통합 모니터링 시스템 구성</t>
    <phoneticPr fontId="15" type="noConversion"/>
  </si>
  <si>
    <t>SFR-019</t>
    <phoneticPr fontId="15" type="noConversion"/>
  </si>
  <si>
    <r>
      <t xml:space="preserve">데이터 </t>
    </r>
    <r>
      <rPr>
        <sz val="11"/>
        <rFont val="맑은 고딕"/>
        <family val="3"/>
        <charset val="129"/>
      </rPr>
      <t>연계∙적재∙배포∙발행 등 프로세스 고도화</t>
    </r>
    <phoneticPr fontId="15" type="noConversion"/>
  </si>
  <si>
    <t>■ 데이터관리체계 내 데이터 이동 프로세스 고도화</t>
  </si>
  <si>
    <t>데이터관리체계내에서 연계∙적재∙배포∙발행 등 이동에 관련된 프로세스에서 불편성 해소를 위한 기능 고도화</t>
  </si>
  <si>
    <t>■ 데이터 연계&amp;적재 상태 시각화 기능</t>
    <phoneticPr fontId="15" type="noConversion"/>
  </si>
  <si>
    <t>데이터관리체계의 연계 &amp; 적재 데이터 목록에서 현재 상태를 시각적으로 확인할 수 있도록 기능 구현</t>
  </si>
  <si>
    <t>업무 분장 협의가 필요</t>
    <phoneticPr fontId="0" type="noConversion"/>
  </si>
  <si>
    <t>데이터 연계&amp;적재 오류 발생시 해당 내용에 대한 알람을 표출하고 오류 목록을 산정 및 목록화하여 해결방안을 제시하는 기능 개발</t>
    <phoneticPr fontId="0" type="noConversion"/>
  </si>
  <si>
    <t>데이터 연계 중복등록 방지</t>
    <phoneticPr fontId="15" type="noConversion"/>
  </si>
  <si>
    <t>■ 파일명, 해시값 등 여러 방안을 통하여 연계 데이터
    중복 등록 방지 기능 개발</t>
    <phoneticPr fontId="15" type="noConversion"/>
  </si>
  <si>
    <t xml:space="preserve"> 파일명, 해시값 등 여러 방안을 강구하여 연계데이터 중복 방지 기능 개발 방안 마련</t>
    <phoneticPr fontId="15" type="noConversion"/>
  </si>
  <si>
    <t>■ 데이터 연계&amp;적재 목록에서 현 상태
     (진행중, 오류 등) 시각적으로 표출 하는 기능</t>
    <phoneticPr fontId="15" type="noConversion"/>
  </si>
  <si>
    <t xml:space="preserve">데이터 연계&amp;적재 목록에서 현 상태를 시각적으로 표출 하기 위한 대책 마련 및 기능 구현 </t>
    <phoneticPr fontId="15" type="noConversion"/>
  </si>
  <si>
    <t>소스 분석후 협의</t>
    <phoneticPr fontId="0" type="noConversion"/>
  </si>
  <si>
    <t>■ 데이터관리체계에서 데이터 적재시 데이터 생애주기 항목
    추가(데이터 유효기간)</t>
  </si>
  <si>
    <t>데이터관리체계에서 데이터 적재시 데이터의 생애주기 항목을 추가 하여 데이터의 남은 보유 기간 표출</t>
  </si>
  <si>
    <t>■ 데이터관리체계에서 데이터 적재시 데이터 최종 적재일 
    항목 추가</t>
  </si>
  <si>
    <t>데이터관리체계에서 데이터 적재시 데이터 최종 업데이트 일자를 저장 후 표기</t>
  </si>
  <si>
    <t>모니터링 기능 강화</t>
    <phoneticPr fontId="15" type="noConversion"/>
  </si>
  <si>
    <t xml:space="preserve">■ 데이터관리체계의 DB 및 리소스에 대한 모니터링 기능 강화 </t>
    <phoneticPr fontId="15" type="noConversion"/>
  </si>
  <si>
    <t>DB 상태 및 부하 등 데이터의 상태를 한눈에 모니터링 할수 있도록 구성</t>
    <phoneticPr fontId="15" type="noConversion"/>
  </si>
  <si>
    <t>연계 데이터 '신규등록' 기능 고도화</t>
    <phoneticPr fontId="15" type="noConversion"/>
  </si>
  <si>
    <t>■ 연계 데이터 '신규등록' 시 사용자 편의성 증대 및 프로세스 개선</t>
    <phoneticPr fontId="15" type="noConversion"/>
  </si>
  <si>
    <t>연계 데이터 '신규등록' 시 등록 편의를 위하여 양식(xls) 파일 업로드 등의 프로세스 개선을 통하여 사용자 편의성 증대</t>
    <phoneticPr fontId="15" type="noConversion"/>
  </si>
  <si>
    <t>■ 연계&amp;적재 프로세스별 페이지 이동 개선</t>
    <phoneticPr fontId="15" type="noConversion"/>
  </si>
  <si>
    <t>연계&amp;적재 프로세스별 페이지의 이동 모션의 개선을 위한 데이터관리체계 분석후 페이지 이동 개선방안 마련</t>
    <phoneticPr fontId="0" type="noConversion"/>
  </si>
  <si>
    <t>내용확인이 필요</t>
    <phoneticPr fontId="15" type="noConversion"/>
  </si>
  <si>
    <t>연계&amp;적재 전처리, 정제작업 기능의
고도화 및 사용자 편의성 개선</t>
    <phoneticPr fontId="15" type="noConversion"/>
  </si>
  <si>
    <t>■ 데이터관리체계 적재 데이터 1차가공 적재만 가능한 것을
     2차적재가 가능한지 분석</t>
  </si>
  <si>
    <t>데이터관리체계 적재 데이터의 1차가공 알고리즘의 분석후 2차 적제 방안 논의 적용 방안 결정</t>
  </si>
  <si>
    <t>■ 레이어 목록 검색 기능 구현
■ 레이어 추가 시 자동 저장</t>
    <phoneticPr fontId="15" type="noConversion"/>
  </si>
  <si>
    <t>레이어 목록의 리스트와 및 검색 기능 추가, 레이어 추가 시 자동 저장 되는 기능 신규 생성</t>
    <phoneticPr fontId="15" type="noConversion"/>
  </si>
  <si>
    <t>■ 데이터관리체계에서 배포시 똑같은 반복 배포항목 그룹화</t>
    <phoneticPr fontId="15" type="noConversion"/>
  </si>
  <si>
    <t>데이터관리체계에서 배포시 동일한 방식의 반복 배포 항목을 그룹화 하여,  배포시 동일 작업을 동시에 진행할 수 있도록 시스템 개선</t>
    <phoneticPr fontId="15" type="noConversion"/>
  </si>
  <si>
    <t>■ 데이터관리체계에서 단건으로 배포하는 것을 다중선택으로
     배포 프로세스 간편화</t>
    <phoneticPr fontId="15" type="noConversion"/>
  </si>
  <si>
    <t xml:space="preserve"> 데이터관리체계에서 단건으로 배포하는 것을 다중선택으로 배포하는 프로세스를 제작하여 배포 프로세스를 간편화 하는 방안을 마련</t>
  </si>
  <si>
    <t>■ 데이터관리체계 단건 발행을 다중선택으로 발행</t>
    <phoneticPr fontId="15" type="noConversion"/>
  </si>
  <si>
    <t>데이터관리체계에서 단건 발행되는 사항을 다중으로 선택하여 발행할수 있도록 프로세스 제작</t>
    <phoneticPr fontId="15" type="noConversion"/>
  </si>
  <si>
    <t>■ 사용자 포털 DB 구축시 배포/발행
■ 타 기관 및 지자체로 배포/발행 기능
    (DB분리시 배포(물리적)</t>
    <phoneticPr fontId="15" type="noConversion"/>
  </si>
  <si>
    <t>사용자 포털 DB 구축시 배포/발행 할수 있도록 데이터 수정 방안 마련 및 db분리시 배포 발행 방안 마련</t>
    <phoneticPr fontId="15" type="noConversion"/>
  </si>
  <si>
    <t>대용량 데이터 배포시의 문제점을 파악 후 개선사항을 작성 및 대용량 데이터의 발행방안 마련</t>
    <phoneticPr fontId="15" type="noConversion"/>
  </si>
  <si>
    <t>사용자 포털 메뉴 데이터 목록에 화면 ui를 추가하여 사용자 데이터 조회를 가시화 하여 사용할수 있는 방안 마련</t>
    <phoneticPr fontId="15" type="noConversion"/>
  </si>
  <si>
    <t>■ 사용자 포털 데이터 목록 추가
     (지자체DB 해당 스키마조회)</t>
    <phoneticPr fontId="15" type="noConversion"/>
  </si>
  <si>
    <t>사용자 포털 데이터 목록 추가로 사용자가 포털에서 데이터를 운용하기 간편할 수 있는 방안 모색 및 지자체 데이터 목록 조회를 위한 신규 시스템 제작</t>
    <phoneticPr fontId="15" type="noConversion"/>
  </si>
  <si>
    <t>■ 사용자 포털 적재 데이터 목록
     (테이블 업데이트 주기)</t>
    <phoneticPr fontId="15" type="noConversion"/>
  </si>
  <si>
    <t>사용자 포털 적재 데이터 목록의 데이터 업로드 시스템 구현 및 테이블 업데이트 주기의 기준을 생성하여 업데이트에서의 오류 사항 발생 최소화</t>
    <phoneticPr fontId="15" type="noConversion"/>
  </si>
  <si>
    <t>■ 사용자 포털 적재 데이터 목록 적재 기간 표출
     (테이블 최종 업데이트 시간)</t>
    <phoneticPr fontId="15" type="noConversion"/>
  </si>
  <si>
    <t xml:space="preserve"> 사용자 포털 적재 데이터 목록 적재 기간 표출용 항목 추가 및 테이블 최종 업데이트 시간 구현 후 기록이 가능한 테이블 생성</t>
    <phoneticPr fontId="15" type="noConversion"/>
  </si>
  <si>
    <t>지자체 데이터 목록 조회 화면에 데이터 건수 구현 및 목록화 이후 적재 된 데이터의 테이블을 조회 할 수 있는 화면 신설</t>
    <phoneticPr fontId="15" type="noConversion"/>
  </si>
  <si>
    <t>■ 지자체 및 기관에서 데이터 연계를 위한 연계 신청 기능 구현</t>
    <phoneticPr fontId="15" type="noConversion"/>
  </si>
  <si>
    <t>3.20 데이터 Agent 성능 고도화 (SFR-020)</t>
    <phoneticPr fontId="0" type="noConversion"/>
  </si>
  <si>
    <t>65~66</t>
    <phoneticPr fontId="0" type="noConversion"/>
  </si>
  <si>
    <t>Ⅲ. 1.20 데이터 Agent 성능 고도화 개요
Ⅲ. 1.20 Agent Client/Server 기능 구현방안</t>
    <phoneticPr fontId="15" type="noConversion"/>
  </si>
  <si>
    <t>108~109</t>
    <phoneticPr fontId="15" type="noConversion"/>
  </si>
  <si>
    <t>agent client 에서 데이터 연계 신청 페이지를 구성하여 연계 데이터에 대한 내용을 작성 하는 기능 구현</t>
    <phoneticPr fontId="0" type="noConversion"/>
  </si>
  <si>
    <t>윤성한
김미희</t>
    <phoneticPr fontId="0" type="noConversion"/>
  </si>
  <si>
    <t>■ 연계 신청하려는 데이터의 정보(테이블 정의, 컬럼정의, 자료형 등) 기술 및 요청하는 기능</t>
    <phoneticPr fontId="15" type="noConversion"/>
  </si>
  <si>
    <t>Agent를 통하여 연계 신청하려는 데이터의 정보 작성하고 LX플랫폼 데이터 관리자에게 요청하는 기능</t>
    <phoneticPr fontId="0" type="noConversion"/>
  </si>
  <si>
    <t>연계 신청 완료 알림</t>
    <phoneticPr fontId="15" type="noConversion"/>
  </si>
  <si>
    <t>■ 연계 신청한 데이터가 연계 가능함을 알려주는 기능</t>
    <phoneticPr fontId="15" type="noConversion"/>
  </si>
  <si>
    <t>연계를 신청한 데이터가 LX플랫폼 관리자로부터 연계 승인 됨을 확인 하고 알려주는 기능</t>
    <phoneticPr fontId="15" type="noConversion"/>
  </si>
  <si>
    <t>■ Agent의 구동상황 점검을 위하여 연계 상태를 시각화 하는 기능 개발</t>
    <phoneticPr fontId="15" type="noConversion"/>
  </si>
  <si>
    <t>Agent의 상태 체크를 위하여 Client에서 Health Check 파일을 생성하고 이를 전송 함으로 상태를 확인하고 이를 목록에서 시각화 함</t>
    <phoneticPr fontId="0" type="noConversion"/>
  </si>
  <si>
    <t>■ 대용량 데이터 전송을 위한 연계 기능 고도화</t>
    <phoneticPr fontId="15" type="noConversion"/>
  </si>
  <si>
    <t>2GB 이상의 대용량 파일 전송하기 위한 연계 기능 개선
(행망 내부에서 전송 차단우려가 있을수있음 별도 확인필요)</t>
    <phoneticPr fontId="0" type="noConversion"/>
  </si>
  <si>
    <t>agent client 일정주기로 서버상태전송 하여
서버 지자체 테이블에 컬럼 추가 업데이트</t>
    <phoneticPr fontId="0" type="noConversion"/>
  </si>
  <si>
    <t>api의 작동 방법을 변경 및 추가하여 서버에 있는 지자체 테이블의 헬스 체크의 시간 표현 및 주기적으로 갱신</t>
    <phoneticPr fontId="0" type="noConversion"/>
  </si>
  <si>
    <t>이기종  loT 장비 운영 정책 수립</t>
  </si>
  <si>
    <r>
      <t xml:space="preserve">■ 이기종의 loT 장비 </t>
    </r>
    <r>
      <rPr>
        <sz val="12"/>
        <color rgb="FF000000"/>
        <rFont val="맑은 고딕"/>
        <family val="3"/>
        <charset val="129"/>
      </rPr>
      <t xml:space="preserve">운영 정책
  - IoT 장치 운영 정책 수립 
 - 수집 정보 / 수집영역 /  표출희망 데이터 
</t>
    </r>
  </si>
  <si>
    <t>3.22 loT 관리체계 구축 (SFR-022)</t>
    <phoneticPr fontId="0" type="noConversion"/>
  </si>
  <si>
    <t>69~70</t>
    <phoneticPr fontId="0" type="noConversion"/>
  </si>
  <si>
    <t>Ⅲ. 1.22 IoT 관리 체계 기능 구현방안</t>
    <phoneticPr fontId="15" type="noConversion"/>
  </si>
  <si>
    <t>112~113</t>
    <phoneticPr fontId="15" type="noConversion"/>
  </si>
  <si>
    <t>IoT 장비 설치방법 ,등록방법 , 측정데이터 수집 및 관리운영 방법 등의
정책을  수립하고  LX 관리체계 와  지자체 운영 정책을  수집하여 설계하고 그에 따른 IoT  운영 정책을  수립한다</t>
    <phoneticPr fontId="15" type="noConversion"/>
  </si>
  <si>
    <t>IoT 정보체계  구축</t>
  </si>
  <si>
    <t xml:space="preserve"> ■  이기종의 loT 장비로부터 수집한 정보의 표출 정책 수립
- 위치정보 연동 ( 법정동/ 행정동/ LX데이터 체계 /GPS 정보)
- 기기정보 연동 (MAC Addr/ </t>
  </si>
  <si>
    <t>이기종 IoT 장비들을  구분하여  장비에서의 발행되는 정보의  내용을
정의하여 운영정책에 따른 설치 위치정보와 LX 관리체계  연동하고 
그 발행정보를- UI 표출 요구사항 정의 ( API 데이터포멧 구성)한다</t>
    <phoneticPr fontId="15" type="noConversion"/>
  </si>
  <si>
    <t>강태우
남현석</t>
    <phoneticPr fontId="0" type="noConversion"/>
  </si>
  <si>
    <t>이기종  loT 장치 선정</t>
  </si>
  <si>
    <t>■  IoT 장비 선정 수립
  -  장비 운영정책에따른  장비 선정, 설치 , 표출 호환  과정</t>
  </si>
  <si>
    <t>운영에 필요한  장비 선정 및 데이터 구성 표준화 진행한다
데이터 수집을 위한 측정방식,  측정범위, 통신방식,  데이터 
프로토콜을 정의 또는 표준화 하는 정책 수립</t>
    <phoneticPr fontId="15" type="noConversion"/>
  </si>
  <si>
    <t>이기종  loT 장치 설치</t>
  </si>
  <si>
    <t>■  IoT 장비 설치
 -  설치장소/ 위치표시/ layer/ 장비 정보
 - 통신관련 MAC Addr, protocol 정의 및 요구사항  충족 확인</t>
  </si>
  <si>
    <t>위 과정을 통한 선비 선정 후 LX 체계의  위치 정보 와  장비
MacAddr 값, 장비 ID 값 설정하고  데이터 획득을 위한 위치정보,
장비ID 값, 장비 측정값 패킷 구성하고 설치하는 과정</t>
    <phoneticPr fontId="15" type="noConversion"/>
  </si>
  <si>
    <t xml:space="preserve">이기종  loT 장치 데이터 발행 </t>
  </si>
  <si>
    <t xml:space="preserve">■  IoT 장비 데이터 발행
 -  센서로부터 각각 요구  데이터 발행 확인 및 서버 접속여부
-  요구프로토콜 정합성 확인 , 발행 상태, 장비상태 확인, </t>
  </si>
  <si>
    <t>장치 설치 후   수집서버와 접속 및 연동하여  장비 데이터 발행여부,
장비와 수집서버간  접속 상태,  데이터 정합성 판단 측정 진행</t>
    <phoneticPr fontId="15" type="noConversion"/>
  </si>
  <si>
    <t xml:space="preserve">loT 수집 서버 구축 및 센서 연결 </t>
  </si>
  <si>
    <t xml:space="preserve">■  IoT 서버 구축 , 센서 연결, 확인
- 기 정의된 센서로 부터  종류/ 장비 기종/ 제조사 / IoT 통신 프로토콜 확인
- 원시 데이터  수신 확인 </t>
  </si>
  <si>
    <t>수집서버 구성및 네트워크 환경구성하여  장비와 서버간  송수신 상태
확인 과정
설치위치로부터 발행되는 장비의 발행정보와 디비의 위치기반 정보
데이터 연동 확인 (정합성 확인)</t>
    <phoneticPr fontId="15" type="noConversion"/>
  </si>
  <si>
    <t>loT  센서 데이터 수집 및 적재</t>
  </si>
  <si>
    <t>■  실시간 원시데이터 생성여부 접속여부 수신여부 ,수집여부 
-  여러종류의  센서로부터 발행되는 원시정보의 실시간 수집여부 확인 및 적재 확인
- 데이터 수집 및 적재크기 확인 / 수집데이터 적재 관리 운영 정책 수립</t>
  </si>
  <si>
    <t xml:space="preserve"> - 수집서버로 송신되는  각각의 장비 데이터 상태확인, 데이터 저장 및 적재 정보확인하는과정으로 데이터량에 따른 적재 과정  수립</t>
  </si>
  <si>
    <t>loT  RAW 데이터 분석및 파싱</t>
  </si>
  <si>
    <t>■  실시간 정보요청에 따른 개발
- 수집된 원시 데이터 원본상태 에서  요청데이터에 따른 실시간 데이터 파싱 표출
- 데이터 파싱내용 ( 위치/장비/기간 )</t>
  </si>
  <si>
    <t>실시간 정보 요청  대응과정으로  요구 시각에 따른  실시간 장비 1:1 정보 대응 송신</t>
  </si>
  <si>
    <t>API 서버 및 데이터베이스 구축</t>
  </si>
  <si>
    <t>■ 장비 원시데이터로부터 데이터 분석  저장을 위한 API 서버및 데이터베이스 구축</t>
  </si>
  <si>
    <t xml:space="preserve">수신되는 원시데이터를 파싱하여 수립된 정보체계의  데이터베이스로  저장하기위한 데이터베이스 테이블 구축
 - 장비 발행데이터 테이블 
 - 장비관련 테이블/ 장비 운영 환경테이블 </t>
    <phoneticPr fontId="15" type="noConversion"/>
  </si>
  <si>
    <t>API 연계 데이터  구성 및 적재</t>
  </si>
  <si>
    <t>■  데이터 파싱 관리및 저장
- 수집된 원시 데이터 원본상태 저장 및  정책에 따른 구분별 데이터 파싱 디비 저장
- 데이터 파싱 ( 위치/장비/기간) 분석 저장</t>
  </si>
  <si>
    <t>적재되는 원시데이터를 파싱하여 수립된 정보체계로 전환 디비 저장 하는과정</t>
  </si>
  <si>
    <t>DATA 수집 주기 및 관리 정책</t>
  </si>
  <si>
    <t>■ 가공데이터  관리및 저장
- 수집된 원시데이터 및 파싱데이터 적재및 관리정책  적용환경 개발
- 빅데이터 / 아카이브 정책 구성 및 적용</t>
  </si>
  <si>
    <t xml:space="preserve">원시데이터 디비저장, 파일저장을 위한 내,외부망 및 LX플랫폼 위치 
구성및 설정 </t>
    <phoneticPr fontId="15" type="noConversion"/>
  </si>
  <si>
    <t>Data 요청 API 엔진 구성 및 개발</t>
  </si>
  <si>
    <t>■ 외부 데이터 조회요청에 따른 API 엔진개발
- 조회조건 확인 (위치별/장치별/시구간별/ 통계별 등) 외부 요청에 따른 API 개발</t>
  </si>
  <si>
    <t>IoT 센서 정보를 필요로 하는 기관들의 조회 요청에 따른 REST API
엔진 구성및 개발</t>
    <phoneticPr fontId="15" type="noConversion"/>
  </si>
  <si>
    <t>API 데이터 표출을 위한 환경구성</t>
  </si>
  <si>
    <t>■ 데이터 표출 정책에 따른 노출환경 개발
- 위치제한/장비제한/ 기간제한 환경 구축</t>
  </si>
  <si>
    <t>요청기관들의 장비 운용을 위한  장지 환경/데이터 수집주기/ 표출형태 구성및 개발</t>
    <phoneticPr fontId="15" type="noConversion"/>
  </si>
  <si>
    <t xml:space="preserve">API 데이터 표출을 위한  외부 접속 및 연동 체계 </t>
  </si>
  <si>
    <t>■ 데이터 표출 권한 정책에 따른 외부연동 환경 구성
- 데이터 요청 기관에 따른 표출 제한 및 접근권한  적용</t>
  </si>
  <si>
    <t>주 관리기간의  관리상태 개발을 위한 과정으로 
장비 접근권한 / 데이터 접근 권한 /  표출제한등의 관리 구성및 
관리테이블 구성및 데이터 표출 요청 시 필터링 적용 개발</t>
    <phoneticPr fontId="15" type="noConversion"/>
  </si>
  <si>
    <t>LX 플랫폼 데이터 체계적용 ,  표출 데이터 선별  가공 및  데이터 적용</t>
  </si>
  <si>
    <t>■ LX 정책에 따른  수집된 데이터 적재 및 운영 정책 연계 개발</t>
  </si>
  <si>
    <t>수집서버 정보를 저장하기위한 적재정책, 물리적 시스템 구축에 따른
데이터 저장방식 구성 및   저장관리방식 정책수립 및 적용</t>
    <phoneticPr fontId="15" type="noConversion"/>
  </si>
  <si>
    <t xml:space="preserve">표출데이터  부가 사항 </t>
  </si>
  <si>
    <t xml:space="preserve">■ 데이터 표출 부가사항 
 - 수집 데이터 분석 가공   
- 특정 시간 단위로 총합，평균값，특이값 등 유의미한 값 가공 기능
</t>
  </si>
  <si>
    <t>수집된 장비의 정보로 부터  데이터 표출을 위한 데이터 가공 정책 
수립 , 데이터 표출 항목 선정 및  적용  개발</t>
    <phoneticPr fontId="15" type="noConversion"/>
  </si>
  <si>
    <t>loT 센서 모니터링 API</t>
  </si>
  <si>
    <t>■ 표출데이트 부가사항에 따른 대시보드용 API  데이터 전달
- 위치별/장비별/실시간 수집데이터 전달
- 사용자 요청사항에 따른 유의미값 전달</t>
  </si>
  <si>
    <t>데이터 표출 부가사항에 따른 항목별 API 데이터 셋  구성 개발 적용
및 데이터 가공 전달</t>
    <phoneticPr fontId="15" type="noConversion"/>
  </si>
  <si>
    <t>■ 대시보드 연동 API 데이터 전달</t>
  </si>
  <si>
    <t>데이터 표출 부가사항에 따른 API 데이터 셋  가공 전달 
(JSON 타입의 API 샘플데이터)</t>
    <phoneticPr fontId="15" type="noConversion"/>
  </si>
  <si>
    <t xml:space="preserve"> '3차원 모델 저작 기능 개발
 · 편집을 통해 변경된 지형 정보는 사용자별, 그룹별 공유 설정 등을 통해 공통 지형 레이어 반영 여부를 결정</t>
  </si>
  <si>
    <t>3차원 데이터 모델러 기능 고도화_인공지능 학습용 데이터 구축 사업을 통해 구축한 라이브러리 추가</t>
  </si>
  <si>
    <t>인공지능 학습용 데이터 구축 사업을 통해 구축한 라이브러리 추가
  · 하천시설물 407개, 도로교통 시설물 47종 438개, 그 외 사업에서 구축한 라이브러리 추가</t>
  </si>
  <si>
    <t xml:space="preserve">인공지능 학습용 데이터 구축 사업을 통해 구축한 라이브러리 추가
· 3D 모델 데이터 라이브러리 등록 기능 고도화
</t>
  </si>
  <si>
    <t xml:space="preserve">인공지능 학습용 데이터 구축 사업을 통해 구축한 라이브러리 추가
  · Texture 및 Material 적용 기능 </t>
  </si>
  <si>
    <r>
      <t xml:space="preserve"> - 라이브러리 추가에 따른 모델 배율 정상 사이즈 구현 기능 추가 </t>
    </r>
    <r>
      <rPr>
        <sz val="11"/>
        <color theme="1"/>
        <rFont val="맑은 고딕"/>
        <family val="3"/>
        <charset val="129"/>
        <scheme val="minor"/>
      </rPr>
      <t xml:space="preserve">
 - 3D객체 파일 포맷 호환을 위한 라이브러리 파일 포맷 변환 기능 개발(obj to glb, 3ds to glb 등)=》</t>
    </r>
    <r>
      <rPr>
        <sz val="11"/>
        <color rgb="FF0070C0"/>
        <rFont val="맑은 고딕"/>
        <family val="3"/>
        <charset val="129"/>
        <scheme val="minor"/>
      </rPr>
      <t xml:space="preserve"> </t>
    </r>
    <r>
      <rPr>
        <sz val="11"/>
        <color rgb="FFFF0000"/>
        <rFont val="맑은 고딕"/>
        <family val="3"/>
        <charset val="129"/>
        <scheme val="minor"/>
      </rPr>
      <t>내부 검토 필요</t>
    </r>
    <r>
      <rPr>
        <sz val="11"/>
        <rFont val="맑은 고딕"/>
        <family val="3"/>
        <charset val="129"/>
        <scheme val="minor"/>
      </rPr>
      <t xml:space="preserve">
 - 라이브러리 추가는 기존과 동일하게 백앤드 관리자페이지 모델 업로드 메뉴에서 진행
</t>
    </r>
    <r>
      <rPr>
        <sz val="11"/>
        <color rgb="FF0070C0"/>
        <rFont val="맑은 고딕"/>
        <family val="3"/>
        <charset val="129"/>
        <scheme val="minor"/>
      </rPr>
      <t xml:space="preserve"> - </t>
    </r>
    <r>
      <rPr>
        <sz val="11"/>
        <color theme="1"/>
        <rFont val="맑은 고딕"/>
        <family val="3"/>
        <charset val="129"/>
        <scheme val="minor"/>
      </rPr>
      <t>프런트앤드에서 사용자가 라이브러리의 목록과 미리보기를 할 수 있도록 표출</t>
    </r>
    <r>
      <rPr>
        <sz val="11"/>
        <color rgb="FF0070C0"/>
        <rFont val="맑은 고딕"/>
        <family val="3"/>
        <charset val="129"/>
        <scheme val="minor"/>
      </rPr>
      <t>=&gt;잠시 보류 전반 아키텍처와 협의후 진행</t>
    </r>
    <phoneticPr fontId="0" type="noConversion"/>
  </si>
  <si>
    <r>
      <t xml:space="preserve">1) 앞단(지도화면)에서 3D 라이브러리에 모델 생성 탭 추가
 - 폴리곤 그리기 버튼 추가 그리기 기능 구현 
 - 층수 입력 (가능성 연구 필요)
 - 층고 값 압력
</t>
    </r>
    <r>
      <rPr>
        <sz val="11"/>
        <color theme="1"/>
        <rFont val="맑은 고딕"/>
        <family val="3"/>
        <charset val="129"/>
        <scheme val="minor"/>
      </rPr>
      <t>2) 생성된 라이브러리 저장
 - 생성된 모델을 사용자 라이브러리 목록에 저장
 - 생성된 라이브러리의 전체or그룹별 공유는 아키텍쳐 파트와 협의 필요</t>
    </r>
    <phoneticPr fontId="0" type="noConversion"/>
  </si>
  <si>
    <r>
      <t xml:space="preserve">1) 텍스처 라이브러리 구축
</t>
    </r>
    <r>
      <rPr>
        <sz val="11"/>
        <color theme="1"/>
        <rFont val="맑은 고딕"/>
        <family val="3"/>
        <charset val="129"/>
        <scheme val="minor"/>
      </rPr>
      <t xml:space="preserve"> - 텍스처는 오픈 제공된 라이브러리 활용
 - 텍스처 선택 기능 제공
 - 패턴 선택 기능 제공
 - 텍스처가 변경된 객체를 사용자별 3D라이브러리에 저장</t>
    </r>
    <r>
      <rPr>
        <sz val="11"/>
        <rFont val="맑은 고딕"/>
        <family val="3"/>
        <charset val="129"/>
        <scheme val="minor"/>
      </rPr>
      <t xml:space="preserve">
</t>
    </r>
    <r>
      <rPr>
        <sz val="11"/>
        <color rgb="FFFF0000"/>
        <rFont val="맑은 고딕"/>
        <family val="3"/>
        <charset val="129"/>
        <scheme val="minor"/>
      </rPr>
      <t xml:space="preserve"> - 건물, 시설물 레이어와 연동 사용 위에서 구현된 3d모델에 선택한 텍스처 및 패턴 적용 =&gt; 목적 및 용도 확인 필요</t>
    </r>
    <phoneticPr fontId="0" type="noConversion"/>
  </si>
  <si>
    <t>수용</t>
    <phoneticPr fontId="15" type="noConversion"/>
  </si>
  <si>
    <t xml:space="preserve">3차원 모델 Texture 편집 기능 구현
  · 건물 및 시설물 등 Texture on/off 기능 구현
 </t>
  </si>
  <si>
    <t>3차원 모델 Texture 편집 기능 구현
   - Texture 변경 기능은 Unreal 기반 CS 프로그램에 적용</t>
  </si>
  <si>
    <t xml:space="preserve">3차원 모델 변환 기능 고도화
  · 투명 또는 반투명 형태로 제작된 데이터(ex 창문) 변환 시 동일하게 투명 또는 반투명 형태로 변환 적용
 </t>
  </si>
  <si>
    <t>3차원 모델 변환 기능 고도화
   · 데이터 변환 시 사전 데이터 검증 작업을 통해 원본 파일 중 오류데이터를 검출하여 관리자 또는 사용자에게 정보 제공
  - 오류 유형 별 처리 방법을 사용자에게 함께 제공되어야 함</t>
  </si>
  <si>
    <t>3차원 데이터 모델러 기능 고도화_객체 모델 갱신기능 고도화</t>
  </si>
  <si>
    <t xml:space="preserve"> - 텍스처 라이브러리 기능에서 텍스처 온오프 스위치 기능 추가하여 텍스처 활성화 비활성화 구현
 - 모델 일괄 적용 기능 (연구 필요)
 - 지정 건물의 선택된 면의 텍스처 변경(멀티 선택 및 멀티 변경) (연구필요)</t>
    <phoneticPr fontId="0" type="noConversion"/>
  </si>
  <si>
    <r>
      <t xml:space="preserve"> - 3D모델에서 투명</t>
    </r>
    <r>
      <rPr>
        <sz val="11"/>
        <color theme="1"/>
        <rFont val="휴먼모음T"/>
        <family val="1"/>
        <charset val="129"/>
      </rPr>
      <t>·</t>
    </r>
    <r>
      <rPr>
        <sz val="11"/>
        <color theme="1"/>
        <rFont val="맑은 고딕"/>
        <family val="3"/>
        <charset val="129"/>
        <scheme val="minor"/>
      </rPr>
      <t>반투명 재질에 대한 투명·반투명 가시화 유지 기능
 - 투명적용 데이터(부산 범천, 완주지사) 활용 테스트 중</t>
    </r>
    <phoneticPr fontId="0" type="noConversion"/>
  </si>
  <si>
    <t xml:space="preserve"> - 원본 데이터에 대한 사전 체크, 변환 과정에서 오류사항 표시하고, 오류 발생시 사용자 오류 감지하고 개선할수 있는 방향
 - 아키텍쳐 파트 진행사항 확인하여 협의 필요()
 - 오류 유형을 정의(ex.레이어누락, 오탈자, 라인 연결성 등)하고 상세화</t>
    <phoneticPr fontId="0" type="noConversion"/>
  </si>
  <si>
    <t xml:space="preserve"> - 기존 건물에 대한 업데이트 방안 제시(건물 모델 변경 또는 재개발, 신도시 구축시 모델 변화에 따른 국부적인 갱신 용이할 것)
 - 3차원 객체 갱신 단위(단일, 행정구역 등) 검토 중</t>
    <phoneticPr fontId="0" type="noConversion"/>
  </si>
  <si>
    <t xml:space="preserve">스냅(snap) 기능 구현
  · 객체 마우스 오버 시 3차원 객체의 포인트, 라인 등에 스냅
   스냅의 범위 정의(포인트, 라인, 버텍스, 엣지 등등)
</t>
  </si>
  <si>
    <t xml:space="preserve">스냅(snap) 기능 구현
  · 스냅이 동작하는 범위(ex 0.1m, 0.5m) 및 객체 모델 설정
</t>
  </si>
  <si>
    <t>스냅(snap) 기능 구현
  · 스냅 동작이 필수인 기능 선택 시 자동 활성화</t>
  </si>
  <si>
    <t>2D 데이터 분석·통계 시각화 개선
 · 2D 레이어의 속성값에 따라 Z-Value 설정 및 3차원 시각화
 · 격자, 원형, 비정형 등 2D 데이터 원본 형상을 기반으로 Z-Value에 따라 높이 값이 적용된 3차원 통계지도 시각화
 · 분류기준(등간격 등) 설정, 색상 스펙트럼 제공, 범례 표시</t>
  </si>
  <si>
    <t>2D 데이터 분석·통계 시각화 개선
 · 분류기준(등간격 등) 설정, 색상 스펙트럼 제공, 범례 표시</t>
  </si>
  <si>
    <t xml:space="preserve">종/횡단 분석 기능 개선
  · 종/횡단 분석 시 지상의 객체(ex 건물, 시설물) 및 지하의 객체(ex 지하 시설물, 구조물) 단면 함께 표출될 수 있도록 기능 개선
</t>
  </si>
  <si>
    <t>종/횡단 분석 기능 개선
  · 단면을 추출하고자 하는 객체를 사용자가 선택할 수 있어야함
  · 단면 분석을 통해 표기된 객체에 대한 정보조회 기능 구현
   (ex 지하시설물에 마우스 오버 시 해당 시설물 정보 표시)</t>
  </si>
  <si>
    <t>지하시설물 시각화 개선
  · 사용자 영역 선택을 통해 지상의 면을 파내고 지하 구조물 또는 시설물이 노출될 수 있도록 기능 구현</t>
  </si>
  <si>
    <t>지하시설물 시각화 개선
  · 사용자 영역 조정을 통해 조회 범위 확대 조정</t>
  </si>
  <si>
    <t>지하시설물 시각화 개선
  · 노출된 지하시설물 또는 구조물에 대한 정보 조회</t>
  </si>
  <si>
    <t xml:space="preserve"> - 마우스가 모델링 객체에 근접햇을 떄, 그 건물의 점이나 면라인에 붙어서 라인을 그릴수 있도록 하는 기능. (arcgis  snapping 기능 ) =&gt; 현재는 2D에 대한 snapping 만 구현 가능
 - 3D 스냅 기능 추가 검토 필요</t>
    <phoneticPr fontId="0" type="noConversion"/>
  </si>
  <si>
    <t xml:space="preserve"> - 3D 스냅 기능 추가 검토 필요</t>
    <phoneticPr fontId="0" type="noConversion"/>
  </si>
  <si>
    <t xml:space="preserve"> - 자동활성화 부분은 측정에 기능에는 기본으로 자동활성화하게 하고, off 버튼이 있어서 일괄 해제 할수 있게끔
 - 추가 적용 가능한 기능(기본기능, 분석기능 등) 분류
 - 타기능에 종속되는 기능이 아닌 기본 기능으로 구현 가능한지 확인</t>
    <phoneticPr fontId="0" type="noConversion"/>
  </si>
  <si>
    <t>- 핫스팟, 밀도맵 분석 결과등을 3d 형태로 구현, 현재 보여지고 있는 기초에 +높이값
1) 핫스팟 구현방안
2) 밀도맵 
=》 구현 목표 샘플 제공 필요.
1) 3차원 시각화 표출 범위
 - 3차원으로 시각화 하여 표출 할 수 있는 데이터 확인
2) 시각화 상세설정
 - 시각화 하는 속성값 선택
 - 색상, 구분단계, 통계지도 크기(?)설정
3) 시각화 결과 저장
 - 결과를 저장하여 보고서로 출력</t>
    <phoneticPr fontId="0" type="noConversion"/>
  </si>
  <si>
    <t>1) 핫스팟, 밀도맵 등 각 분석 기능에 대한 분류기준 정할것
 - 핫스팟: 범위 간격을 몇등분하여 구현 개체를 묶는 기준에 대한 분류값 책정, 책정후 각 값에 대한 색상 범례 정하기</t>
    <phoneticPr fontId="0" type="noConversion"/>
  </si>
  <si>
    <r>
      <rPr>
        <sz val="11"/>
        <color rgb="FFFF0000"/>
        <rFont val="맑은 고딕"/>
        <family val="3"/>
        <charset val="129"/>
        <scheme val="minor"/>
      </rPr>
      <t>1) 기능 개선: 
 - 복잡한 도형 형태 분석 제공
 - 시계방향 폴리곤 지정영역 분석 제공</t>
    </r>
    <r>
      <rPr>
        <sz val="11"/>
        <rFont val="맑은 고딕"/>
        <family val="3"/>
        <charset val="129"/>
        <scheme val="minor"/>
      </rPr>
      <t xml:space="preserve">
2) 모델 객체 표출 
 - 레이어 목록을 통한 지상 객체, 지하 객체 표출
 - 레이어 활성화 된 상태에서 종/횡단 분석 기능 가능하게 구현
</t>
    </r>
    <r>
      <rPr>
        <sz val="11"/>
        <color theme="1"/>
        <rFont val="맑은 고딕"/>
        <family val="3"/>
        <charset val="129"/>
        <scheme val="minor"/>
      </rPr>
      <t xml:space="preserve"> - 단면분석 결과에서 지하시설물별로 외곽선 색상을 구분하여 범례 제공</t>
    </r>
    <r>
      <rPr>
        <sz val="11"/>
        <color rgb="FF0070C0"/>
        <rFont val="맑은 고딕"/>
        <family val="3"/>
        <charset val="129"/>
        <scheme val="minor"/>
      </rPr>
      <t xml:space="preserve">
</t>
    </r>
    <phoneticPr fontId="0" type="noConversion"/>
  </si>
  <si>
    <t xml:space="preserve">1) 객체 선택 기능
 - 조회하고자 하는 객체(건물, 지하시설물 등)를 선택하는 체크박스 표시
 - 객체 선택 후 색상변화로 선택되었음을 표시
 - 반영된 하수관, 오수관 등을 클릭시 속성 정보도 표출
</t>
    <phoneticPr fontId="0" type="noConversion"/>
  </si>
  <si>
    <t xml:space="preserve">1) 객체 정보 표출
 - 건물, 시설물, 지하시설물, 구조물 정보 표시 on/off 버튼 제공
 - 버튼 클릭시 상세정보 표출
2) 지하부분 단면 분석 그래프 연동
 - 그래프상에 포인트로 시설물 위치 표출(위치, 깊이 수치 표출)
 - 지도화면에서도 마우스로 라인타고 움직일 경우, 그래프상에 라인 또는 포인트로 연동 표시
 </t>
    <phoneticPr fontId="0" type="noConversion"/>
  </si>
  <si>
    <t xml:space="preserve"> - 편집모드에서 사용자 영역 크기를 조절할 수 있는 라인 생성
 - 각 면의 라인을 클릭하여 좌우로 이동시켜 확장 기능 구현
 - 값 입력으로 설정 가능한지 확인(검토 필요)</t>
    <phoneticPr fontId="0" type="noConversion"/>
  </si>
  <si>
    <t xml:space="preserve"> - api를 통한 선택영역내 모델 객체 리스트 표출
 - 지하시설물 분석에서 통일된 색상 구분 체계 정의
 - 리스트상에서 해당 객체명 클릭시 해당 객체로 이동
 - 이동후 선택 객체 위에 아이콘 라벨 생성
 - 지하시설물 속성테이블 확인 후 표출 가능 정보 확인(시설물 고유 정보 표출, 속성 테이블 구축하여 표출 여부 )</t>
    <phoneticPr fontId="0" type="noConversion"/>
  </si>
  <si>
    <t>2023.03.10</t>
    <phoneticPr fontId="15" type="noConversion"/>
  </si>
  <si>
    <t>서혜수</t>
    <phoneticPr fontId="15" type="noConversion"/>
  </si>
  <si>
    <t>LXPFA_SFR_001_AD_001</t>
  </si>
  <si>
    <t>LXPFA_SFR_001_AD_002</t>
  </si>
  <si>
    <t>LXPFA_SFR_001_AD_003</t>
  </si>
  <si>
    <t>LXPFA_SFR_001_AD_004</t>
  </si>
  <si>
    <t>LXPFA_SFR_001_AD_005</t>
  </si>
  <si>
    <t>LXPFA_SFR_001_AD_006</t>
  </si>
  <si>
    <t>LXPFA_SFR_001_AD_007</t>
  </si>
  <si>
    <t>LXPFA_SFR_001_AD_008</t>
  </si>
  <si>
    <t>LXPFA_SFR_001_AD_009</t>
  </si>
  <si>
    <t>LXPFA_SFR_001_AD_010</t>
  </si>
  <si>
    <t>LXPFA_SFR_001_AD_011</t>
  </si>
  <si>
    <t>LXPFA_SFR_002_AD_001</t>
  </si>
  <si>
    <t>LXPFA_SFR_002_AD_002</t>
  </si>
  <si>
    <t>LXPFA_SFR_004_AD_001</t>
  </si>
  <si>
    <t>LXPFA_SFR_004_AD_002</t>
  </si>
  <si>
    <t>LXPFA_SFR_004_AD_003</t>
  </si>
  <si>
    <t>LXPFA_SFR_004_AD_004</t>
  </si>
  <si>
    <t>LXPFA_SFR_004_AD_005</t>
  </si>
  <si>
    <t>LXPFA_SFR_004_AD_006</t>
  </si>
  <si>
    <t>LXPFA_SFR_004_AD_007</t>
  </si>
  <si>
    <t>LXPFA_SFR_004_AD_008</t>
  </si>
  <si>
    <t>LXPFA_SFR_004_AD_009</t>
  </si>
  <si>
    <t>LXPFA_SFR_006_AD_001</t>
  </si>
  <si>
    <t>LXPFA_SFR_006_AD_002</t>
  </si>
  <si>
    <t>LXPFA_SFR_006_AD_003</t>
  </si>
  <si>
    <t>LXPFA_SFR_006_AD_004</t>
  </si>
  <si>
    <t>LXPFA_SFR_006_AD_005</t>
  </si>
  <si>
    <t>LXPFA_SFR_006_AD_006</t>
  </si>
  <si>
    <t>LXPFA_SFR_006_AD_007</t>
  </si>
  <si>
    <t>LXPFA_SFR_003_IN_002</t>
  </si>
  <si>
    <t>LXPFA_SFR_003_IN_003</t>
  </si>
  <si>
    <t>LXPFA_SFR_003_IN_004</t>
  </si>
  <si>
    <t>LXPFA_SFR_003_IN_005</t>
  </si>
  <si>
    <t>LXPFA_SFR_003_IN_006</t>
  </si>
  <si>
    <t>LXPFA_SFR_003_IN_007</t>
  </si>
  <si>
    <t>LXPFA_SFR_003_IN_008</t>
  </si>
  <si>
    <t>LXPFA_SFR_003_IN_009</t>
  </si>
  <si>
    <t>LXPFA_SFR_003_IN_010</t>
  </si>
  <si>
    <t>LXPFA_SFR_003_IN_011</t>
  </si>
  <si>
    <t>LXPFA_SFR_003_IN_012</t>
  </si>
  <si>
    <t>LXPFA_SFR_003_IN_013</t>
  </si>
  <si>
    <t>LXPFA_SFR_003_IN_014</t>
  </si>
  <si>
    <t>LXPFA_SFR_003_IN_015</t>
  </si>
  <si>
    <t>LXPFA_SFR_008_3D_001</t>
  </si>
  <si>
    <t>LXPFA_SFR_008_3D_002</t>
  </si>
  <si>
    <t>LXPFA_SFR_008_3D_004</t>
  </si>
  <si>
    <t>LXPFA_SFR_008_3D_005</t>
  </si>
  <si>
    <t>LXPFA_SFR_008_3D_006</t>
  </si>
  <si>
    <t>LXPFA_SFR_008_3D_007</t>
  </si>
  <si>
    <t>LXPFA_SFR_008_3D_008</t>
  </si>
  <si>
    <t>LXPFA_SFR_008_3D_009</t>
  </si>
  <si>
    <t>LXPFA_SFR_008_3D_010</t>
  </si>
  <si>
    <t>LXPFA_SFR_008_3D_011</t>
  </si>
  <si>
    <t>LXPFA_SFR_008_3D_012</t>
  </si>
  <si>
    <t>LXPFA_SFR_008_3D_013</t>
  </si>
  <si>
    <t>LXPFA_SFR_009_3D_001</t>
  </si>
  <si>
    <t>LXPFA_SFR_009_3D_002</t>
  </si>
  <si>
    <t>LXPFA_SFR_009_3D_003</t>
  </si>
  <si>
    <t>LXPFA_SFR_009_3D_004</t>
  </si>
  <si>
    <t>LXPFA_SFR_009_3D_005</t>
  </si>
  <si>
    <t>LXPFA_SFR_009_3D_006</t>
  </si>
  <si>
    <t>LXPFA_SFR_009_3D_007</t>
  </si>
  <si>
    <t>LXPFA_SFR_009_3D_008</t>
  </si>
  <si>
    <t>LXPFA_SFR_009_3D_009</t>
  </si>
  <si>
    <t>LXPFA_SFR_009_3D_010</t>
  </si>
  <si>
    <t>LXPFA_SFR_010_3D_006</t>
  </si>
  <si>
    <t>LXPFA_SFR_010_3D_007</t>
  </si>
  <si>
    <t>LXPFA_SFR_011_3D_001</t>
  </si>
  <si>
    <t>LXPFA_SFR_011_3D_002</t>
  </si>
  <si>
    <t>LXPFA_SFR_011_3D_003</t>
  </si>
  <si>
    <t>LXPFA_SFR_011_3D_004</t>
  </si>
  <si>
    <t>LXPFA_SFR_012_3D_002</t>
  </si>
  <si>
    <t>LXPFA_SFR_012_3D_003</t>
  </si>
  <si>
    <t>LXPFA_SFR_012_3D_004</t>
  </si>
  <si>
    <t>LXPFA_SFR_012_3D_005</t>
  </si>
  <si>
    <t>LXPFA_SFR_012_3D_006</t>
  </si>
  <si>
    <t>LXPFA_SFR_012_3D_007</t>
  </si>
  <si>
    <t>LXPFA_SFR_012_3D_008</t>
  </si>
  <si>
    <t>LXPFA_SFR_012_3D_009</t>
  </si>
  <si>
    <t>LXPFA_SFR_012_3D_010</t>
  </si>
  <si>
    <t>LXPFA_SFR_012_3D_011</t>
  </si>
  <si>
    <t>LXPFA_SFR_012_3D_012</t>
  </si>
  <si>
    <t>LXPFA_SFR_021_3D_001</t>
  </si>
  <si>
    <t>LXPFA_SFR_021_3D_002</t>
  </si>
  <si>
    <t>LXPFA_SFR_021_3D_003</t>
  </si>
  <si>
    <t>LXPFA_REQ_PER_001_001</t>
  </si>
  <si>
    <t>LXPFA_REQ_PER_002_001</t>
  </si>
  <si>
    <t>LXPFA_REQ_PER_002_002</t>
  </si>
  <si>
    <t>LXPFA_REQ_PER_002_003</t>
  </si>
  <si>
    <t>LXPFA_REQ_PER_003_001</t>
  </si>
  <si>
    <t>LXPFA_REQ_PER_003_002</t>
  </si>
  <si>
    <t>LXPFA_REQ_PER_003_003</t>
  </si>
  <si>
    <t>LXPFA_REQ_PER_004_001</t>
  </si>
  <si>
    <t>LXPFA_REQ_PER_004_002</t>
  </si>
  <si>
    <t>LXPFA_REQ_PER_004_003</t>
  </si>
  <si>
    <t>LXPFA_REQ_SIR_001_001</t>
  </si>
  <si>
    <t>LXPFA_REQ_SIR_001_002</t>
  </si>
  <si>
    <t>LXPFA_REQ_SIR_001_003</t>
  </si>
  <si>
    <t>LXPFA_REQ_SIR_001_004</t>
  </si>
  <si>
    <t>LXPFA_REQ_SIR_002_001</t>
  </si>
  <si>
    <t>LXPFA_REQ_SIR_002_002</t>
  </si>
  <si>
    <t>LXPFA_REQ_SIR_002_003</t>
  </si>
  <si>
    <t>LXPFA_REQ_SIR_002_004</t>
  </si>
  <si>
    <t>LXPFA_REQ_SIR_002_005</t>
  </si>
  <si>
    <t>LXPFA_REQ_SIR_002_006</t>
  </si>
  <si>
    <t>LXPFA_REQ_SIR_003_001</t>
  </si>
  <si>
    <t>LXPFA_REQ_SIR_003_002</t>
  </si>
  <si>
    <t>LXPFA_REQ_SIR_004_001</t>
  </si>
  <si>
    <t>LXPFA_REQ_SIR_005_001</t>
  </si>
  <si>
    <t>LXPFA_REQ_SIR_005_002</t>
  </si>
  <si>
    <t>LXPFA_REQ_SIR_005_003</t>
  </si>
  <si>
    <t>LXPFA_REQ_SIR_005_004</t>
  </si>
  <si>
    <t>LXPFA_REQ_SIR_005_005</t>
  </si>
  <si>
    <t>LXPFA_REQ_SIR_006_001</t>
  </si>
  <si>
    <t>LXPFA_REQ_SIR_006_002</t>
  </si>
  <si>
    <t>LXPFA_REQ_SIR_007_001</t>
  </si>
  <si>
    <t>LXPFA_REQ_SIR_007_002</t>
  </si>
  <si>
    <t>LXPFA_REQ_SIR_007_003</t>
  </si>
  <si>
    <t>LXPFA_REQ_SIR_007_004</t>
  </si>
  <si>
    <t>LXPFA_REQ_SIR_008_001</t>
  </si>
  <si>
    <t>LXPFA_REQ_SIR_008_002</t>
  </si>
  <si>
    <t>LXPFA_REQ_SIR_008_003</t>
  </si>
  <si>
    <t>LXPFA_REQ_SIR_008_004</t>
  </si>
  <si>
    <t>LXPFA_REQ_DAR_001_001</t>
  </si>
  <si>
    <t>LXPFA_REQ_DAR_001_002</t>
  </si>
  <si>
    <t>LXPFA_REQ_DAR_001_003</t>
  </si>
  <si>
    <t>LXPFA_REQ_DAR_001_004</t>
  </si>
  <si>
    <t>LXPFA_REQ_DAR_002_001</t>
  </si>
  <si>
    <t>LXPFA_REQ_DAR_002_002</t>
  </si>
  <si>
    <t>LXPFA_REQ_DAR_002_003</t>
  </si>
  <si>
    <t>LXPFA_REQ_DAR_003_001</t>
  </si>
  <si>
    <t>LXPFA_REQ_DAR_003_002</t>
  </si>
  <si>
    <t>LXPFA_REQ_DAR_004_001</t>
  </si>
  <si>
    <t>LXPFA_REQ_DAR_004_002</t>
  </si>
  <si>
    <t>LXPFA_REQ_DAR_004_003</t>
  </si>
  <si>
    <t>LXPFA_REQ_DAR_004_004</t>
  </si>
  <si>
    <t>LXPFA_REQ_DAR_004_005</t>
  </si>
  <si>
    <t>LXPFA_REQ_DAR_005_001</t>
  </si>
  <si>
    <t>LXPFA_REQ_DAR_005_002</t>
  </si>
  <si>
    <t>LXPFA_REQ_DAR_005_003</t>
  </si>
  <si>
    <t>LXPFA_REQ_TER_001_001</t>
  </si>
  <si>
    <t>LXPFA_REQ_TER_001_002</t>
  </si>
  <si>
    <t>LXPFA_REQ_TER_001_003</t>
  </si>
  <si>
    <t>LXPFA_REQ_TER_001_004</t>
  </si>
  <si>
    <t>LXPFA_REQ_TER_001_005</t>
  </si>
  <si>
    <t>LXPFA_REQ_TER_001_006</t>
  </si>
  <si>
    <t>LXPFA_REQ_TER_002_001</t>
  </si>
  <si>
    <t>LXPFA_REQ_TER_002_002</t>
  </si>
  <si>
    <t>LXPFA_REQ_TER_002_003</t>
  </si>
  <si>
    <t>LXPFA_REQ_TER_003_001</t>
  </si>
  <si>
    <t>LXPFA_REQ_TER_003_002</t>
  </si>
  <si>
    <t>LXPFA_REQ_TER_003_003</t>
  </si>
  <si>
    <t>LXPFA_REQ_TER_004_001</t>
  </si>
  <si>
    <t>LXPFA_REQ_TER_004_002</t>
  </si>
  <si>
    <t>LXPFA_REQ_TER_004_003</t>
  </si>
  <si>
    <t>LXPFA_REQ_TER_004_004</t>
  </si>
  <si>
    <t>LXPFA_REQ_TER_005_001</t>
  </si>
  <si>
    <t>LXPFA_REQ_TER_005_002</t>
  </si>
  <si>
    <t>LXPFA_REQ_TER_005_003</t>
  </si>
  <si>
    <t>LXPFA_REQ_TER_005_004</t>
  </si>
  <si>
    <t>LXPFA_REQ_TER_005_005</t>
  </si>
  <si>
    <t>LXPFA_REQ_SER_001_001</t>
  </si>
  <si>
    <t>LXPFA_REQ_SER_002_001</t>
  </si>
  <si>
    <t>LXPFA_REQ_SER_002_002</t>
  </si>
  <si>
    <t>LXPFA_REQ_SER_002_003</t>
  </si>
  <si>
    <t>LXPFA_REQ_SER_003_001</t>
  </si>
  <si>
    <t>LXPFA_REQ_SER_003_002</t>
  </si>
  <si>
    <t>LXPFA_REQ_SER_003_003</t>
  </si>
  <si>
    <t>LXPFA_REQ_SER_004_001</t>
  </si>
  <si>
    <t>LXPFA_REQ_SER_004_002</t>
  </si>
  <si>
    <t>LXPFA_REQ_SER_004_003</t>
  </si>
  <si>
    <t>LXPFA_REQ_SER_004_004</t>
  </si>
  <si>
    <t>LXPFA_REQ_SER_005_001</t>
  </si>
  <si>
    <t>LXPFA_REQ_SER_005_002</t>
  </si>
  <si>
    <t>LXPFA_REQ_SER_006_001</t>
  </si>
  <si>
    <t>LXPFA_REQ_SER_006_002</t>
  </si>
  <si>
    <t>LXPFA_REQ_SER_006_003</t>
  </si>
  <si>
    <t>LXPFA_REQ_SER_006_004</t>
  </si>
  <si>
    <t>LXPFA_REQ_SER_006_005</t>
  </si>
  <si>
    <t>LXPFA_REQ_SER_006_006</t>
  </si>
  <si>
    <t>LXPFA_REQ_SER_006_007</t>
  </si>
  <si>
    <t>LXPFA_REQ_SER_006_008</t>
  </si>
  <si>
    <t>LXPFA_REQ_SER_006_009</t>
  </si>
  <si>
    <t>LXPFA_REQ_SER_006_010</t>
  </si>
  <si>
    <t>LXPFA_REQ_SER_006_011</t>
  </si>
  <si>
    <t>LXPFA_REQ_SER_006_012</t>
  </si>
  <si>
    <t>LXPFA_REQ_SER_006_013</t>
  </si>
  <si>
    <t>LXPFA_REQ_QUR_001_001</t>
  </si>
  <si>
    <t>LXPFA_REQ_QUR_002_001</t>
  </si>
  <si>
    <t>LXPFA_REQ_QUR_002_002</t>
  </si>
  <si>
    <t>LXPFA_REQ_QUR_003_001</t>
  </si>
  <si>
    <t>LXPFA_REQ_QUR_003_002</t>
  </si>
  <si>
    <t>LXPFA_REQ_QUR_004_001</t>
  </si>
  <si>
    <t>LXPFA_REQ_QUR_004_002</t>
  </si>
  <si>
    <t>LXPFA_REQ_COR_001_001</t>
  </si>
  <si>
    <t>LXPFA_REQ_COR_001_002</t>
  </si>
  <si>
    <t>LXPFA_REQ_COR_001_003</t>
  </si>
  <si>
    <t>LXPFA_REQ_COR_001_004</t>
  </si>
  <si>
    <t>LXPFA_REQ_COR_001_005</t>
  </si>
  <si>
    <t>LXPFA_REQ_COR_001_006</t>
  </si>
  <si>
    <t>LXPFA_REQ_COR_001_007</t>
  </si>
  <si>
    <t>LXPFA_REQ_COR_001_008</t>
  </si>
  <si>
    <t>LXPFA_REQ_COR_002_001</t>
  </si>
  <si>
    <t>LXPFA_REQ_COR_002_002</t>
  </si>
  <si>
    <t>LXPFA_REQ_COR_002_003</t>
  </si>
  <si>
    <t>LXPFA_REQ_COR_002_004</t>
  </si>
  <si>
    <t>LXPFA_REQ_COR_002_005</t>
  </si>
  <si>
    <t>LXPFA_REQ_COR_002_006</t>
  </si>
  <si>
    <t>LXPFA_REQ_COR_003_001</t>
  </si>
  <si>
    <t>LXPFA_REQ_COR_003_002</t>
  </si>
  <si>
    <t>LXPFA_REQ_COR_004_001</t>
  </si>
  <si>
    <t>LXPFA_REQ_COR_004_002</t>
  </si>
  <si>
    <t>LXPFA_REQ_COR_004_003</t>
  </si>
  <si>
    <t>LXPFA_REQ_PMR_001_001</t>
  </si>
  <si>
    <t>LXPFA_REQ_PMR_001_002</t>
  </si>
  <si>
    <t>LXPFA_REQ_PMR_001_003</t>
  </si>
  <si>
    <t>LXPFA_REQ_PMR_001_004</t>
  </si>
  <si>
    <t>LXPFA_REQ_PMR_001_005</t>
  </si>
  <si>
    <t>LXPFA_REQ_PMR_001_006</t>
  </si>
  <si>
    <t>LXPFA_REQ_PMR_002_001</t>
  </si>
  <si>
    <t>LXPFA_REQ_PMR_002_002</t>
  </si>
  <si>
    <t>LXPFA_REQ_PMR_002_003</t>
  </si>
  <si>
    <t>LXPFA_REQ_PMR_003_001</t>
  </si>
  <si>
    <t>LXPFA_REQ_PMR_003_002</t>
  </si>
  <si>
    <t>LXPFA_REQ_PMR_004_001</t>
  </si>
  <si>
    <t>LXPFA_REQ_PMR_004_002</t>
  </si>
  <si>
    <t>LXPFA_REQ_PMR_004_003</t>
  </si>
  <si>
    <t>LXPFA_REQ_PMR_004_004</t>
  </si>
  <si>
    <t>LXPFA_REQ_PMR_004_005</t>
  </si>
  <si>
    <t>LXPFA_REQ_PMR_004_006</t>
  </si>
  <si>
    <t>LXPFA_REQ_PMR_005_001</t>
  </si>
  <si>
    <t>LXPFA_REQ_PMR_005_002</t>
  </si>
  <si>
    <t>LXPFA_REQ_PMR_006_001</t>
  </si>
  <si>
    <t>LXPFA_REQ_PMR_006_002</t>
  </si>
  <si>
    <t>LXPFA_REQ_PMR_006_003</t>
  </si>
  <si>
    <t>LXPFA_REQ_PMR_007_001</t>
  </si>
  <si>
    <t>LXPFA_REQ_PMR_007_002</t>
  </si>
  <si>
    <t>LXPFA_REQ_PMR_008_001</t>
  </si>
  <si>
    <t>LXPFA_REQ_PMR_008_002</t>
  </si>
  <si>
    <t>LXPFA_REQ_PMR_008_003</t>
  </si>
  <si>
    <t>LXPFA_REQ_PSR_001_001</t>
  </si>
  <si>
    <t>LXPFA_REQ_PSR_001_002</t>
  </si>
  <si>
    <t>LXPFA_REQ_PSR_001_003</t>
  </si>
  <si>
    <t>LXPFA_REQ_PSR_001_004</t>
  </si>
  <si>
    <t>LXPFA_REQ_PSR_002_001</t>
  </si>
  <si>
    <t>LXPFA_REQ_PSR_003_001</t>
  </si>
  <si>
    <t>LXPFA_REQ_PSR_003_002</t>
  </si>
  <si>
    <t>LXPFA_REQ_PSR_003_003</t>
  </si>
  <si>
    <t>LXPFA_REQ_MPR_001_001</t>
  </si>
  <si>
    <t>LXPFA_REQ_MPR_001_002</t>
  </si>
  <si>
    <t>LXPFA_REQ_MPR_002_001</t>
  </si>
  <si>
    <t>LXPFA_REQ_MHR_001_001</t>
  </si>
  <si>
    <t>LXPFA_REQ_MHR_002_001</t>
  </si>
  <si>
    <t xml:space="preserve"> - 지형영역 그리기 및 지정 기능
 - 선택된 지형영역 평면화 처리( 지형 깍아내기 ) 
 - 선택된 지형위에 건물 배치 등 조작 수행
 - 편집된 내용 저장 및 저장내용 리스트화 관리</t>
    <phoneticPr fontId="0" type="noConversion"/>
  </si>
  <si>
    <t>1) 3D 객체 데이터 관리체계
- 데이터 저장, 삭제, 복구를 위한 관리 체계 수립
- 사용자별, 생성 및 업로드 날짜별, 지역별 데이터 연혁 관리 체계 수립
- 시계열 데이터의 변동정보 관리, 갱신 체계 수립
2) 3D 파일포맷 내보내기 구현
- LX플랫폼에 업로드된 데이터를 다양한 파일포맷으로 내보내기
 -&gt; ex) 3DTiles to OBJ, 속성정보DB to xls 등</t>
    <phoneticPr fontId="15" type="noConversion"/>
  </si>
  <si>
    <r>
      <t>1) LX플랫폼 통합에 따라 DMS페이지에 영상관리 페이지 통합 관리
- 관리페이지에 영상관리 메뉴 생성
- 영상 메타데이터 조회, 등록, 수정, 삭제 기능
- LX플랫폼에서 관리 가능한 영상포맷 정의
2) 영상데이터 관리체계 수립
- NAS서버 할당 및 파일관리 정책 수립
- 파일분류</t>
    </r>
    <r>
      <rPr>
        <sz val="10"/>
        <color indexed="8"/>
        <rFont val="맑은 고딕"/>
        <family val="3"/>
        <charset val="129"/>
      </rPr>
      <t xml:space="preserve"> 및</t>
    </r>
    <r>
      <rPr>
        <sz val="10"/>
        <color indexed="8"/>
        <rFont val="맑은 고딕"/>
        <family val="3"/>
        <charset val="129"/>
        <scheme val="major"/>
      </rPr>
      <t xml:space="preserve"> 활용 정책 수립(사용자별, 기간별, 지역별 영상파일 관리 등)
- 사용자 권한별 파일 업로드, 조회, 다운로드 정책 수립</t>
    </r>
    <phoneticPr fontId="15" type="noConversion"/>
  </si>
  <si>
    <r>
      <t xml:space="preserve">1) 영상 타일링 체계 현황을 파악하고 방법별 장단점 제시
- 방법별 용량한계, 처리시간 등 효율성 분석
 </t>
    </r>
    <r>
      <rPr>
        <sz val="10"/>
        <color indexed="8"/>
        <rFont val="맑은 고딕"/>
        <family val="3"/>
        <charset val="129"/>
      </rPr>
      <t>①</t>
    </r>
    <r>
      <rPr>
        <sz val="10"/>
        <color indexed="8"/>
        <rFont val="맑은 고딕"/>
        <family val="3"/>
        <charset val="129"/>
        <scheme val="major"/>
      </rPr>
      <t xml:space="preserve"> Geoserver의 영상타일링 기능 활용 방법(충북플랫폼 참고)
  -&gt; 가시화서비스 적용 가능성 확인
 ② Cesium의 이미지서버의 영상타일링 기능 활용 방법
  -&gt; 2D플랫폼에 활용 가능성 확인
2) 2D, 3D통합 영상타일링 체계 수립
- 대용량 파일 저장, 전송 솔루션 제공</t>
    </r>
    <phoneticPr fontId="15" type="noConversion"/>
  </si>
  <si>
    <t>산출내역서 ID</t>
    <phoneticPr fontId="0" type="noConversion"/>
  </si>
  <si>
    <t>산출내역서 어플리케이션명</t>
    <phoneticPr fontId="0" type="noConversion"/>
  </si>
  <si>
    <t>산출내역서 어플리케이션명</t>
    <phoneticPr fontId="15" type="noConversion"/>
  </si>
  <si>
    <t>산출내역서 ID</t>
    <phoneticPr fontId="15" type="noConversion"/>
  </si>
  <si>
    <t>1.클라우드 기능점수 산정</t>
    <phoneticPr fontId="39" type="noConversion"/>
  </si>
  <si>
    <t>순번</t>
    <phoneticPr fontId="15" type="noConversion"/>
  </si>
  <si>
    <t>어플리케이션명</t>
    <phoneticPr fontId="39" type="noConversion"/>
  </si>
  <si>
    <t>ID</t>
    <phoneticPr fontId="39" type="noConversion"/>
  </si>
  <si>
    <t>세부 업무명</t>
    <phoneticPr fontId="39" type="noConversion"/>
  </si>
  <si>
    <t>단위프로세스명</t>
    <phoneticPr fontId="15" type="noConversion"/>
  </si>
  <si>
    <t>단위프로세스설명</t>
    <phoneticPr fontId="15" type="noConversion"/>
  </si>
  <si>
    <t>데이터 및 트랜잭션 기능</t>
    <phoneticPr fontId="65" type="noConversion"/>
  </si>
  <si>
    <t>FP 산출</t>
    <phoneticPr fontId="39" type="noConversion"/>
  </si>
  <si>
    <t>재사용유형</t>
    <phoneticPr fontId="39" type="noConversion"/>
  </si>
  <si>
    <t>비고</t>
    <phoneticPr fontId="39" type="noConversion"/>
  </si>
  <si>
    <t>기능점수 단가</t>
    <phoneticPr fontId="39" type="noConversion"/>
  </si>
  <si>
    <t>④FP유형</t>
    <phoneticPr fontId="65" type="noConversion"/>
  </si>
  <si>
    <t>⑤FP가중치</t>
    <phoneticPr fontId="65" type="noConversion"/>
  </si>
  <si>
    <t>⑥보정계수</t>
    <phoneticPr fontId="65" type="noConversion"/>
  </si>
  <si>
    <t>⑦가중치</t>
    <phoneticPr fontId="65" type="noConversion"/>
  </si>
  <si>
    <t>클라우드</t>
    <phoneticPr fontId="39" type="noConversion"/>
  </si>
  <si>
    <t>(SFR-003)클라우드 통합 운영관리 고도화</t>
    <phoneticPr fontId="39" type="noConversion"/>
  </si>
  <si>
    <t>운영관리 포털 기능</t>
    <phoneticPr fontId="39" type="noConversion"/>
  </si>
  <si>
    <t>자동실행 스크립트 정보</t>
    <phoneticPr fontId="39" type="noConversion"/>
  </si>
  <si>
    <t>VM 생성 시 자동 실행할 스크립트 정보</t>
    <phoneticPr fontId="39" type="noConversion"/>
  </si>
  <si>
    <t>ILF</t>
  </si>
  <si>
    <t>신규</t>
    <phoneticPr fontId="39" type="noConversion"/>
  </si>
  <si>
    <t>이노그리드</t>
    <phoneticPr fontId="39" type="noConversion"/>
  </si>
  <si>
    <t>자동실행 스크립트 조회</t>
    <phoneticPr fontId="39" type="noConversion"/>
  </si>
  <si>
    <t>VM 생성 시 자동 실행할 스크립트 정보 조회</t>
    <phoneticPr fontId="39" type="noConversion"/>
  </si>
  <si>
    <t>EQ</t>
  </si>
  <si>
    <t>자동실행 스크립트 등록</t>
    <phoneticPr fontId="39" type="noConversion"/>
  </si>
  <si>
    <t>VM 생성 시 자동 실행할 스크립트 정보 등록</t>
    <phoneticPr fontId="39" type="noConversion"/>
  </si>
  <si>
    <t>EI</t>
  </si>
  <si>
    <t>자동실행 스크립트 수정</t>
    <phoneticPr fontId="39" type="noConversion"/>
  </si>
  <si>
    <t>VM 생성 시 자동 실행할 스크립트 정보 수정</t>
    <phoneticPr fontId="39" type="noConversion"/>
  </si>
  <si>
    <t>자동실행 스크립트 삭제</t>
    <phoneticPr fontId="39" type="noConversion"/>
  </si>
  <si>
    <t>VM 생성 시 자동 실행할 스크립트 정보 삭제</t>
    <phoneticPr fontId="39" type="noConversion"/>
  </si>
  <si>
    <t>스크립트 자동 실행 VM 생성</t>
    <phoneticPr fontId="39" type="noConversion"/>
  </si>
  <si>
    <t>스크립트가 탑재된 VM 자동생성 및 스크립트 자동실행</t>
    <phoneticPr fontId="39" type="noConversion"/>
  </si>
  <si>
    <t>EO</t>
  </si>
  <si>
    <t>수요기관 모니터링 페이지 개발</t>
    <phoneticPr fontId="39" type="noConversion"/>
  </si>
  <si>
    <t>수요기관 할당 인프라 조회</t>
    <phoneticPr fontId="39" type="noConversion"/>
  </si>
  <si>
    <t>수요기관에 할당된 프로젝트의 인프라 자원 조회</t>
    <phoneticPr fontId="39" type="noConversion"/>
  </si>
  <si>
    <t>수요기관 할당 스토리지 조회</t>
    <phoneticPr fontId="39" type="noConversion"/>
  </si>
  <si>
    <t>수요기관에 할당된 프로젝트의 스토리지 자원 조회</t>
    <phoneticPr fontId="39" type="noConversion"/>
  </si>
  <si>
    <t>수요기관 API 사용량 조회</t>
    <phoneticPr fontId="39" type="noConversion"/>
  </si>
  <si>
    <t>수요기관에 할당된 프로젝트의 API 사용량 조회</t>
    <phoneticPr fontId="39" type="noConversion"/>
  </si>
  <si>
    <t>수요기관 계정 연동</t>
    <phoneticPr fontId="39" type="noConversion"/>
  </si>
  <si>
    <t>수요기관에 할당된 사용자맞춤형포털의 계정정보 공동활용</t>
    <phoneticPr fontId="39" type="noConversion"/>
  </si>
  <si>
    <t>컨테이너 관리</t>
    <phoneticPr fontId="39" type="noConversion"/>
  </si>
  <si>
    <t>컨테이너 관리 정보 DB</t>
    <phoneticPr fontId="39" type="noConversion"/>
  </si>
  <si>
    <t>컨테이너 관리 조회</t>
    <phoneticPr fontId="39" type="noConversion"/>
  </si>
  <si>
    <t>컨테이너 관리 등록</t>
    <phoneticPr fontId="39" type="noConversion"/>
  </si>
  <si>
    <t>컨테이너 관리 수정</t>
    <phoneticPr fontId="39" type="noConversion"/>
  </si>
  <si>
    <t>컨테이너 관리 삭제</t>
    <phoneticPr fontId="39" type="noConversion"/>
  </si>
  <si>
    <t>네트워크 관리기능 고도화</t>
    <phoneticPr fontId="39" type="noConversion"/>
  </si>
  <si>
    <t>관리 자원 네트워크 구성 설정</t>
    <phoneticPr fontId="39" type="noConversion"/>
  </si>
  <si>
    <t>EI</t>
    <phoneticPr fontId="39" type="noConversion"/>
  </si>
  <si>
    <t>VM 로드밸런싱 관리 정보</t>
    <phoneticPr fontId="39" type="noConversion"/>
  </si>
  <si>
    <t>VM 로드밸런싱 관리 조회</t>
    <phoneticPr fontId="39" type="noConversion"/>
  </si>
  <si>
    <t>VM 로드밸런싱 관리 등록</t>
    <phoneticPr fontId="39" type="noConversion"/>
  </si>
  <si>
    <t>VM 로드밸런싱 관리 수정</t>
    <phoneticPr fontId="39" type="noConversion"/>
  </si>
  <si>
    <t>VM 로드밸런싱 관리 삭제</t>
    <phoneticPr fontId="39" type="noConversion"/>
  </si>
  <si>
    <t>스토리지 모니터링 및 관리</t>
    <phoneticPr fontId="39" type="noConversion"/>
  </si>
  <si>
    <t>스토리지 볼륨 정보</t>
    <phoneticPr fontId="39" type="noConversion"/>
  </si>
  <si>
    <t>스토리지 볼륨 조회</t>
    <phoneticPr fontId="39" type="noConversion"/>
  </si>
  <si>
    <t>스토리지 볼륨 등록</t>
    <phoneticPr fontId="39" type="noConversion"/>
  </si>
  <si>
    <t>스토리지 볼륨 수정</t>
    <phoneticPr fontId="39" type="noConversion"/>
  </si>
  <si>
    <t>스토리지 볼륨 삭제</t>
    <phoneticPr fontId="39" type="noConversion"/>
  </si>
  <si>
    <t>사용자맞춤형포털 생성 프로세스 고도화</t>
    <phoneticPr fontId="39" type="noConversion"/>
  </si>
  <si>
    <t>템플릿 생성 정보</t>
    <phoneticPr fontId="39" type="noConversion"/>
  </si>
  <si>
    <t>ILF</t>
    <phoneticPr fontId="39" type="noConversion"/>
  </si>
  <si>
    <t>포털 관리 정보</t>
    <phoneticPr fontId="39" type="noConversion"/>
  </si>
  <si>
    <t>포털 생성 등록</t>
    <phoneticPr fontId="39" type="noConversion"/>
  </si>
  <si>
    <t>포털 생성 API 키 발급</t>
    <phoneticPr fontId="39" type="noConversion"/>
  </si>
  <si>
    <t>포털 DBMS 스키마 생성</t>
    <phoneticPr fontId="39" type="noConversion"/>
  </si>
  <si>
    <t>포털 Geoserver 연동</t>
    <phoneticPr fontId="39" type="noConversion"/>
  </si>
  <si>
    <t>사용자맞춤형포털 권한 관리</t>
    <phoneticPr fontId="39" type="noConversion"/>
  </si>
  <si>
    <t>그룹 상세정보</t>
    <phoneticPr fontId="39" type="noConversion"/>
  </si>
  <si>
    <t>상세</t>
    <phoneticPr fontId="39" type="noConversion"/>
  </si>
  <si>
    <t>그룹 사용자 정보</t>
    <phoneticPr fontId="39" type="noConversion"/>
  </si>
  <si>
    <t>사용자</t>
    <phoneticPr fontId="39" type="noConversion"/>
  </si>
  <si>
    <t>그룹 역할정보</t>
    <phoneticPr fontId="39" type="noConversion"/>
  </si>
  <si>
    <t>역할</t>
    <phoneticPr fontId="39" type="noConversion"/>
  </si>
  <si>
    <t>역할별 상세정보</t>
    <phoneticPr fontId="39" type="noConversion"/>
  </si>
  <si>
    <t>역할별 사용자정보</t>
    <phoneticPr fontId="39" type="noConversion"/>
  </si>
  <si>
    <t>역할별 그룹</t>
    <phoneticPr fontId="39" type="noConversion"/>
  </si>
  <si>
    <t>그룹</t>
    <phoneticPr fontId="39" type="noConversion"/>
  </si>
  <si>
    <t>역할별 권한</t>
    <phoneticPr fontId="39" type="noConversion"/>
  </si>
  <si>
    <t>퍼미션</t>
    <phoneticPr fontId="39" type="noConversion"/>
  </si>
  <si>
    <t>사용자 정보</t>
    <phoneticPr fontId="39" type="noConversion"/>
  </si>
  <si>
    <t>사용자 로그</t>
    <phoneticPr fontId="39" type="noConversion"/>
  </si>
  <si>
    <t>행위이력</t>
    <phoneticPr fontId="39" type="noConversion"/>
  </si>
  <si>
    <t>Dashboard 총괄</t>
    <phoneticPr fontId="39" type="noConversion"/>
  </si>
  <si>
    <t>수요기관 자원 할당 정보 조회</t>
    <phoneticPr fontId="39" type="noConversion"/>
  </si>
  <si>
    <t>EQ</t>
    <phoneticPr fontId="39" type="noConversion"/>
  </si>
  <si>
    <t xml:space="preserve">수요기관 자원 성능조회 </t>
    <phoneticPr fontId="39" type="noConversion"/>
  </si>
  <si>
    <t>DBMS 인프라 운영관리</t>
    <phoneticPr fontId="39" type="noConversion"/>
  </si>
  <si>
    <t>DB 인스턴스 요약 Dashboard</t>
    <phoneticPr fontId="39" type="noConversion"/>
  </si>
  <si>
    <t>인스턴스 추가</t>
    <phoneticPr fontId="39" type="noConversion"/>
  </si>
  <si>
    <t>CPU 정보</t>
    <phoneticPr fontId="39" type="noConversion"/>
  </si>
  <si>
    <t>Memory 및 스왑정보</t>
    <phoneticPr fontId="39" type="noConversion"/>
  </si>
  <si>
    <t>디스크 정보</t>
    <phoneticPr fontId="39" type="noConversion"/>
  </si>
  <si>
    <t>네트워크정보</t>
    <phoneticPr fontId="39" type="noConversion"/>
  </si>
  <si>
    <t>쿼리분석</t>
    <phoneticPr fontId="39" type="noConversion"/>
  </si>
  <si>
    <t>EO</t>
    <phoneticPr fontId="39" type="noConversion"/>
  </si>
  <si>
    <t>PaaS 권한 관리</t>
    <phoneticPr fontId="39" type="noConversion"/>
  </si>
  <si>
    <t>권한 정보</t>
    <phoneticPr fontId="39" type="noConversion"/>
  </si>
  <si>
    <t>권한 조회</t>
    <phoneticPr fontId="39" type="noConversion"/>
  </si>
  <si>
    <t>권한 등록</t>
    <phoneticPr fontId="39" type="noConversion"/>
  </si>
  <si>
    <t>권한 수정</t>
    <phoneticPr fontId="39" type="noConversion"/>
  </si>
  <si>
    <t>권한 삭제</t>
    <phoneticPr fontId="39" type="noConversion"/>
  </si>
  <si>
    <t>권한 바인딩 정보</t>
    <phoneticPr fontId="39" type="noConversion"/>
  </si>
  <si>
    <t>권한 바인딩 조회</t>
    <phoneticPr fontId="39" type="noConversion"/>
  </si>
  <si>
    <t>권한 바인딩 등록</t>
    <phoneticPr fontId="39" type="noConversion"/>
  </si>
  <si>
    <t>권한 바인딩 수정</t>
    <phoneticPr fontId="39" type="noConversion"/>
  </si>
  <si>
    <t>권한 바인딩 삭제</t>
    <phoneticPr fontId="39" type="noConversion"/>
  </si>
  <si>
    <t>그룹 정보</t>
    <phoneticPr fontId="39" type="noConversion"/>
  </si>
  <si>
    <t>그룹 조회</t>
    <phoneticPr fontId="39" type="noConversion"/>
  </si>
  <si>
    <t>그룹 등록</t>
    <phoneticPr fontId="39" type="noConversion"/>
  </si>
  <si>
    <t>그룹 수정</t>
    <phoneticPr fontId="39" type="noConversion"/>
  </si>
  <si>
    <t>그룹 삭제</t>
    <phoneticPr fontId="39" type="noConversion"/>
  </si>
  <si>
    <t>서비스 어카운트 정보</t>
    <phoneticPr fontId="39" type="noConversion"/>
  </si>
  <si>
    <t>서비스 어카운트 조회</t>
    <phoneticPr fontId="39" type="noConversion"/>
  </si>
  <si>
    <t>서비스 어카운트 등록</t>
    <phoneticPr fontId="39" type="noConversion"/>
  </si>
  <si>
    <t>서비스 어카운트 수정</t>
    <phoneticPr fontId="39" type="noConversion"/>
  </si>
  <si>
    <t>서비스 어카운트 삭제</t>
    <phoneticPr fontId="39" type="noConversion"/>
  </si>
  <si>
    <t>서비스 어카운트 다운로드</t>
    <phoneticPr fontId="39" type="noConversion"/>
  </si>
  <si>
    <t>사용자 조회</t>
    <phoneticPr fontId="39" type="noConversion"/>
  </si>
  <si>
    <t>사용자 등록</t>
    <phoneticPr fontId="39" type="noConversion"/>
  </si>
  <si>
    <t>사용자 수정</t>
    <phoneticPr fontId="39" type="noConversion"/>
  </si>
  <si>
    <t>사용자 삭제</t>
    <phoneticPr fontId="39" type="noConversion"/>
  </si>
  <si>
    <t>PaaS 워크로드 시크릿</t>
    <phoneticPr fontId="39" type="noConversion"/>
  </si>
  <si>
    <t>시크릿 정보</t>
    <phoneticPr fontId="39" type="noConversion"/>
  </si>
  <si>
    <t>시크릿 조회</t>
    <phoneticPr fontId="39" type="noConversion"/>
  </si>
  <si>
    <t>시크릿 등록</t>
    <phoneticPr fontId="39" type="noConversion"/>
  </si>
  <si>
    <t>시크릿 수정</t>
    <phoneticPr fontId="39" type="noConversion"/>
  </si>
  <si>
    <t>시크릿 삭제</t>
    <phoneticPr fontId="39" type="noConversion"/>
  </si>
  <si>
    <t>Paas 워크로드 컨피그맵</t>
    <phoneticPr fontId="39" type="noConversion"/>
  </si>
  <si>
    <t>컨피그맵 정보</t>
    <phoneticPr fontId="39" type="noConversion"/>
  </si>
  <si>
    <t>컨피그맵 조회</t>
    <phoneticPr fontId="39" type="noConversion"/>
  </si>
  <si>
    <t>컨피그맵 등록</t>
    <phoneticPr fontId="39" type="noConversion"/>
  </si>
  <si>
    <t>컨피그맵 수정</t>
    <phoneticPr fontId="39" type="noConversion"/>
  </si>
  <si>
    <t>컨피그맵 삭제</t>
    <phoneticPr fontId="39" type="noConversion"/>
  </si>
  <si>
    <t>Paas 빌드컨피그</t>
    <phoneticPr fontId="39" type="noConversion"/>
  </si>
  <si>
    <t>빌드컨피그 정보</t>
    <phoneticPr fontId="39" type="noConversion"/>
  </si>
  <si>
    <t>빌드컨피그 조회</t>
    <phoneticPr fontId="39" type="noConversion"/>
  </si>
  <si>
    <t>빌드컨피그 등록</t>
    <phoneticPr fontId="39" type="noConversion"/>
  </si>
  <si>
    <t>빌드컨피그 수정</t>
    <phoneticPr fontId="39" type="noConversion"/>
  </si>
  <si>
    <t>빌드컨피그 삭제</t>
    <phoneticPr fontId="39" type="noConversion"/>
  </si>
  <si>
    <t>PaaS 관리 커스텀 리소스</t>
    <phoneticPr fontId="39" type="noConversion"/>
  </si>
  <si>
    <t>커스텀 리소스 정보</t>
    <phoneticPr fontId="39" type="noConversion"/>
  </si>
  <si>
    <t>커스텀 리소스 조회</t>
    <phoneticPr fontId="39" type="noConversion"/>
  </si>
  <si>
    <t>커스텀 리소스 등록</t>
    <phoneticPr fontId="39" type="noConversion"/>
  </si>
  <si>
    <t>커스텀 리소스 수정</t>
    <phoneticPr fontId="39" type="noConversion"/>
  </si>
  <si>
    <t>커스텀 리소스 삭제</t>
    <phoneticPr fontId="39" type="noConversion"/>
  </si>
  <si>
    <t>2.데이터관리체계 기능점수 산정</t>
    <phoneticPr fontId="39" type="noConversion"/>
  </si>
  <si>
    <t>파인</t>
    <phoneticPr fontId="39" type="noConversion"/>
  </si>
  <si>
    <t>데이터관리체계</t>
    <phoneticPr fontId="39" type="noConversion"/>
  </si>
  <si>
    <t>(SFR-005)API 통합관리 및 모니터링(통계) 체계 마련</t>
    <phoneticPr fontId="15" type="noConversion"/>
  </si>
  <si>
    <t>API 관리 체계</t>
    <phoneticPr fontId="15" type="noConversion"/>
  </si>
  <si>
    <t>API 연계시스템 리스트</t>
    <phoneticPr fontId="39" type="noConversion"/>
  </si>
  <si>
    <t>API 연계를 위한 연계 시스템 리스트</t>
    <phoneticPr fontId="39" type="noConversion"/>
  </si>
  <si>
    <t>파인</t>
    <phoneticPr fontId="65" type="noConversion"/>
  </si>
  <si>
    <t>API 연계시스템 상세 조회</t>
    <phoneticPr fontId="39" type="noConversion"/>
  </si>
  <si>
    <t>API 연계를 위한 연계 시스템 상세 조회</t>
    <phoneticPr fontId="39" type="noConversion"/>
  </si>
  <si>
    <t>API 연계시스템 등록</t>
    <phoneticPr fontId="39" type="noConversion"/>
  </si>
  <si>
    <t>API 연계를 위한 연계 시스템 등록</t>
    <phoneticPr fontId="39" type="noConversion"/>
  </si>
  <si>
    <t>API 연계시스템 수정</t>
    <phoneticPr fontId="39" type="noConversion"/>
  </si>
  <si>
    <t>API 연계를 위한 연계 시스템 수정</t>
    <phoneticPr fontId="39" type="noConversion"/>
  </si>
  <si>
    <t>API 연계시스템 삭제</t>
    <phoneticPr fontId="39" type="noConversion"/>
  </si>
  <si>
    <t>API 연계를 위한 연계 시스템 삭제</t>
    <phoneticPr fontId="39" type="noConversion"/>
  </si>
  <si>
    <t>API 연계시스템 이력 리스트</t>
    <phoneticPr fontId="39" type="noConversion"/>
  </si>
  <si>
    <t>API 연계 시스템을 이용한 연계시스템의 이력 조회</t>
    <phoneticPr fontId="39" type="noConversion"/>
  </si>
  <si>
    <t>API 연계시스템 이력 상세 조회</t>
    <phoneticPr fontId="39" type="noConversion"/>
  </si>
  <si>
    <t>API 연계 시스템을 이용한 연계시스템의 이력에 대한 상세 조회</t>
    <phoneticPr fontId="39" type="noConversion"/>
  </si>
  <si>
    <t>연계시스템별 API Key 생성</t>
    <phoneticPr fontId="39" type="noConversion"/>
  </si>
  <si>
    <t>API 연계를 위한 Key API 별 Key 생성</t>
    <phoneticPr fontId="39" type="noConversion"/>
  </si>
  <si>
    <t>연계시스템별 API Key별 이력 조회</t>
    <phoneticPr fontId="39" type="noConversion"/>
  </si>
  <si>
    <t>(사용자)API 연계 신청 리스트</t>
    <phoneticPr fontId="39" type="noConversion"/>
  </si>
  <si>
    <t>(사용자)API 연계 신청 등록</t>
    <phoneticPr fontId="39" type="noConversion"/>
  </si>
  <si>
    <t>(사용자)API 연계 신청 상세 조회</t>
    <phoneticPr fontId="39" type="noConversion"/>
  </si>
  <si>
    <t>(사용자)API 연계 신청 수정</t>
    <phoneticPr fontId="39" type="noConversion"/>
  </si>
  <si>
    <t>(사용자)API 연계 신청 삭제</t>
    <phoneticPr fontId="39" type="noConversion"/>
  </si>
  <si>
    <t>API 연계 신청 리스트</t>
  </si>
  <si>
    <t>API 연계 신청 상세 조회</t>
  </si>
  <si>
    <t>API 연계 신청 승인 처리</t>
  </si>
  <si>
    <t>모니터링</t>
    <phoneticPr fontId="39" type="noConversion"/>
  </si>
  <si>
    <t>사용자별 API 통계 조회</t>
    <phoneticPr fontId="39" type="noConversion"/>
  </si>
  <si>
    <t>데이터별별 API 통계 조회</t>
    <phoneticPr fontId="39" type="noConversion"/>
  </si>
  <si>
    <t>기간별별 API 통계 조회</t>
    <phoneticPr fontId="39" type="noConversion"/>
  </si>
  <si>
    <t>서비스별 API 통계 조회</t>
    <phoneticPr fontId="39" type="noConversion"/>
  </si>
  <si>
    <t>API별 통계 조회</t>
    <phoneticPr fontId="39" type="noConversion"/>
  </si>
  <si>
    <t>API별 우선순위  조회</t>
    <phoneticPr fontId="39" type="noConversion"/>
  </si>
  <si>
    <t>데이터셋별 통계 조회</t>
    <phoneticPr fontId="39" type="noConversion"/>
  </si>
  <si>
    <t>(SFR-007)샌드박스 기능 고도화</t>
    <phoneticPr fontId="39" type="noConversion"/>
  </si>
  <si>
    <t>비개방 데이터 활용 기능 고도화</t>
    <phoneticPr fontId="39" type="noConversion"/>
  </si>
  <si>
    <t>데이터 리스트</t>
    <phoneticPr fontId="39" type="noConversion"/>
  </si>
  <si>
    <t>활용 대상 데이터 조회 기능</t>
    <phoneticPr fontId="39" type="noConversion"/>
  </si>
  <si>
    <t>데이터 설정 상세 조회</t>
    <phoneticPr fontId="39" type="noConversion"/>
  </si>
  <si>
    <t>활용 대상 데이터 상세 조회</t>
    <phoneticPr fontId="39" type="noConversion"/>
  </si>
  <si>
    <t>데이터 설정 등록</t>
    <phoneticPr fontId="39" type="noConversion"/>
  </si>
  <si>
    <t>활용 대상 데이터 등록 기능</t>
    <phoneticPr fontId="39" type="noConversion"/>
  </si>
  <si>
    <t>데이터 설정 수정</t>
    <phoneticPr fontId="39" type="noConversion"/>
  </si>
  <si>
    <t>활용 대상 데이터 수정 기능</t>
    <phoneticPr fontId="39" type="noConversion"/>
  </si>
  <si>
    <t>데이터 설정 삭제</t>
    <phoneticPr fontId="39" type="noConversion"/>
  </si>
  <si>
    <t>활용 대상 데이터 삭제 기능</t>
    <phoneticPr fontId="39" type="noConversion"/>
  </si>
  <si>
    <t>학습 데이터 리스트</t>
    <phoneticPr fontId="39" type="noConversion"/>
  </si>
  <si>
    <t>학습 데이터 상세 조회</t>
    <phoneticPr fontId="39" type="noConversion"/>
  </si>
  <si>
    <t>학습 데이터 설정</t>
    <phoneticPr fontId="39" type="noConversion"/>
  </si>
  <si>
    <t>이기종 프로그램 구동 기능</t>
    <phoneticPr fontId="39" type="noConversion"/>
  </si>
  <si>
    <t>프로그램 기동</t>
    <phoneticPr fontId="39" type="noConversion"/>
  </si>
  <si>
    <t>파이썬, 쥬피터, 등 프로그램 구동 기능</t>
    <phoneticPr fontId="39" type="noConversion"/>
  </si>
  <si>
    <t>샌드박스 구동 결과 리스트</t>
    <phoneticPr fontId="39" type="noConversion"/>
  </si>
  <si>
    <t>샌드박스 구동한 결과에 대한 리스트</t>
    <phoneticPr fontId="39" type="noConversion"/>
  </si>
  <si>
    <t>샌드박스 구동 결과 상세 조회</t>
    <phoneticPr fontId="39" type="noConversion"/>
  </si>
  <si>
    <t>샌드박스 구동 결과에 대한 상세 조회</t>
    <phoneticPr fontId="39" type="noConversion"/>
  </si>
  <si>
    <t>샌드박스 결과 리포팅 리스트</t>
    <phoneticPr fontId="39" type="noConversion"/>
  </si>
  <si>
    <t>샌드박스 결과에 대한 리포팅 리스트</t>
    <phoneticPr fontId="39" type="noConversion"/>
  </si>
  <si>
    <t>샌드박스 결과 리포팅 상세 조회</t>
    <phoneticPr fontId="39" type="noConversion"/>
  </si>
  <si>
    <t>샌드박스 결과에 대한 리포팅 상세 조회</t>
    <phoneticPr fontId="39" type="noConversion"/>
  </si>
  <si>
    <t>일반사용자 접근 및 분석 기능</t>
    <phoneticPr fontId="39" type="noConversion"/>
  </si>
  <si>
    <t>(일반사용자)샌드박스 분석 기능 리스트</t>
    <phoneticPr fontId="39" type="noConversion"/>
  </si>
  <si>
    <t>(일반사용자)샌드박스 분석 기능 상세 조회</t>
    <phoneticPr fontId="39" type="noConversion"/>
  </si>
  <si>
    <t>(일반사용자)샌드박스 분석 기능 설정</t>
    <phoneticPr fontId="39" type="noConversion"/>
  </si>
  <si>
    <t>일반 사용자 샌드박스 분석 기능을 사용가능하도록 설정하는 기능
 - 분석모델 및 전처리 모델 선택 기능</t>
    <phoneticPr fontId="39" type="noConversion"/>
  </si>
  <si>
    <t>BI 리포팅 연계 데이터 저장</t>
    <phoneticPr fontId="39" type="noConversion"/>
  </si>
  <si>
    <t>BI 리포팅에서 데이터 처리를 위한 데이터 저장 기능</t>
    <phoneticPr fontId="39" type="noConversion"/>
  </si>
  <si>
    <t>BI 리포팅 연계 데이터 조회</t>
    <phoneticPr fontId="39" type="noConversion"/>
  </si>
  <si>
    <t>BI 리포팅에 시각화를 위한 상세 조회 기능</t>
    <phoneticPr fontId="39" type="noConversion"/>
  </si>
  <si>
    <t>샌드박스 추가 개발기능 조회</t>
    <phoneticPr fontId="39" type="noConversion"/>
  </si>
  <si>
    <t>추가 개발된 기능 조회</t>
    <phoneticPr fontId="39" type="noConversion"/>
  </si>
  <si>
    <t>샌드박스 추가 개발기능 상세 조회</t>
    <phoneticPr fontId="39" type="noConversion"/>
  </si>
  <si>
    <t>추가 개발된 기능 상세 조회</t>
    <phoneticPr fontId="39" type="noConversion"/>
  </si>
  <si>
    <t>샌드박스 추가 개발기능 설정</t>
    <phoneticPr fontId="39" type="noConversion"/>
  </si>
  <si>
    <t>추가 개발된 기능 사용을 위한 설정 기능</t>
    <phoneticPr fontId="39" type="noConversion"/>
  </si>
  <si>
    <t>신청관리, 자원할당, 심의관리 등 관리 기능</t>
    <phoneticPr fontId="39" type="noConversion"/>
  </si>
  <si>
    <t>(사용자)분석 결과 반출 신청 리스트</t>
    <phoneticPr fontId="39" type="noConversion"/>
  </si>
  <si>
    <t>(사용자)분석 결과 반출 신청 상세 조회</t>
    <phoneticPr fontId="39" type="noConversion"/>
  </si>
  <si>
    <t>(사용자)분석 결과 반출 신청 등록</t>
    <phoneticPr fontId="39" type="noConversion"/>
  </si>
  <si>
    <t>(사용자)분석 결과 반출 신청 수정</t>
    <phoneticPr fontId="39" type="noConversion"/>
  </si>
  <si>
    <t>(사용자)분석 결과 반출 신청 삭제</t>
    <phoneticPr fontId="39" type="noConversion"/>
  </si>
  <si>
    <t>분석 결과 반출 신청 리스트</t>
    <phoneticPr fontId="39" type="noConversion"/>
  </si>
  <si>
    <t>분석 결과 반출 신청 상세 조회</t>
  </si>
  <si>
    <t>분석 결과 반출 신청 반려 등록</t>
  </si>
  <si>
    <t>분석 결과 반출 신청 승인 등록</t>
  </si>
  <si>
    <t>(사용자)분석 결과 다운로드</t>
    <phoneticPr fontId="39" type="noConversion"/>
  </si>
  <si>
    <t>(사용자)분석 대상 자원 조회</t>
    <phoneticPr fontId="39" type="noConversion"/>
  </si>
  <si>
    <t>CPU, 메모리 등 자원 조회</t>
    <phoneticPr fontId="39" type="noConversion"/>
  </si>
  <si>
    <t>(사용자)분석 대상 자원 신청</t>
    <phoneticPr fontId="39" type="noConversion"/>
  </si>
  <si>
    <t>CPU, 메모리 등 자원 신청</t>
    <phoneticPr fontId="39" type="noConversion"/>
  </si>
  <si>
    <t>(사용자)분석 대상 데이터 조회</t>
    <phoneticPr fontId="39" type="noConversion"/>
  </si>
  <si>
    <t>분석 대상 데이터/파일 조회</t>
    <phoneticPr fontId="39" type="noConversion"/>
  </si>
  <si>
    <t>(사용자)분석 대상 데이터 신청</t>
    <phoneticPr fontId="39" type="noConversion"/>
  </si>
  <si>
    <t>분석 대상 데이터/파일 신청</t>
    <phoneticPr fontId="39" type="noConversion"/>
  </si>
  <si>
    <t>분석 대상 자원 신청 리스트</t>
  </si>
  <si>
    <t>분석 대상 자원 신청 상세 조회</t>
  </si>
  <si>
    <t>분석 대상 데이터 신청 리스트</t>
  </si>
  <si>
    <t>분석 대상 데이터 신청 상세 조회</t>
  </si>
  <si>
    <t>분석 대상 신청 반려</t>
  </si>
  <si>
    <t>분석 대상 자원/데이터에 대한 신청에 대한 반려</t>
    <phoneticPr fontId="39" type="noConversion"/>
  </si>
  <si>
    <t>분석 대상 신청 승인</t>
  </si>
  <si>
    <t>분석 대상 자원/데이터에 대한 신청에 대한 승인</t>
    <phoneticPr fontId="39" type="noConversion"/>
  </si>
  <si>
    <t>분석 대상 신청 사용자 권한 설정</t>
  </si>
  <si>
    <t>분석 절차에 대한 가이드 조회</t>
    <phoneticPr fontId="39" type="noConversion"/>
  </si>
  <si>
    <t>분석 결과 반출 전처리 기능 리스트</t>
    <phoneticPr fontId="39" type="noConversion"/>
  </si>
  <si>
    <t>분석 결과에 대한 가명처리, 보안처리 여부 검토 기능 리스트
 - 주민등록번호, 휴대폰번호 등에 대한 전처리 기능</t>
    <phoneticPr fontId="39" type="noConversion"/>
  </si>
  <si>
    <t>분석 결과 반출 전처리 상세 조회</t>
    <phoneticPr fontId="39" type="noConversion"/>
  </si>
  <si>
    <t>분석 결과 반출 검토 여부 리스트</t>
    <phoneticPr fontId="39" type="noConversion"/>
  </si>
  <si>
    <t>분석 결과 반출 검토 여부 상세 조회</t>
    <phoneticPr fontId="39" type="noConversion"/>
  </si>
  <si>
    <t>분석 신청 이력 리스트</t>
    <phoneticPr fontId="39" type="noConversion"/>
  </si>
  <si>
    <t>분석 신청 이력 상세 조회</t>
    <phoneticPr fontId="39" type="noConversion"/>
  </si>
  <si>
    <t>분석 결과 반출 이력 리스트</t>
    <phoneticPr fontId="39" type="noConversion"/>
  </si>
  <si>
    <t>분석 결과 반출 이력 상세 조회</t>
    <phoneticPr fontId="39" type="noConversion"/>
  </si>
  <si>
    <t>(SFR-018)LX플랫폼(포털별) 운영관리 체계</t>
    <phoneticPr fontId="39" type="noConversion"/>
  </si>
  <si>
    <t>인사/부서 연계관리 기능</t>
  </si>
  <si>
    <t>(Agent Client)사용자 정보 리스트</t>
    <phoneticPr fontId="39" type="noConversion"/>
  </si>
  <si>
    <t>(Agent Client)사용자 정보 상세 조회</t>
    <phoneticPr fontId="39" type="noConversion"/>
  </si>
  <si>
    <t>(Agent Client)사용자 정보 등록</t>
    <phoneticPr fontId="39" type="noConversion"/>
  </si>
  <si>
    <t>(Agent Client)사용자 정보 수정</t>
    <phoneticPr fontId="39" type="noConversion"/>
  </si>
  <si>
    <t>(Agent Client)사용자 정보 삭제</t>
    <phoneticPr fontId="39" type="noConversion"/>
  </si>
  <si>
    <t>(Agent Client)인증 설정</t>
    <phoneticPr fontId="39" type="noConversion"/>
  </si>
  <si>
    <t>(SFR-019)데이터 관리시스템 고도화</t>
    <phoneticPr fontId="39" type="noConversion"/>
  </si>
  <si>
    <t>LX플랫폼 데이터관리체계 통합</t>
    <phoneticPr fontId="39" type="noConversion"/>
  </si>
  <si>
    <t>LX플랫폼 데이터시스템 분석</t>
    <phoneticPr fontId="39" type="noConversion"/>
  </si>
  <si>
    <t>EIF</t>
    <phoneticPr fontId="39" type="noConversion"/>
  </si>
  <si>
    <t>LX플랫폼 데이터 통합 대상 설정</t>
    <phoneticPr fontId="39" type="noConversion"/>
  </si>
  <si>
    <t>LX플랫폼과 DT플랫폼 데이터 통합</t>
    <phoneticPr fontId="39" type="noConversion"/>
  </si>
  <si>
    <t>스키마 조회</t>
    <phoneticPr fontId="39" type="noConversion"/>
  </si>
  <si>
    <t>테이블 조회</t>
    <phoneticPr fontId="39" type="noConversion"/>
  </si>
  <si>
    <t>테이블 데이터 조회</t>
    <phoneticPr fontId="39" type="noConversion"/>
  </si>
  <si>
    <t>테이블의 데이터를 100개만 샘플로 조회</t>
    <phoneticPr fontId="39" type="noConversion"/>
  </si>
  <si>
    <t>LX플랫폼 데이터 관리체계 기능 고도화</t>
    <phoneticPr fontId="39" type="noConversion"/>
  </si>
  <si>
    <t>프로세스 고도화 분석</t>
    <phoneticPr fontId="39" type="noConversion"/>
  </si>
  <si>
    <r>
      <t>데이터 연계</t>
    </r>
    <r>
      <rPr>
        <sz val="10"/>
        <rFont val="맑은 고딕"/>
        <family val="3"/>
        <charset val="129"/>
      </rPr>
      <t>·적재·배포·발행 프로세스 고도화</t>
    </r>
    <r>
      <rPr>
        <sz val="10"/>
        <rFont val="맑은 고딕"/>
        <family val="3"/>
        <charset val="129"/>
        <scheme val="minor"/>
      </rPr>
      <t>를 위한 LX플랫폼 데이터 관리체계 분석</t>
    </r>
    <phoneticPr fontId="39" type="noConversion"/>
  </si>
  <si>
    <t>데이터 연계·적재 상태 시각화 데이터 저장</t>
    <phoneticPr fontId="39" type="noConversion"/>
  </si>
  <si>
    <t>시각화 데이터 저장</t>
    <phoneticPr fontId="39" type="noConversion"/>
  </si>
  <si>
    <t>데이터 연계·적재 상태 시각화 리스트</t>
    <phoneticPr fontId="39" type="noConversion"/>
  </si>
  <si>
    <t>시각화(챠트 등) 조회</t>
    <phoneticPr fontId="39" type="noConversion"/>
  </si>
  <si>
    <t>데이터 연계·적재 오류 데이터 저장</t>
    <phoneticPr fontId="39" type="noConversion"/>
  </si>
  <si>
    <t>데이터 연계·적재 오류 리스트</t>
    <phoneticPr fontId="39" type="noConversion"/>
  </si>
  <si>
    <t>데이터 연계·적재 오류 상세 조회</t>
    <phoneticPr fontId="39" type="noConversion"/>
  </si>
  <si>
    <t>데이터 연계·적재 오류 처리 상태 저장</t>
    <phoneticPr fontId="39" type="noConversion"/>
  </si>
  <si>
    <t xml:space="preserve">LX플랫폼 데이터 관리체계 기능 고도화 </t>
    <phoneticPr fontId="39" type="noConversion"/>
  </si>
  <si>
    <t>데이터 연계 등록</t>
    <phoneticPr fontId="39" type="noConversion"/>
  </si>
  <si>
    <t>등록시 중복 연계건이 있으면 alert창 띄움.</t>
    <phoneticPr fontId="39" type="noConversion"/>
  </si>
  <si>
    <t>데이터 생애주기 관리</t>
    <phoneticPr fontId="39" type="noConversion"/>
  </si>
  <si>
    <t>데이터 그룹 리스트</t>
    <phoneticPr fontId="39" type="noConversion"/>
  </si>
  <si>
    <t>데이터 그룸 상세 조회</t>
    <phoneticPr fontId="39" type="noConversion"/>
  </si>
  <si>
    <t>데이터 그룹 등록</t>
    <phoneticPr fontId="39" type="noConversion"/>
  </si>
  <si>
    <t>데이터 그룹 수정</t>
    <phoneticPr fontId="39" type="noConversion"/>
  </si>
  <si>
    <t>데이터 그룹 삭제</t>
    <phoneticPr fontId="39" type="noConversion"/>
  </si>
  <si>
    <t>데이터 배포 설정 리스트</t>
    <phoneticPr fontId="39" type="noConversion"/>
  </si>
  <si>
    <t>데이터 배포 설정 등록</t>
    <phoneticPr fontId="39" type="noConversion"/>
  </si>
  <si>
    <t>데이터 배포 설정 수정</t>
    <phoneticPr fontId="39" type="noConversion"/>
  </si>
  <si>
    <t>데이터 배포 설정 삭제</t>
    <phoneticPr fontId="39" type="noConversion"/>
  </si>
  <si>
    <t>데이터 배포</t>
    <phoneticPr fontId="39" type="noConversion"/>
  </si>
  <si>
    <t>데이터 적재 설정 리스트</t>
    <phoneticPr fontId="39" type="noConversion"/>
  </si>
  <si>
    <t>데이터 적재 설정 상세 조회</t>
    <phoneticPr fontId="39" type="noConversion"/>
  </si>
  <si>
    <t>데이터 적재 설정 등록</t>
    <phoneticPr fontId="39" type="noConversion"/>
  </si>
  <si>
    <t>데이터 적재 설정 수정</t>
    <phoneticPr fontId="39" type="noConversion"/>
  </si>
  <si>
    <t>데이터 적재 설정 삭제</t>
    <phoneticPr fontId="39" type="noConversion"/>
  </si>
  <si>
    <t>데이터 적재</t>
    <phoneticPr fontId="39" type="noConversion"/>
  </si>
  <si>
    <t>발행 데이터 리스트</t>
    <phoneticPr fontId="39" type="noConversion"/>
  </si>
  <si>
    <t>발행 데이터 상세 조회</t>
    <phoneticPr fontId="39" type="noConversion"/>
  </si>
  <si>
    <t>발행 데이터 분석</t>
    <phoneticPr fontId="39" type="noConversion"/>
  </si>
  <si>
    <t>발행 데이터에 대한 통계 분석 기능
 - 발행 데이터 건수, 발행 주기 등</t>
    <phoneticPr fontId="39" type="noConversion"/>
  </si>
  <si>
    <r>
      <t>데이터 연계</t>
    </r>
    <r>
      <rPr>
        <sz val="10"/>
        <rFont val="맑은 고딕"/>
        <family val="3"/>
        <charset val="129"/>
      </rPr>
      <t>·</t>
    </r>
    <r>
      <rPr>
        <sz val="10"/>
        <rFont val="맑은 고딕"/>
        <family val="3"/>
        <charset val="129"/>
        <scheme val="minor"/>
      </rPr>
      <t>적재 모니터링 조회</t>
    </r>
    <phoneticPr fontId="39" type="noConversion"/>
  </si>
  <si>
    <t>(고도화)</t>
    <phoneticPr fontId="39" type="noConversion"/>
  </si>
  <si>
    <t>데이터 연계 모니터링 조회</t>
    <phoneticPr fontId="39" type="noConversion"/>
  </si>
  <si>
    <t>데이터 적재 모니터링 조회</t>
    <phoneticPr fontId="39" type="noConversion"/>
  </si>
  <si>
    <t xml:space="preserve">연계 데이터 신규등록 고도화 리스트 </t>
    <phoneticPr fontId="39" type="noConversion"/>
  </si>
  <si>
    <t>연계 데이터 신규등록 고도화 상세 조회</t>
    <phoneticPr fontId="39" type="noConversion"/>
  </si>
  <si>
    <t>연계 데이터 신규등록 고도화 등록</t>
    <phoneticPr fontId="39" type="noConversion"/>
  </si>
  <si>
    <t>연계 데이터 신규등록 고도화 수정</t>
    <phoneticPr fontId="39" type="noConversion"/>
  </si>
  <si>
    <t>연계 데이터 신규등록 고도화 삭제</t>
    <phoneticPr fontId="39" type="noConversion"/>
  </si>
  <si>
    <t>데이터 연계·적재 프로세스 페이지 이동 분석</t>
    <phoneticPr fontId="39" type="noConversion"/>
  </si>
  <si>
    <t>데이터 연계·적재 프로세스 페이지 이동 분석 결과 적용</t>
    <phoneticPr fontId="39" type="noConversion"/>
  </si>
  <si>
    <r>
      <t>데이터 연계</t>
    </r>
    <r>
      <rPr>
        <sz val="10"/>
        <rFont val="맑은 고딕"/>
        <family val="3"/>
        <charset val="129"/>
      </rPr>
      <t>·</t>
    </r>
    <r>
      <rPr>
        <sz val="10"/>
        <rFont val="맑은 고딕"/>
        <family val="3"/>
        <charset val="129"/>
        <scheme val="minor"/>
      </rPr>
      <t>적재 전처리·정제 리스트</t>
    </r>
    <phoneticPr fontId="39" type="noConversion"/>
  </si>
  <si>
    <r>
      <t>데이터 연계</t>
    </r>
    <r>
      <rPr>
        <sz val="10"/>
        <rFont val="맑은 고딕"/>
        <family val="3"/>
        <charset val="129"/>
      </rPr>
      <t>·</t>
    </r>
    <r>
      <rPr>
        <sz val="10"/>
        <rFont val="맑은 고딕"/>
        <family val="3"/>
        <charset val="129"/>
        <scheme val="minor"/>
      </rPr>
      <t>적재 전처리·정제 상세 조회</t>
    </r>
    <phoneticPr fontId="39" type="noConversion"/>
  </si>
  <si>
    <r>
      <t>데이터 연계</t>
    </r>
    <r>
      <rPr>
        <sz val="10"/>
        <rFont val="맑은 고딕"/>
        <family val="3"/>
        <charset val="129"/>
      </rPr>
      <t>·</t>
    </r>
    <r>
      <rPr>
        <sz val="10"/>
        <rFont val="맑은 고딕"/>
        <family val="3"/>
        <charset val="129"/>
        <scheme val="minor"/>
      </rPr>
      <t>적재 전처리·정제 적용</t>
    </r>
    <phoneticPr fontId="39" type="noConversion"/>
  </si>
  <si>
    <r>
      <t>(고도화)데이터 연계</t>
    </r>
    <r>
      <rPr>
        <sz val="10"/>
        <rFont val="맑은 고딕"/>
        <family val="3"/>
        <charset val="129"/>
      </rPr>
      <t>·</t>
    </r>
    <r>
      <rPr>
        <sz val="10"/>
        <rFont val="맑은 고딕"/>
        <family val="3"/>
        <charset val="129"/>
        <scheme val="minor"/>
      </rPr>
      <t>적재 프로세스에 전처리·정제 기능 적용</t>
    </r>
    <phoneticPr fontId="39" type="noConversion"/>
  </si>
  <si>
    <t>데이터 연계·적재 전처리·정제 기능 분석</t>
    <phoneticPr fontId="39" type="noConversion"/>
  </si>
  <si>
    <t>데이터 연계·적재 전처리·정제 전처리 기능을 편의성 기반으로 분석하여 결과 도출</t>
  </si>
  <si>
    <t>데이터 연계·적재 전처리·정제 기능 분석 결과 적용</t>
    <phoneticPr fontId="39" type="noConversion"/>
  </si>
  <si>
    <t>(고도화)데이터 연계·적재 전처리·정제 전처리 기능을 편의성 기반으로 분석하여 결과 적용</t>
    <phoneticPr fontId="39" type="noConversion"/>
  </si>
  <si>
    <t>데이터 배포 체계 개선</t>
    <phoneticPr fontId="39" type="noConversion"/>
  </si>
  <si>
    <t xml:space="preserve">레이러 그룹 리스트 </t>
    <phoneticPr fontId="39" type="noConversion"/>
  </si>
  <si>
    <t>레이러 그룹 상세 조회</t>
    <phoneticPr fontId="39" type="noConversion"/>
  </si>
  <si>
    <t>레이어 그룹 등록</t>
    <phoneticPr fontId="39" type="noConversion"/>
  </si>
  <si>
    <t>레이어 그룹 수정</t>
    <phoneticPr fontId="39" type="noConversion"/>
  </si>
  <si>
    <t>레이어 그룹 삭제</t>
    <phoneticPr fontId="39" type="noConversion"/>
  </si>
  <si>
    <t>데이터 배포/발행 리스트</t>
    <phoneticPr fontId="39" type="noConversion"/>
  </si>
  <si>
    <t>데이터 배포/발행 상세 조회</t>
    <phoneticPr fontId="39" type="noConversion"/>
  </si>
  <si>
    <t>데이터 배포/발행 등록</t>
    <phoneticPr fontId="39" type="noConversion"/>
  </si>
  <si>
    <t>데이터 배포/발행 등록
 - 데이터 선책/전체에 배포 기능
 - 그룹별 데이터 배포 기능
 - 대용량 데이터</t>
    <phoneticPr fontId="39" type="noConversion"/>
  </si>
  <si>
    <t>EIF</t>
    <phoneticPr fontId="65" type="noConversion"/>
  </si>
  <si>
    <t>데이터 배포/발행 수정</t>
    <phoneticPr fontId="39" type="noConversion"/>
  </si>
  <si>
    <t>데이터 배포/발행 삭제</t>
    <phoneticPr fontId="39" type="noConversion"/>
  </si>
  <si>
    <t>데이터 배포 프로세스 분석</t>
    <phoneticPr fontId="39" type="noConversion"/>
  </si>
  <si>
    <t>데이터 배포 프로세스 결과 적용</t>
    <phoneticPr fontId="39" type="noConversion"/>
  </si>
  <si>
    <t>데이터 그룹 상세 조회</t>
    <phoneticPr fontId="39" type="noConversion"/>
  </si>
  <si>
    <t>데이터 배포/발행 타시스템 조회</t>
    <phoneticPr fontId="39" type="noConversion"/>
  </si>
  <si>
    <t>데이터 배포/발행 타시스템 상세 조회</t>
    <phoneticPr fontId="39" type="noConversion"/>
  </si>
  <si>
    <t>데이터 배포/발행 타시스템 설정</t>
    <phoneticPr fontId="39" type="noConversion"/>
  </si>
  <si>
    <t>지자체 전용 데이터 관리기능</t>
    <phoneticPr fontId="39" type="noConversion"/>
  </si>
  <si>
    <t>지자체 데이터 업로드 기능 분석</t>
    <phoneticPr fontId="39" type="noConversion"/>
  </si>
  <si>
    <t>지자체 데이터 업로드 기능 분석 결과 적용</t>
    <phoneticPr fontId="39" type="noConversion"/>
  </si>
  <si>
    <t>지자체 데이터 업로드 리스트</t>
    <phoneticPr fontId="39" type="noConversion"/>
  </si>
  <si>
    <t>지자체 데이터 업로드 상세 조회</t>
    <phoneticPr fontId="39" type="noConversion"/>
  </si>
  <si>
    <t>지자체 데이터 업로드 등록</t>
    <phoneticPr fontId="39" type="noConversion"/>
  </si>
  <si>
    <t>지자체 데이터 업로드 전처리/정제 기능 설정</t>
    <phoneticPr fontId="39" type="noConversion"/>
  </si>
  <si>
    <t>지자체 데이터 업로드 수정</t>
    <phoneticPr fontId="39" type="noConversion"/>
  </si>
  <si>
    <t>지자체 데이터 업로드 삭제</t>
    <phoneticPr fontId="39" type="noConversion"/>
  </si>
  <si>
    <t>지자체 데이터 적재 상테 조회</t>
    <phoneticPr fontId="39" type="noConversion"/>
  </si>
  <si>
    <t>지자체 데이터 적재 상태 상세 조회</t>
    <phoneticPr fontId="39" type="noConversion"/>
  </si>
  <si>
    <t>적재 상태 상세 조회
 - 업데이트 주기
 - 적재 기간</t>
    <phoneticPr fontId="39" type="noConversion"/>
  </si>
  <si>
    <t>지자체 데이터 사용량 조회</t>
    <phoneticPr fontId="39" type="noConversion"/>
  </si>
  <si>
    <t>(SFR-020)데이터 Agent 성능 고도화</t>
    <phoneticPr fontId="39" type="noConversion"/>
  </si>
  <si>
    <t>데이터 Agent 관리체계 고도화</t>
    <phoneticPr fontId="39" type="noConversion"/>
  </si>
  <si>
    <t>Agent 연계 데이터 신청 리스트</t>
    <phoneticPr fontId="39" type="noConversion"/>
  </si>
  <si>
    <t>Agent 연계 데이터 신청 상세 조회</t>
    <phoneticPr fontId="39" type="noConversion"/>
  </si>
  <si>
    <t>Agent 연계 데이터 신청 등록</t>
    <phoneticPr fontId="39" type="noConversion"/>
  </si>
  <si>
    <t>Agent를 이용한 연계 대상 데이터 등록
 - 데이터의 정보(속성, 항목 등)</t>
    <phoneticPr fontId="39" type="noConversion"/>
  </si>
  <si>
    <t>Agent 연계 데이터 신청 수정</t>
    <phoneticPr fontId="39" type="noConversion"/>
  </si>
  <si>
    <t>Agent 연계 데이터 신청 삭제</t>
    <phoneticPr fontId="39" type="noConversion"/>
  </si>
  <si>
    <t>Agent 연계 데이터 신청 반려</t>
    <phoneticPr fontId="39" type="noConversion"/>
  </si>
  <si>
    <t>Agent 연계 데이터 신청 승인</t>
    <phoneticPr fontId="39" type="noConversion"/>
  </si>
  <si>
    <t>Agent 연계 데이터 저장 인터페이스</t>
    <phoneticPr fontId="39" type="noConversion"/>
  </si>
  <si>
    <t>실제 테이블 생성 및 저장 인터페이스 개발</t>
    <phoneticPr fontId="39" type="noConversion"/>
  </si>
  <si>
    <t>Agent 연계 데이터 테이블 생성 알림</t>
    <phoneticPr fontId="39" type="noConversion"/>
  </si>
  <si>
    <t>데이터 Agent 기능 고도화</t>
    <phoneticPr fontId="39" type="noConversion"/>
  </si>
  <si>
    <t>Agent 연계 데이터 리스트</t>
    <phoneticPr fontId="39" type="noConversion"/>
  </si>
  <si>
    <t>Agent 연계 데이터 상세 조회</t>
    <phoneticPr fontId="39" type="noConversion"/>
  </si>
  <si>
    <t>Agent 연계 대상별 가시화</t>
    <phoneticPr fontId="39" type="noConversion"/>
  </si>
  <si>
    <t>Agent로 연계 되는 대상 데이터에 대한 가시화</t>
    <phoneticPr fontId="39" type="noConversion"/>
  </si>
  <si>
    <t>Agent 연계</t>
    <phoneticPr fontId="39" type="noConversion"/>
  </si>
  <si>
    <r>
      <t xml:space="preserve">Agent로 데이터를 Client </t>
    </r>
    <r>
      <rPr>
        <sz val="10"/>
        <rFont val="맑은 고딕"/>
        <family val="3"/>
        <charset val="129"/>
      </rPr>
      <t>→</t>
    </r>
    <r>
      <rPr>
        <sz val="8.5"/>
        <rFont val="맑은 고딕"/>
        <family val="3"/>
        <charset val="129"/>
      </rPr>
      <t xml:space="preserve"> Server로 연계
 - 대용량 데이터 연계 기능</t>
    </r>
    <phoneticPr fontId="39" type="noConversion"/>
  </si>
  <si>
    <t>(SFR-021)영상데이터 관리체계 구축</t>
    <phoneticPr fontId="39" type="noConversion"/>
  </si>
  <si>
    <t>영상데이터 관리체계 구현</t>
  </si>
  <si>
    <t>영상데이터 조회/등록/수정/삭제/정보</t>
    <phoneticPr fontId="65" type="noConversion"/>
  </si>
  <si>
    <t>온품</t>
    <phoneticPr fontId="65" type="noConversion"/>
  </si>
  <si>
    <t>영상데이터의 메타데이터 조회/등록/수정/삭제/정보</t>
    <phoneticPr fontId="65" type="noConversion"/>
  </si>
  <si>
    <t>영상데이터 시계열 관리 DB</t>
  </si>
  <si>
    <t>영상데이터 배포 - 지자체별</t>
  </si>
  <si>
    <t>영상데이터 배포 - 사용자별</t>
    <phoneticPr fontId="65" type="noConversion"/>
  </si>
  <si>
    <t>영상 타일링</t>
  </si>
  <si>
    <t>타일지도 연결 관리 조회/등록/수정/삭제/정보</t>
    <phoneticPr fontId="65" type="noConversion"/>
  </si>
  <si>
    <t>타일 메타데이터 조회/등록/수정/삭제/정보</t>
    <phoneticPr fontId="65" type="noConversion"/>
  </si>
  <si>
    <t>타일링 정보 조회/등록/수정/삭제/DB</t>
    <phoneticPr fontId="65" type="noConversion"/>
  </si>
  <si>
    <t>웹레이어 조회/등록/수정/삭제/정보</t>
    <phoneticPr fontId="65" type="noConversion"/>
  </si>
  <si>
    <t xml:space="preserve">타일 유형별 타일링 생성 기능 </t>
  </si>
  <si>
    <t>좌표계별 타일링 생성기능</t>
  </si>
  <si>
    <t>타일링 영상지도 미리보기</t>
  </si>
  <si>
    <t>(SFR-022)IoT 관리체계 구축</t>
    <phoneticPr fontId="39" type="noConversion"/>
  </si>
  <si>
    <t>IoT 센서 데이터 관리체계</t>
    <phoneticPr fontId="39" type="noConversion"/>
  </si>
  <si>
    <t>수집 대상 설정 리스트</t>
    <phoneticPr fontId="39" type="noConversion"/>
  </si>
  <si>
    <t>수집 대상 설정 상세 조회</t>
    <phoneticPr fontId="39" type="noConversion"/>
  </si>
  <si>
    <t>상세 조회
 - 센서 위치 등 정보</t>
    <phoneticPr fontId="39" type="noConversion"/>
  </si>
  <si>
    <t>수집 대상 설정 등록</t>
    <phoneticPr fontId="39" type="noConversion"/>
  </si>
  <si>
    <t>수집 대상 설정 수정</t>
    <phoneticPr fontId="39" type="noConversion"/>
  </si>
  <si>
    <t>수집 대상 설정 삭제</t>
    <phoneticPr fontId="39" type="noConversion"/>
  </si>
  <si>
    <t>수집 대상 설정 연결 테스트</t>
    <phoneticPr fontId="39" type="noConversion"/>
  </si>
  <si>
    <t>수집 대상 데이터 설정 조회</t>
    <phoneticPr fontId="39" type="noConversion"/>
  </si>
  <si>
    <t>수집 대상 데이터 설정 등록</t>
    <phoneticPr fontId="39" type="noConversion"/>
  </si>
  <si>
    <t>데이터 설정 등록
 - API 타입
 - File(TXT, CVS, JSON 등)
 - Protocol(MQTT 등)</t>
    <phoneticPr fontId="39" type="noConversion"/>
  </si>
  <si>
    <t>수집 대상 데이터 설정 수정</t>
    <phoneticPr fontId="39" type="noConversion"/>
  </si>
  <si>
    <t>수집 대상 데이터 설정 삭제</t>
    <phoneticPr fontId="39" type="noConversion"/>
  </si>
  <si>
    <t>수집 대상 데이터 파싱 설정 조회</t>
    <phoneticPr fontId="39" type="noConversion"/>
  </si>
  <si>
    <t>수집 대상 데이터 파싱 설정 등록</t>
    <phoneticPr fontId="39" type="noConversion"/>
  </si>
  <si>
    <t>수집 대상 데이터 파싱 설정 수정</t>
    <phoneticPr fontId="39" type="noConversion"/>
  </si>
  <si>
    <t>수집 대상 데이터 파싱 설정 삭제</t>
    <phoneticPr fontId="39" type="noConversion"/>
  </si>
  <si>
    <t>수집 대상 수집 주기 조회</t>
    <phoneticPr fontId="39" type="noConversion"/>
  </si>
  <si>
    <t>수집 대상 수집 주기 등록</t>
    <phoneticPr fontId="39" type="noConversion"/>
  </si>
  <si>
    <t>수집 대상 수집 주기 수정</t>
    <phoneticPr fontId="39" type="noConversion"/>
  </si>
  <si>
    <t>수집 대상 수집 주기 삭제</t>
    <phoneticPr fontId="39" type="noConversion"/>
  </si>
  <si>
    <t>IotT 센서 데이터 적재</t>
    <phoneticPr fontId="39" type="noConversion"/>
  </si>
  <si>
    <t>IoT 수집 데이터 리스트</t>
    <phoneticPr fontId="39" type="noConversion"/>
  </si>
  <si>
    <t>IoT 수집 데이터 상세 조회</t>
    <phoneticPr fontId="39" type="noConversion"/>
  </si>
  <si>
    <t>IoT 수집 데이터 설정</t>
    <phoneticPr fontId="39" type="noConversion"/>
  </si>
  <si>
    <t>IoT 수집 데이터 적재 설정 조회</t>
    <phoneticPr fontId="39" type="noConversion"/>
  </si>
  <si>
    <t>IoT 수집 데이터 적재 설정 등록</t>
    <phoneticPr fontId="39" type="noConversion"/>
  </si>
  <si>
    <t>IoT 수집 데이터 적재 설정 수정</t>
    <phoneticPr fontId="39" type="noConversion"/>
  </si>
  <si>
    <t>IoT 수집 데이터 적재 설정 삭제</t>
    <phoneticPr fontId="39" type="noConversion"/>
  </si>
  <si>
    <t>IoT 수집 데이터 적재 인터페이스</t>
    <phoneticPr fontId="39" type="noConversion"/>
  </si>
  <si>
    <t>IoT 수집 데이터 적재
 - 테이블/컬럼 생성</t>
    <phoneticPr fontId="39" type="noConversion"/>
  </si>
  <si>
    <t>IoT 수집 인터페이스 리스트</t>
    <phoneticPr fontId="39" type="noConversion"/>
  </si>
  <si>
    <t>IoT 수집 인터페이스 상세 조회</t>
    <phoneticPr fontId="39" type="noConversion"/>
  </si>
  <si>
    <t>IoT 수집 테이블 수정</t>
    <phoneticPr fontId="39" type="noConversion"/>
  </si>
  <si>
    <t>IoT 수집 테이블 수정
 - 컬럼 항목 및 길이 수정</t>
    <phoneticPr fontId="39" type="noConversion"/>
  </si>
  <si>
    <t>IoT 센서 데이터 표출</t>
    <phoneticPr fontId="39" type="noConversion"/>
  </si>
  <si>
    <t>IoT 수집 데이터 적재 리스트</t>
    <phoneticPr fontId="39" type="noConversion"/>
  </si>
  <si>
    <t>IoT 수집 데이터 적재 상태 가시화</t>
    <phoneticPr fontId="39" type="noConversion"/>
  </si>
  <si>
    <t>적재 상태 가시화
 - 실시간 데이터 가시화
 - 적재 데이터 가시화</t>
    <phoneticPr fontId="39" type="noConversion"/>
  </si>
  <si>
    <t>IoT 수집 데이터 Layer별 리스트</t>
    <phoneticPr fontId="39" type="noConversion"/>
  </si>
  <si>
    <t>IoT 수집 데이터 Layer별 상세조회</t>
    <phoneticPr fontId="39" type="noConversion"/>
  </si>
  <si>
    <t>IoT 수집 데이터 서비스 리스트</t>
    <phoneticPr fontId="39" type="noConversion"/>
  </si>
  <si>
    <t>IoT 수집 데이터 서비스 상세 조회</t>
    <phoneticPr fontId="39" type="noConversion"/>
  </si>
  <si>
    <t>IoT 수집 데이터 서비스 대상 데이터 조회</t>
    <phoneticPr fontId="39" type="noConversion"/>
  </si>
  <si>
    <t>IoT 수집 데이터 서비스 대상 데이터 등록</t>
    <phoneticPr fontId="39" type="noConversion"/>
  </si>
  <si>
    <t>IoT 수집 데이터 서비스 대상 데이터 삭제</t>
    <phoneticPr fontId="39" type="noConversion"/>
  </si>
  <si>
    <t>IoT 수집 데이터 서비스 등록</t>
    <phoneticPr fontId="39" type="noConversion"/>
  </si>
  <si>
    <t>IoT 수집 데이터 서비스 수정</t>
    <phoneticPr fontId="39" type="noConversion"/>
  </si>
  <si>
    <t>IoT 수집 데이터 서비스 삭제</t>
    <phoneticPr fontId="39" type="noConversion"/>
  </si>
  <si>
    <t>IoT 센서 데이터의 선별/가공</t>
    <phoneticPr fontId="39" type="noConversion"/>
  </si>
  <si>
    <t>IoT 수집 데이터 서비스 사용 여부 리스트</t>
    <phoneticPr fontId="39" type="noConversion"/>
  </si>
  <si>
    <t>IoT 수집 데이터 서비스 사용 여부 등록</t>
    <phoneticPr fontId="39" type="noConversion"/>
  </si>
  <si>
    <t>IoT 수집 데이터 서비스 사용 여부 삭제</t>
    <phoneticPr fontId="39" type="noConversion"/>
  </si>
  <si>
    <t>IoT 수집 데이터 서비스 우선 순위 등록</t>
    <phoneticPr fontId="39" type="noConversion"/>
  </si>
  <si>
    <t>IoT 수집 데이터 수정</t>
    <phoneticPr fontId="39" type="noConversion"/>
  </si>
  <si>
    <t>IoT 수집 데이터 수정
 - 수집 데이터에 대한 수정 기능</t>
    <phoneticPr fontId="39" type="noConversion"/>
  </si>
  <si>
    <t>IoT 수집 데이터 통계 리스트</t>
    <phoneticPr fontId="39" type="noConversion"/>
  </si>
  <si>
    <t>IoT 수집 데이터 통계 상세 조회</t>
    <phoneticPr fontId="39" type="noConversion"/>
  </si>
  <si>
    <t>IoT 수집 데이터 통계 등록</t>
    <phoneticPr fontId="39" type="noConversion"/>
  </si>
  <si>
    <t>IoT 수집 데이터 통계 등록
 - 수집 데이터에 대한 통계 값에 대한 등록 기능</t>
    <phoneticPr fontId="39" type="noConversion"/>
  </si>
  <si>
    <t>IoT 수집 데이터 통계 수정</t>
    <phoneticPr fontId="39" type="noConversion"/>
  </si>
  <si>
    <t>EIF</t>
  </si>
  <si>
    <t>IoT 센서 모니터링 대시보드</t>
    <phoneticPr fontId="39" type="noConversion"/>
  </si>
  <si>
    <t>IoT 센서 데이터 모니터링 대시보드 데이터 인터페이스</t>
    <phoneticPr fontId="39" type="noConversion"/>
  </si>
  <si>
    <t>대시보드 데이터 인터페이스
 - IoT 센서 정보</t>
    <phoneticPr fontId="39" type="noConversion"/>
  </si>
  <si>
    <t>IoT 수집 데이터 통계 가시화</t>
    <phoneticPr fontId="39" type="noConversion"/>
  </si>
  <si>
    <t>IoT 수집 데이터
 - 계측 데이터, 사용률</t>
    <phoneticPr fontId="39" type="noConversion"/>
  </si>
  <si>
    <t>IoT 센서 데이터 모니터링 대시보드</t>
  </si>
  <si>
    <t>센서 정보 표출 - 베터리 전압</t>
  </si>
  <si>
    <t>센서 정보 표출 - 무선 신호 강도</t>
  </si>
  <si>
    <t>센서 정보 표출 - 지연시간</t>
  </si>
  <si>
    <t>센서 정보 표출 - 오류</t>
  </si>
  <si>
    <t>센서 계측 정보 표출</t>
  </si>
  <si>
    <t>측정값 발생 빈도 히스토그램 표출</t>
  </si>
  <si>
    <t>(SFR-026)  디지털 트윈국토 시범사업 구성지원</t>
    <phoneticPr fontId="39" type="noConversion"/>
  </si>
  <si>
    <t>시범사업 지자체 서비스 구성 지원</t>
    <phoneticPr fontId="39" type="noConversion"/>
  </si>
  <si>
    <t>시범사업 데이터 분석</t>
    <phoneticPr fontId="39" type="noConversion"/>
  </si>
  <si>
    <t>시범사업 대상 지자체 데이터 분석</t>
    <phoneticPr fontId="39" type="noConversion"/>
  </si>
  <si>
    <t>시범사업 데이터 적재</t>
    <phoneticPr fontId="39" type="noConversion"/>
  </si>
  <si>
    <t>DBMS 스키마 설정</t>
    <phoneticPr fontId="39" type="noConversion"/>
  </si>
  <si>
    <t>DBMS 스키마 리스트</t>
    <phoneticPr fontId="39" type="noConversion"/>
  </si>
  <si>
    <t>3.통합 개발환경 기능점수 산정</t>
    <phoneticPr fontId="39" type="noConversion"/>
  </si>
  <si>
    <t>ID</t>
    <phoneticPr fontId="65" type="noConversion"/>
  </si>
  <si>
    <t>통합 개발환경</t>
    <phoneticPr fontId="39" type="noConversion"/>
  </si>
  <si>
    <t>(SFR-004)통합 개발환경 구축_국토정보플랫폼통합</t>
    <phoneticPr fontId="39" type="noConversion"/>
  </si>
  <si>
    <t>개발지원 환경 구축</t>
    <phoneticPr fontId="65" type="noConversion"/>
  </si>
  <si>
    <t>API 개발</t>
    <phoneticPr fontId="65" type="noConversion"/>
  </si>
  <si>
    <t>건물 음영분석 API</t>
    <phoneticPr fontId="65" type="noConversion"/>
  </si>
  <si>
    <t>개발지원 환경 구축</t>
  </si>
  <si>
    <t>도시면적 음영분석 API</t>
    <phoneticPr fontId="65" type="noConversion"/>
  </si>
  <si>
    <t xml:space="preserve">도심 바람 분석 API </t>
    <phoneticPr fontId="65" type="noConversion"/>
  </si>
  <si>
    <t>토곡량 API</t>
    <phoneticPr fontId="65" type="noConversion"/>
  </si>
  <si>
    <t>경사면 API</t>
    <phoneticPr fontId="65" type="noConversion"/>
  </si>
  <si>
    <t>지하 종횡단면 분석 API</t>
    <phoneticPr fontId="65" type="noConversion"/>
  </si>
  <si>
    <t>개발환경 버전 개발 및 등록</t>
    <phoneticPr fontId="65" type="noConversion"/>
  </si>
  <si>
    <t>스탠다드 버전 등록</t>
    <phoneticPr fontId="65" type="noConversion"/>
  </si>
  <si>
    <t>개발환경 버전 개발 및 등록</t>
  </si>
  <si>
    <t>1단계 기본기능 확대 버전 등록</t>
    <phoneticPr fontId="65" type="noConversion"/>
  </si>
  <si>
    <t>2단계 분석 기능 확대 버전 등록</t>
    <phoneticPr fontId="65" type="noConversion"/>
  </si>
  <si>
    <t>3단계 심화 서비스 포함버전 등록</t>
    <phoneticPr fontId="65" type="noConversion"/>
  </si>
  <si>
    <t>4단계 통합 버전 등록</t>
    <phoneticPr fontId="65" type="noConversion"/>
  </si>
  <si>
    <t>버전별 설명자료 조회</t>
    <phoneticPr fontId="65" type="noConversion"/>
  </si>
  <si>
    <t>개발환경 조회</t>
    <phoneticPr fontId="65" type="noConversion"/>
  </si>
  <si>
    <t>개발환경 목록 조회</t>
    <phoneticPr fontId="65" type="noConversion"/>
  </si>
  <si>
    <t>개발환경 조회</t>
  </si>
  <si>
    <t>버전별 조회</t>
    <phoneticPr fontId="65" type="noConversion"/>
  </si>
  <si>
    <t>개발환경 버전 등록</t>
    <phoneticPr fontId="65" type="noConversion"/>
  </si>
  <si>
    <t>디자인 및 템플릿 조회</t>
    <phoneticPr fontId="65" type="noConversion"/>
  </si>
  <si>
    <t>API 조회</t>
    <phoneticPr fontId="65" type="noConversion"/>
  </si>
  <si>
    <t>인터페이스 조회</t>
    <phoneticPr fontId="65" type="noConversion"/>
  </si>
  <si>
    <t>가이드 조회</t>
    <phoneticPr fontId="65" type="noConversion"/>
  </si>
  <si>
    <t>범용 데이터 조회</t>
    <phoneticPr fontId="65" type="noConversion"/>
  </si>
  <si>
    <t>개발환경 신청</t>
    <phoneticPr fontId="65" type="noConversion"/>
  </si>
  <si>
    <t>개발환경 관리 기능</t>
    <phoneticPr fontId="65" type="noConversion"/>
  </si>
  <si>
    <t>개발 소스 등록</t>
    <phoneticPr fontId="65" type="noConversion"/>
  </si>
  <si>
    <t>개발환경 관리 기능</t>
  </si>
  <si>
    <t>개발 소스 병합 테스트</t>
    <phoneticPr fontId="65" type="noConversion"/>
  </si>
  <si>
    <t>오류리스트 목록 제공</t>
    <phoneticPr fontId="65" type="noConversion"/>
  </si>
  <si>
    <t>오류 유형별 설명자료 제공</t>
    <phoneticPr fontId="65" type="noConversion"/>
  </si>
  <si>
    <t>오류리스트 다운로드</t>
    <phoneticPr fontId="65" type="noConversion"/>
  </si>
  <si>
    <t>개발소스 버전별 등록 현황 리스트 제공</t>
    <phoneticPr fontId="65" type="noConversion"/>
  </si>
  <si>
    <t>성공결과 제공</t>
    <phoneticPr fontId="65" type="noConversion"/>
  </si>
  <si>
    <t xml:space="preserve">최종 등록 확인 정보 제공 </t>
    <phoneticPr fontId="65" type="noConversion"/>
  </si>
  <si>
    <t>승인신청서 다운로드</t>
    <phoneticPr fontId="65" type="noConversion"/>
  </si>
  <si>
    <t>승인신청서 작성 및 등록</t>
    <phoneticPr fontId="65" type="noConversion"/>
  </si>
  <si>
    <t>기 등록 서비스 정보 조회</t>
    <phoneticPr fontId="65" type="noConversion"/>
  </si>
  <si>
    <t>기등록 서비스 정보 상세보기</t>
    <phoneticPr fontId="65" type="noConversion"/>
  </si>
  <si>
    <t>서비스 모델 컴포넌트 개발</t>
    <phoneticPr fontId="65" type="noConversion"/>
  </si>
  <si>
    <t>하천모니터링 컴포넌트</t>
    <phoneticPr fontId="65" type="noConversion"/>
  </si>
  <si>
    <t>서비스 모델 컴포넌트 개발</t>
  </si>
  <si>
    <t>도로점용 컴포넌트</t>
    <phoneticPr fontId="65" type="noConversion"/>
  </si>
  <si>
    <t>건축인허가 컴포넌트 개발</t>
    <phoneticPr fontId="65" type="noConversion"/>
  </si>
  <si>
    <t>문화재 컴포넌트 개발</t>
    <phoneticPr fontId="65" type="noConversion"/>
  </si>
  <si>
    <t>도시환경</t>
    <phoneticPr fontId="65" type="noConversion"/>
  </si>
  <si>
    <t>스마트도로</t>
    <phoneticPr fontId="65" type="noConversion"/>
  </si>
  <si>
    <t>드론</t>
    <phoneticPr fontId="65" type="noConversion"/>
  </si>
  <si>
    <t>재난재해</t>
    <phoneticPr fontId="65" type="noConversion"/>
  </si>
  <si>
    <t>도시분석</t>
    <phoneticPr fontId="65" type="noConversion"/>
  </si>
  <si>
    <t>배치구조 가공 및 템플릿 제작</t>
    <phoneticPr fontId="39" type="noConversion"/>
  </si>
  <si>
    <t>유형 A</t>
    <phoneticPr fontId="39" type="noConversion"/>
  </si>
  <si>
    <t>배치구조 가공 및 템플릿 제작</t>
  </si>
  <si>
    <t>유형 B</t>
    <phoneticPr fontId="39" type="noConversion"/>
  </si>
  <si>
    <t>유형 C</t>
    <phoneticPr fontId="39" type="noConversion"/>
  </si>
  <si>
    <t>유형 D</t>
    <phoneticPr fontId="39" type="noConversion"/>
  </si>
  <si>
    <t>단위 컴포넌트 개발</t>
    <phoneticPr fontId="65" type="noConversion"/>
  </si>
  <si>
    <t>서비스 중 단위기능으로 구현가능 대상 1</t>
    <phoneticPr fontId="65" type="noConversion"/>
  </si>
  <si>
    <t>단위 컴포넌트 개발</t>
  </si>
  <si>
    <t>서비스 중 단위기능으로 구현가능 대상 2</t>
  </si>
  <si>
    <t>서비스 중 단위기능으로 구현가능 대상 3</t>
  </si>
  <si>
    <t>서비스 중 단위기능으로 구현가능 대상 4</t>
  </si>
  <si>
    <t>서비스 중 단위기능으로 구현가능 대상 5</t>
  </si>
  <si>
    <t>분석기능 템플릿 개발</t>
    <phoneticPr fontId="65" type="noConversion"/>
  </si>
  <si>
    <t>종횡단면 분석 템플릿</t>
    <phoneticPr fontId="65" type="noConversion"/>
  </si>
  <si>
    <t>분석기능 템플릿 개발</t>
  </si>
  <si>
    <t>경사면 분석 템플릿</t>
    <phoneticPr fontId="65" type="noConversion"/>
  </si>
  <si>
    <t>경사방향 분석 템플릿</t>
    <phoneticPr fontId="65" type="noConversion"/>
  </si>
  <si>
    <t>토곡량 분석 템플릿</t>
    <phoneticPr fontId="65" type="noConversion"/>
  </si>
  <si>
    <t>건물 음영 분석 템플릿</t>
    <phoneticPr fontId="65" type="noConversion"/>
  </si>
  <si>
    <t>도시면적 음영분석 템플릿</t>
    <phoneticPr fontId="65" type="noConversion"/>
  </si>
  <si>
    <t>도시바람분석 템플릿</t>
    <phoneticPr fontId="65" type="noConversion"/>
  </si>
  <si>
    <t>4. 지자체 플랫폼 통합 기능점수 산정</t>
    <phoneticPr fontId="39" type="noConversion"/>
  </si>
  <si>
    <t>지자체 플랫폼 통합</t>
    <phoneticPr fontId="39" type="noConversion"/>
  </si>
  <si>
    <t>(SFR-025) 기 분석, 활용 서비스 모델 모듈화 및 고도화</t>
    <phoneticPr fontId="39" type="noConversion"/>
  </si>
  <si>
    <t>플랫폼 관리 기능</t>
    <phoneticPr fontId="65" type="noConversion"/>
  </si>
  <si>
    <t>사용자 관리</t>
    <phoneticPr fontId="15" type="noConversion"/>
  </si>
  <si>
    <t>시도행정 SSO 사용자 정보</t>
    <phoneticPr fontId="39" type="noConversion"/>
  </si>
  <si>
    <t>시도행정 SSO 사용자 부서정보</t>
    <phoneticPr fontId="39" type="noConversion"/>
  </si>
  <si>
    <t xml:space="preserve">사용자 로그인  </t>
    <phoneticPr fontId="15" type="noConversion"/>
  </si>
  <si>
    <t>사용자 데이터 이관</t>
    <phoneticPr fontId="15" type="noConversion"/>
  </si>
  <si>
    <t>사용자 데이터 테이블</t>
    <phoneticPr fontId="15" type="noConversion"/>
  </si>
  <si>
    <t>데이터 이관 대상자 지정</t>
    <phoneticPr fontId="15" type="noConversion"/>
  </si>
  <si>
    <t>데이터(지도, 레이어) 이관</t>
    <phoneticPr fontId="15" type="noConversion"/>
  </si>
  <si>
    <t>권한관리</t>
    <phoneticPr fontId="39" type="noConversion"/>
  </si>
  <si>
    <t>권한 정보/생성/수정/삭제</t>
    <phoneticPr fontId="65" type="noConversion"/>
  </si>
  <si>
    <t>사용자 및 권한 매핑</t>
    <phoneticPr fontId="65" type="noConversion"/>
  </si>
  <si>
    <t>접속 기록 조회</t>
    <phoneticPr fontId="65" type="noConversion"/>
  </si>
  <si>
    <t>사용자별 접속 기록 조회</t>
    <phoneticPr fontId="65" type="noConversion"/>
  </si>
  <si>
    <t>접속 통계</t>
    <phoneticPr fontId="65" type="noConversion"/>
  </si>
  <si>
    <t>사용자별 접속 통계 생성</t>
    <phoneticPr fontId="65" type="noConversion"/>
  </si>
  <si>
    <t>메뉴별 접속 통계 생성</t>
    <phoneticPr fontId="65" type="noConversion"/>
  </si>
  <si>
    <t>사용자별 접속 통계 조회</t>
    <phoneticPr fontId="65" type="noConversion"/>
  </si>
  <si>
    <t>메뉴별 접속 통계 조회</t>
    <phoneticPr fontId="65" type="noConversion"/>
  </si>
  <si>
    <t>알림관리</t>
    <phoneticPr fontId="15" type="noConversion"/>
  </si>
  <si>
    <t>레이어 열람 신규 도착 알림</t>
    <phoneticPr fontId="15" type="noConversion"/>
  </si>
  <si>
    <t>신규 레이어 열람 내용 조회</t>
    <phoneticPr fontId="15" type="noConversion"/>
  </si>
  <si>
    <t>자료요청 신규 도착 알림</t>
    <phoneticPr fontId="15" type="noConversion"/>
  </si>
  <si>
    <t>신규 자료요청 내용 조회</t>
    <phoneticPr fontId="15" type="noConversion"/>
  </si>
  <si>
    <t>협업지도 신규 작성 요청 알림</t>
    <phoneticPr fontId="15" type="noConversion"/>
  </si>
  <si>
    <t>신규 협업지도 요청 내용 조회</t>
    <phoneticPr fontId="15" type="noConversion"/>
  </si>
  <si>
    <t>카테고리 관리</t>
    <phoneticPr fontId="15" type="noConversion"/>
  </si>
  <si>
    <t>지도 카테고리 정보/등록/수정/삭제</t>
    <phoneticPr fontId="15" type="noConversion"/>
  </si>
  <si>
    <t>레이어 카테고리 등록/수정/삭제</t>
    <phoneticPr fontId="15" type="noConversion"/>
  </si>
  <si>
    <t>마이페이지</t>
    <phoneticPr fontId="15" type="noConversion"/>
  </si>
  <si>
    <t>내 지도 정보/수정/삭제</t>
    <phoneticPr fontId="15" type="noConversion"/>
  </si>
  <si>
    <t>내 데이터 수정/삭제</t>
    <phoneticPr fontId="15" type="noConversion"/>
  </si>
  <si>
    <t>EIF</t>
    <phoneticPr fontId="15" type="noConversion"/>
  </si>
  <si>
    <t>내 게시물 수정/삭제</t>
    <phoneticPr fontId="15" type="noConversion"/>
  </si>
  <si>
    <t>게시판 관리</t>
  </si>
  <si>
    <t>게시판 정보</t>
    <phoneticPr fontId="15" type="noConversion"/>
  </si>
  <si>
    <t>공지사항 등록/수정/삭제</t>
    <phoneticPr fontId="15" type="noConversion"/>
  </si>
  <si>
    <t>자료실 게시글 등록/수정/삭제</t>
    <phoneticPr fontId="15" type="noConversion"/>
  </si>
  <si>
    <t>FAQ 게시글 등록/수정/삭제</t>
    <phoneticPr fontId="15" type="noConversion"/>
  </si>
  <si>
    <t>팝업 정보 등록/수정/삭제</t>
    <phoneticPr fontId="15" type="noConversion"/>
  </si>
  <si>
    <t>사용자 지원 정보</t>
    <phoneticPr fontId="15" type="noConversion"/>
  </si>
  <si>
    <t>사용자 지원</t>
  </si>
  <si>
    <t>질의응답 등록/수정/삭제</t>
  </si>
  <si>
    <t>사용자 요청 정보</t>
    <phoneticPr fontId="39" type="noConversion"/>
  </si>
  <si>
    <t>사용자 요청 등록/수정/삭제</t>
  </si>
  <si>
    <t>외부 데이터 연계</t>
    <phoneticPr fontId="15" type="noConversion"/>
  </si>
  <si>
    <t>국토정보플랫폼 - 바탕지도정보</t>
    <phoneticPr fontId="15" type="noConversion"/>
  </si>
  <si>
    <t>국가공간정보포털 - 용도지역지구정보</t>
    <phoneticPr fontId="15" type="noConversion"/>
  </si>
  <si>
    <t>LX국토정보플랫폼 - 공간자료정보</t>
    <phoneticPr fontId="15" type="noConversion"/>
  </si>
  <si>
    <t>도로명주소관리시스템 - 도로명 공간자료정보</t>
    <phoneticPr fontId="15" type="noConversion"/>
  </si>
  <si>
    <t>브이월드 - 바탕지도정보</t>
    <phoneticPr fontId="15" type="noConversion"/>
  </si>
  <si>
    <t>카카오맵 - 공간정보</t>
    <phoneticPr fontId="15" type="noConversion"/>
  </si>
  <si>
    <t>LX국토정보기본도 - 국토정보기본도정보</t>
    <phoneticPr fontId="15" type="noConversion"/>
  </si>
  <si>
    <t>부동산 실거래가 공개시스템 - 부동산 실거래가 정보</t>
    <phoneticPr fontId="15" type="noConversion"/>
  </si>
  <si>
    <t>공공데이터포털 - 부동산통계정보</t>
    <phoneticPr fontId="15" type="noConversion"/>
  </si>
  <si>
    <t>부동산종합공부시스템 - 필지정보</t>
    <phoneticPr fontId="15" type="noConversion"/>
  </si>
  <si>
    <t>통계지리정보서비스 - 통계정보</t>
    <phoneticPr fontId="15" type="noConversion"/>
  </si>
  <si>
    <t>행정망 연계</t>
    <phoneticPr fontId="15" type="noConversion"/>
  </si>
  <si>
    <t>광주 통전 서버 정보</t>
    <phoneticPr fontId="15" type="noConversion"/>
  </si>
  <si>
    <t>대전 통전 서버 정보</t>
    <phoneticPr fontId="15" type="noConversion"/>
  </si>
  <si>
    <t>연계 작업관리</t>
    <phoneticPr fontId="39" type="noConversion"/>
  </si>
  <si>
    <t>수집 작업 정보/등록/수정/삭제</t>
    <phoneticPr fontId="39" type="noConversion"/>
  </si>
  <si>
    <t>적재 작업 정보/등록/수정/삭제</t>
    <phoneticPr fontId="39" type="noConversion"/>
  </si>
  <si>
    <t>배포 작업 정보/등록/수정/삭제</t>
    <phoneticPr fontId="65" type="noConversion"/>
  </si>
  <si>
    <t>(SFR-026) 기 분석, 활용 서비스 모델 모듈화 및 고도화</t>
  </si>
  <si>
    <t>기 구축 서비스 통합</t>
  </si>
  <si>
    <t>기 구현 서비스(공간정보 시각화, 분석, 관리기능 및 1·2단계 서비스) LX 플랫폼 적용</t>
  </si>
  <si>
    <t>재사용</t>
    <phoneticPr fontId="39" type="noConversion"/>
  </si>
  <si>
    <t>(SFR-027) 기 분석, 활용 서비스 모델 모듈화 및 고도화</t>
  </si>
  <si>
    <t>데이터 연계</t>
  </si>
  <si>
    <t>기 구축 데이터 연계 및 설정 변경</t>
  </si>
  <si>
    <t>에이에스티</t>
    <phoneticPr fontId="65" type="noConversion"/>
  </si>
  <si>
    <t>(SFR-027)실험사업 기반 지자체 플폼 통합_1단계 구축</t>
    <phoneticPr fontId="39" type="noConversion"/>
  </si>
  <si>
    <t>공간정보 공통기능</t>
    <phoneticPr fontId="65" type="noConversion"/>
  </si>
  <si>
    <t>레이어 관리</t>
    <phoneticPr fontId="65" type="noConversion"/>
  </si>
  <si>
    <t>레이어 순서 변경</t>
    <phoneticPr fontId="15" type="noConversion"/>
  </si>
  <si>
    <t>속성 검색</t>
    <phoneticPr fontId="65" type="noConversion"/>
  </si>
  <si>
    <t>레이어 속성 보기</t>
    <phoneticPr fontId="15" type="noConversion"/>
  </si>
  <si>
    <t>상세 속성보기</t>
    <phoneticPr fontId="15" type="noConversion"/>
  </si>
  <si>
    <t>정보 조회</t>
    <phoneticPr fontId="65" type="noConversion"/>
  </si>
  <si>
    <t>객체 정보 조회</t>
    <phoneticPr fontId="15" type="noConversion"/>
  </si>
  <si>
    <t>필지 정보 조회</t>
    <phoneticPr fontId="15" type="noConversion"/>
  </si>
  <si>
    <t>건물 정보 조회</t>
    <phoneticPr fontId="15" type="noConversion"/>
  </si>
  <si>
    <t>의사소통 서비스</t>
    <phoneticPr fontId="65" type="noConversion"/>
  </si>
  <si>
    <t>행정데이터 변환 관리</t>
    <phoneticPr fontId="65" type="noConversion"/>
  </si>
  <si>
    <t>행정데이터 공간정보 변환</t>
    <phoneticPr fontId="65" type="noConversion"/>
  </si>
  <si>
    <t>행정데이터 변환 관리</t>
  </si>
  <si>
    <t>행정데이터 열람권한 설정</t>
    <phoneticPr fontId="15" type="noConversion"/>
  </si>
  <si>
    <t>사용자 등록 레이어 정보</t>
    <phoneticPr fontId="15" type="noConversion"/>
  </si>
  <si>
    <t>행정데이터 신규 레이어 등록</t>
    <phoneticPr fontId="15" type="noConversion"/>
  </si>
  <si>
    <t>행정데이터 신규 레이어 분류 지정</t>
    <phoneticPr fontId="15" type="noConversion"/>
  </si>
  <si>
    <t>지도 목록(지도 갤러리)</t>
    <phoneticPr fontId="15" type="noConversion"/>
  </si>
  <si>
    <t>공유지도 목록</t>
    <phoneticPr fontId="15" type="noConversion"/>
  </si>
  <si>
    <t>지도 목록 키워드 검색</t>
    <phoneticPr fontId="15" type="noConversion"/>
  </si>
  <si>
    <t>지도 목록 상세 검색(카테고리 검색)</t>
    <phoneticPr fontId="15" type="noConversion"/>
  </si>
  <si>
    <t>지도 보기</t>
    <phoneticPr fontId="15" type="noConversion"/>
  </si>
  <si>
    <t>지도별 사용자 의견 등록</t>
    <phoneticPr fontId="15" type="noConversion"/>
  </si>
  <si>
    <t>지도별 사용자 의견 수정(본인 등록 의견)</t>
    <phoneticPr fontId="15" type="noConversion"/>
  </si>
  <si>
    <t>지도별 사용자 의견 삭제(본인 등록 의견 및 지도 작성자)</t>
    <phoneticPr fontId="15" type="noConversion"/>
  </si>
  <si>
    <t>본인 등록 지도 삭제</t>
    <phoneticPr fontId="15" type="noConversion"/>
  </si>
  <si>
    <t>자유 지도 제작-레이어 생성</t>
    <phoneticPr fontId="15" type="noConversion"/>
  </si>
  <si>
    <t>전체 레이어 목록 표시</t>
    <phoneticPr fontId="15" type="noConversion"/>
  </si>
  <si>
    <t>레이어 목록 키워드 검색</t>
    <phoneticPr fontId="15" type="noConversion"/>
  </si>
  <si>
    <t>레이어 목록 분류 검색</t>
    <phoneticPr fontId="15" type="noConversion"/>
  </si>
  <si>
    <t>지도 작성용 레이어 목록 추가</t>
    <phoneticPr fontId="15" type="noConversion"/>
  </si>
  <si>
    <t>지도 작성용 레이어 목록 삭제</t>
    <phoneticPr fontId="15" type="noConversion"/>
  </si>
  <si>
    <t>신규 레이어 그룹 정보</t>
    <phoneticPr fontId="15" type="noConversion"/>
  </si>
  <si>
    <t>신규 레이어 그룹 생성</t>
    <phoneticPr fontId="15" type="noConversion"/>
  </si>
  <si>
    <t>레이어 상세정보 열람</t>
    <phoneticPr fontId="15" type="noConversion"/>
  </si>
  <si>
    <t>레이어 해당 영역으로 지도 이동</t>
    <phoneticPr fontId="15" type="noConversion"/>
  </si>
  <si>
    <t>레이어 그리드 내 개별 항목 선택을 통한 지도 이동</t>
    <phoneticPr fontId="15" type="noConversion"/>
  </si>
  <si>
    <t>레이어 그리드 필드명 선택을 통한 자료 소팅</t>
    <phoneticPr fontId="15" type="noConversion"/>
  </si>
  <si>
    <t>레이어 범례 표시</t>
    <phoneticPr fontId="15" type="noConversion"/>
  </si>
  <si>
    <t>레이어 속성 필터링 정보</t>
    <phoneticPr fontId="15" type="noConversion"/>
  </si>
  <si>
    <t>레이어 속성 필터링 - AND 조건 입력</t>
    <phoneticPr fontId="15" type="noConversion"/>
  </si>
  <si>
    <t>레이어 속성 필터링 - OR 조건 입력</t>
    <phoneticPr fontId="15" type="noConversion"/>
  </si>
  <si>
    <t>레이어 속성 필터링 - 조건에 따른 필터링 결과 표시</t>
    <phoneticPr fontId="15" type="noConversion"/>
  </si>
  <si>
    <t>레이어 스타일 정보</t>
    <phoneticPr fontId="15" type="noConversion"/>
  </si>
  <si>
    <t>레이어 스타일 지정 - 단일심볼 채우기</t>
    <phoneticPr fontId="15" type="noConversion"/>
  </si>
  <si>
    <t>레이어 파일 다운로드</t>
    <phoneticPr fontId="15" type="noConversion"/>
  </si>
  <si>
    <t>자유 지도 제작-영역 설정</t>
    <phoneticPr fontId="15" type="noConversion"/>
  </si>
  <si>
    <t>현재 열람지역 위치 저장</t>
    <phoneticPr fontId="15" type="noConversion"/>
  </si>
  <si>
    <t>저장한 영역 정보</t>
    <phoneticPr fontId="15" type="noConversion"/>
  </si>
  <si>
    <t>저장한 영역 목록 조회</t>
    <phoneticPr fontId="15" type="noConversion"/>
  </si>
  <si>
    <t>저장한 영역 목록 삭제</t>
    <phoneticPr fontId="15" type="noConversion"/>
  </si>
  <si>
    <t>자유 지도 제작-정보창 설정</t>
    <phoneticPr fontId="15" type="noConversion"/>
  </si>
  <si>
    <t>정보창 정보</t>
    <phoneticPr fontId="15" type="noConversion"/>
  </si>
  <si>
    <t>정보창 등록 - 제목 및 설명 입력</t>
    <phoneticPr fontId="15" type="noConversion"/>
  </si>
  <si>
    <t>정보창 등록 - 이미지 등록</t>
    <phoneticPr fontId="15" type="noConversion"/>
  </si>
  <si>
    <t>정보창 등록 - 지도에서 위치 선택 등록</t>
    <phoneticPr fontId="15" type="noConversion"/>
  </si>
  <si>
    <t>정보창 수정</t>
    <phoneticPr fontId="15" type="noConversion"/>
  </si>
  <si>
    <t>정보창 삭제</t>
    <phoneticPr fontId="15" type="noConversion"/>
  </si>
  <si>
    <t xml:space="preserve">자유 지도 제작-자유도형 </t>
    <phoneticPr fontId="15" type="noConversion"/>
  </si>
  <si>
    <t>자유도형 정보</t>
    <phoneticPr fontId="15" type="noConversion"/>
  </si>
  <si>
    <t>자유도형 제목 입력</t>
    <phoneticPr fontId="15" type="noConversion"/>
  </si>
  <si>
    <t>자유도형 삭제</t>
    <phoneticPr fontId="15" type="noConversion"/>
  </si>
  <si>
    <t>자유도형 표시</t>
    <phoneticPr fontId="15" type="noConversion"/>
  </si>
  <si>
    <t>자유 지도 제작-지도 저장</t>
    <phoneticPr fontId="15" type="noConversion"/>
  </si>
  <si>
    <t>지도 저장</t>
    <phoneticPr fontId="15" type="noConversion"/>
  </si>
  <si>
    <t>열람 권한 설정-열람 가능 사용자 설정</t>
    <phoneticPr fontId="15" type="noConversion"/>
  </si>
  <si>
    <t>열람 권한 설정-열람 가능 사용자 및 부서 목록 표시</t>
    <phoneticPr fontId="15" type="noConversion"/>
  </si>
  <si>
    <t>협업 보내기</t>
    <phoneticPr fontId="15" type="noConversion"/>
  </si>
  <si>
    <t>브리핑 보내기</t>
    <phoneticPr fontId="15" type="noConversion"/>
  </si>
  <si>
    <t>경사도 분석</t>
    <phoneticPr fontId="15" type="noConversion"/>
  </si>
  <si>
    <t>경사도 조회 지역 설정</t>
    <phoneticPr fontId="15" type="noConversion"/>
  </si>
  <si>
    <t>경사도 조회 화면 표출</t>
    <phoneticPr fontId="15" type="noConversion"/>
  </si>
  <si>
    <t>수정없이 재사용</t>
  </si>
  <si>
    <t>gis프레임워크-지도요청-바로이맵api</t>
    <phoneticPr fontId="65" type="noConversion"/>
  </si>
  <si>
    <t>브리핑갤러리</t>
    <phoneticPr fontId="15" type="noConversion"/>
  </si>
  <si>
    <t>공유브리핑 목록</t>
    <phoneticPr fontId="15" type="noConversion"/>
  </si>
  <si>
    <t>브리핑 목록 키워드 검색</t>
    <phoneticPr fontId="15" type="noConversion"/>
  </si>
  <si>
    <t>브리핑 제작</t>
    <phoneticPr fontId="15" type="noConversion"/>
  </si>
  <si>
    <t>브리핑 작성용 지도 목록</t>
    <phoneticPr fontId="15" type="noConversion"/>
  </si>
  <si>
    <t>gis프레임워크-지도요청-배경지도 wms api</t>
    <phoneticPr fontId="65" type="noConversion"/>
  </si>
  <si>
    <t>스토리보드-스토리 정보</t>
    <phoneticPr fontId="15" type="noConversion"/>
  </si>
  <si>
    <t>gis프레임워크-지도요청-브이월드 wms api</t>
    <phoneticPr fontId="65" type="noConversion"/>
  </si>
  <si>
    <t>스토리보드-스토리 추가</t>
    <phoneticPr fontId="15" type="noConversion"/>
  </si>
  <si>
    <t>스토리보드-스토리 삭제</t>
    <phoneticPr fontId="15" type="noConversion"/>
  </si>
  <si>
    <t>스토리보드-브리핑 저장</t>
    <phoneticPr fontId="15" type="noConversion"/>
  </si>
  <si>
    <t>스토리보드-브리핑 실행</t>
    <phoneticPr fontId="15" type="noConversion"/>
  </si>
  <si>
    <t>스토리보드-개별 단위별 영역, 정보창 담기</t>
    <phoneticPr fontId="15" type="noConversion"/>
  </si>
  <si>
    <t>스토리보드-개별 단위별 콘텐츠 지도 보기</t>
    <phoneticPr fontId="15" type="noConversion"/>
  </si>
  <si>
    <t>스토리보드-개별 단위 삭제</t>
    <phoneticPr fontId="15" type="noConversion"/>
  </si>
  <si>
    <t>브리핑 실행</t>
    <phoneticPr fontId="15" type="noConversion"/>
  </si>
  <si>
    <t>브리핑 개별 단위별 영역이동 및 정보 표출</t>
    <phoneticPr fontId="15" type="noConversion"/>
  </si>
  <si>
    <t>협업갤러리</t>
    <phoneticPr fontId="15" type="noConversion"/>
  </si>
  <si>
    <t>공유협업 정보</t>
    <phoneticPr fontId="15" type="noConversion"/>
  </si>
  <si>
    <t>공유협업 목록</t>
    <phoneticPr fontId="15" type="noConversion"/>
  </si>
  <si>
    <t>협업 목록 키워드 검색</t>
    <phoneticPr fontId="15" type="noConversion"/>
  </si>
  <si>
    <t>협업 제작</t>
    <phoneticPr fontId="15" type="noConversion"/>
  </si>
  <si>
    <t>협업 지도 등록-카테고리 등록</t>
    <phoneticPr fontId="15" type="noConversion"/>
  </si>
  <si>
    <t>협업 지도 등록-제목 및 내용 입력</t>
    <phoneticPr fontId="15" type="noConversion"/>
  </si>
  <si>
    <t>협업 지도 등록-협업 대상 레이어 설정</t>
    <phoneticPr fontId="15" type="noConversion"/>
  </si>
  <si>
    <t>협업 지도 등록-협업 대상 부서 검색</t>
    <phoneticPr fontId="15" type="noConversion"/>
  </si>
  <si>
    <t>협업 지도 등록-협업 대상 참여자 검색</t>
    <phoneticPr fontId="15" type="noConversion"/>
  </si>
  <si>
    <t>협업 지도 등록-협업 대상 참여자 목록 표시</t>
    <phoneticPr fontId="15" type="noConversion"/>
  </si>
  <si>
    <t>협업 지도 등록-설정사항 저장</t>
    <phoneticPr fontId="15" type="noConversion"/>
  </si>
  <si>
    <t>협업 참여</t>
    <phoneticPr fontId="15" type="noConversion"/>
  </si>
  <si>
    <t>협업 요청 대상자에게 알림 발신</t>
    <phoneticPr fontId="15" type="noConversion"/>
  </si>
  <si>
    <t>협업 요청 레이어에 사용자별 콘텐츠 등록</t>
    <phoneticPr fontId="15" type="noConversion"/>
  </si>
  <si>
    <t>협업 자료 등록사항 저장</t>
    <phoneticPr fontId="15" type="noConversion"/>
  </si>
  <si>
    <t>수정 후 재사용</t>
  </si>
  <si>
    <t>협업 게시판 운영</t>
    <phoneticPr fontId="15" type="noConversion"/>
  </si>
  <si>
    <t>협업 게시판 게시물 등록</t>
    <phoneticPr fontId="15" type="noConversion"/>
  </si>
  <si>
    <t>협업 게시판 게시물 수정</t>
    <phoneticPr fontId="15" type="noConversion"/>
  </si>
  <si>
    <t>협업 게시판 게시물 삭제</t>
    <phoneticPr fontId="15" type="noConversion"/>
  </si>
  <si>
    <t>협업 게시판 게시물 조회</t>
    <phoneticPr fontId="15" type="noConversion"/>
  </si>
  <si>
    <t>gis프레임워크-공간좌표변환-파일 좌표변환api</t>
    <phoneticPr fontId="65" type="noConversion"/>
  </si>
  <si>
    <t>플랫폼 이용 TIP 게시물 등록</t>
    <phoneticPr fontId="15" type="noConversion"/>
  </si>
  <si>
    <t>플랫폼 이용 TIP 게시물 수정</t>
    <phoneticPr fontId="15" type="noConversion"/>
  </si>
  <si>
    <t xml:space="preserve">gis프레임워크-콘텐츠관리- shp파일,텍스트,GeoJSON 레이어추가, 업로드, 발행api  </t>
    <phoneticPr fontId="65" type="noConversion"/>
  </si>
  <si>
    <t>플랫폼 이용 TIP 게시물 삭제</t>
    <phoneticPr fontId="15" type="noConversion"/>
  </si>
  <si>
    <t>플랫폼 이용 TIP 게시물 조회</t>
    <phoneticPr fontId="15" type="noConversion"/>
  </si>
  <si>
    <t>사업단지 서비스</t>
    <phoneticPr fontId="65" type="noConversion"/>
  </si>
  <si>
    <t>요약 정보</t>
    <phoneticPr fontId="65" type="noConversion"/>
  </si>
  <si>
    <t>산업단지 동향 요약 대시보드 표현</t>
    <phoneticPr fontId="65" type="noConversion"/>
  </si>
  <si>
    <t>통계 생성</t>
    <phoneticPr fontId="65" type="noConversion"/>
  </si>
  <si>
    <t>산업단지 지역 단위 통계 생성</t>
    <phoneticPr fontId="65" type="noConversion"/>
  </si>
  <si>
    <t>산업단지 산업유형별 통계 생성</t>
    <phoneticPr fontId="65" type="noConversion"/>
  </si>
  <si>
    <t>통계 보기</t>
    <phoneticPr fontId="65" type="noConversion"/>
  </si>
  <si>
    <t>산업단지 지역 단위 통계 보기</t>
    <phoneticPr fontId="65" type="noConversion"/>
  </si>
  <si>
    <t>산업단지 산업유형별 통계 보기</t>
    <phoneticPr fontId="65" type="noConversion"/>
  </si>
  <si>
    <t>입주기업 정보제공</t>
    <phoneticPr fontId="65" type="noConversion"/>
  </si>
  <si>
    <t>입주 기업 목록 조회</t>
    <phoneticPr fontId="65" type="noConversion"/>
  </si>
  <si>
    <t>입주 기업 정보 상세보기</t>
    <phoneticPr fontId="65" type="noConversion"/>
  </si>
  <si>
    <t>분양기업 정보제공</t>
    <phoneticPr fontId="65" type="noConversion"/>
  </si>
  <si>
    <t>분양 기업 목록 조회</t>
    <phoneticPr fontId="65" type="noConversion"/>
  </si>
  <si>
    <t>분양 기업 정보 상세보기</t>
    <phoneticPr fontId="65" type="noConversion"/>
  </si>
  <si>
    <t>SOC 정보 제공</t>
    <phoneticPr fontId="65" type="noConversion"/>
  </si>
  <si>
    <t>주변 SOC시설 목록 조회</t>
    <phoneticPr fontId="65" type="noConversion"/>
  </si>
  <si>
    <t>산업단지 개발 정보 공유</t>
    <phoneticPr fontId="65" type="noConversion"/>
  </si>
  <si>
    <t>산업단지 개발 정보 조회</t>
    <phoneticPr fontId="65" type="noConversion"/>
  </si>
  <si>
    <t>노후 단지 정보 제공</t>
    <phoneticPr fontId="65" type="noConversion"/>
  </si>
  <si>
    <t>노후 단지 목록 조회</t>
    <phoneticPr fontId="65" type="noConversion"/>
  </si>
  <si>
    <t>노후 단지 지도 보기</t>
    <phoneticPr fontId="65" type="noConversion"/>
  </si>
  <si>
    <t>연도별 주제도 보기</t>
    <phoneticPr fontId="65" type="noConversion"/>
  </si>
  <si>
    <t>부동산 정보 서비스</t>
    <phoneticPr fontId="65" type="noConversion"/>
  </si>
  <si>
    <t>용도지역지구 서비스</t>
    <phoneticPr fontId="65" type="noConversion"/>
  </si>
  <si>
    <t>용도지역지구 레이어 구성</t>
    <phoneticPr fontId="65" type="noConversion"/>
  </si>
  <si>
    <t>용도지역지구 지도 보기</t>
    <phoneticPr fontId="65" type="noConversion"/>
  </si>
  <si>
    <t>용도지역지구 속성보기</t>
    <phoneticPr fontId="65" type="noConversion"/>
  </si>
  <si>
    <t>연속지적도 서비스</t>
    <phoneticPr fontId="65" type="noConversion"/>
  </si>
  <si>
    <t>연속지적도 지도보기</t>
    <phoneticPr fontId="65" type="noConversion"/>
  </si>
  <si>
    <t>국토정보기본도 서비스</t>
    <phoneticPr fontId="65" type="noConversion"/>
  </si>
  <si>
    <t>국토정보기본도 지도보기</t>
    <phoneticPr fontId="65" type="noConversion"/>
  </si>
  <si>
    <t>주제도 서비스</t>
    <phoneticPr fontId="65" type="noConversion"/>
  </si>
  <si>
    <t>주제도 정보</t>
    <phoneticPr fontId="65" type="noConversion"/>
  </si>
  <si>
    <t>주제도 레이어 구성</t>
    <phoneticPr fontId="65" type="noConversion"/>
  </si>
  <si>
    <t>주제도 지도 보기</t>
    <phoneticPr fontId="65" type="noConversion"/>
  </si>
  <si>
    <t>주제도 속성보기</t>
    <phoneticPr fontId="65" type="noConversion"/>
  </si>
  <si>
    <t>저작도구-상단위젯-스와이프, 타임슬라이드 위젯</t>
    <phoneticPr fontId="65" type="noConversion"/>
  </si>
  <si>
    <t>공부 조회 서비스</t>
    <phoneticPr fontId="65" type="noConversion"/>
  </si>
  <si>
    <t>토지대장 조회</t>
    <phoneticPr fontId="65" type="noConversion"/>
  </si>
  <si>
    <t>부동산 종합 공부 조회</t>
    <phoneticPr fontId="65" type="noConversion"/>
  </si>
  <si>
    <t>부동산 동향 및 가격정보</t>
    <phoneticPr fontId="65" type="noConversion"/>
  </si>
  <si>
    <t>부동산 동향 시군구 등 별 조회</t>
    <phoneticPr fontId="65" type="noConversion"/>
  </si>
  <si>
    <t>부동산 동향 지도 보기</t>
    <phoneticPr fontId="65" type="noConversion"/>
  </si>
  <si>
    <t>부동산 동향 상세 보기</t>
    <phoneticPr fontId="65" type="noConversion"/>
  </si>
  <si>
    <t>실거래가 지역별 통계 생성</t>
    <phoneticPr fontId="65" type="noConversion"/>
  </si>
  <si>
    <t>공시지가 지역별 통계 생성</t>
    <phoneticPr fontId="65" type="noConversion"/>
  </si>
  <si>
    <t>실거래가 주제도 보기</t>
    <phoneticPr fontId="65" type="noConversion"/>
  </si>
  <si>
    <t>공시지가 주제도 보기</t>
    <phoneticPr fontId="65" type="noConversion"/>
  </si>
  <si>
    <t>인구주택 모니터링 서비스</t>
    <phoneticPr fontId="65" type="noConversion"/>
  </si>
  <si>
    <t>각종 통계 요약 대시보드 표현</t>
    <phoneticPr fontId="65" type="noConversion"/>
  </si>
  <si>
    <t>통계 조회</t>
    <phoneticPr fontId="65" type="noConversion"/>
  </si>
  <si>
    <t>표준산업분류목록 검색</t>
    <phoneticPr fontId="65" type="noConversion"/>
  </si>
  <si>
    <t>인구 통계 생성</t>
    <phoneticPr fontId="65" type="noConversion"/>
  </si>
  <si>
    <t>가구 통계 생성</t>
    <phoneticPr fontId="65" type="noConversion"/>
  </si>
  <si>
    <t>주택 통계 생성</t>
    <phoneticPr fontId="65" type="noConversion"/>
  </si>
  <si>
    <t>사업체 통계 생성</t>
    <phoneticPr fontId="65" type="noConversion"/>
  </si>
  <si>
    <t>각종 주제도 레이어 생성</t>
    <phoneticPr fontId="65" type="noConversion"/>
  </si>
  <si>
    <t>각종 통계 차트 시각화</t>
    <phoneticPr fontId="65" type="noConversion"/>
  </si>
  <si>
    <t>통계 다운로드</t>
    <phoneticPr fontId="65" type="noConversion"/>
  </si>
  <si>
    <t>통계 조회 결과 다운로드</t>
    <phoneticPr fontId="65" type="noConversion"/>
  </si>
  <si>
    <t>주제도 보기</t>
    <phoneticPr fontId="65" type="noConversion"/>
  </si>
  <si>
    <t>주제도 투명도 조절</t>
    <phoneticPr fontId="65" type="noConversion"/>
  </si>
  <si>
    <t>주제도 중첩 보기</t>
    <phoneticPr fontId="65" type="noConversion"/>
  </si>
  <si>
    <t>ILF</t>
    <phoneticPr fontId="15" type="noConversion"/>
  </si>
  <si>
    <t>(SFR-027)실험사업 기반 지자체 플폼 통합_2단계 구축</t>
    <phoneticPr fontId="39" type="noConversion"/>
  </si>
  <si>
    <t>공유재산 공간</t>
    <phoneticPr fontId="15" type="noConversion"/>
  </si>
  <si>
    <t>공유지 정보 열람 승인 신청</t>
    <phoneticPr fontId="15" type="noConversion"/>
  </si>
  <si>
    <t>공유지 열람 권한자 정보</t>
    <phoneticPr fontId="15" type="noConversion"/>
  </si>
  <si>
    <t>공유지 열람 승인 신청</t>
    <phoneticPr fontId="15" type="noConversion"/>
  </si>
  <si>
    <t>공유지 열람 신청 처리결과 알림</t>
    <phoneticPr fontId="15" type="noConversion"/>
  </si>
  <si>
    <t xml:space="preserve">공유지 정보 </t>
    <phoneticPr fontId="15" type="noConversion"/>
  </si>
  <si>
    <t>공유재산관리시스템 공유지 정보</t>
    <phoneticPr fontId="15" type="noConversion"/>
  </si>
  <si>
    <t>KRAS 내 충북 도유지 정보</t>
    <phoneticPr fontId="15" type="noConversion"/>
  </si>
  <si>
    <t>공유지 현황 대시보드</t>
    <phoneticPr fontId="15" type="noConversion"/>
  </si>
  <si>
    <t>공유지 총괄 현황 통계</t>
    <phoneticPr fontId="15" type="noConversion"/>
  </si>
  <si>
    <t>공유지 소유구분별/행정구역별/유형별 총괄 통계 조회</t>
    <phoneticPr fontId="15" type="noConversion"/>
  </si>
  <si>
    <t>공유지 소유구분별/행정구역별/유형별 총괄 통계 엑셀 다운로드</t>
    <phoneticPr fontId="15" type="noConversion"/>
  </si>
  <si>
    <t>공유지 소유구분별/행정구역별/유형별 총괄 통계 그래프 표출</t>
    <phoneticPr fontId="15" type="noConversion"/>
  </si>
  <si>
    <t>공유지 현황 조회</t>
    <phoneticPr fontId="15" type="noConversion"/>
  </si>
  <si>
    <t>키워드 방식 공유지 주소 검색</t>
    <phoneticPr fontId="15" type="noConversion"/>
  </si>
  <si>
    <t>공유지 재산종류별/행정구역 단위별 목록 조회</t>
    <phoneticPr fontId="15" type="noConversion"/>
  </si>
  <si>
    <t>공유지 면적 구간별 및 지가 구간별 목록 조회</t>
    <phoneticPr fontId="15" type="noConversion"/>
  </si>
  <si>
    <t>EI</t>
    <phoneticPr fontId="15" type="noConversion"/>
  </si>
  <si>
    <t>공유지 지목에 따른 주제도 시각화</t>
    <phoneticPr fontId="15" type="noConversion"/>
  </si>
  <si>
    <t>공유지 공간데이터 지도 시각화</t>
    <phoneticPr fontId="15" type="noConversion"/>
  </si>
  <si>
    <t>공유지 조건 조회 결과 엑셀 다운로드</t>
    <phoneticPr fontId="15" type="noConversion"/>
  </si>
  <si>
    <t>공유지 공간조회</t>
    <phoneticPr fontId="15" type="noConversion"/>
  </si>
  <si>
    <t>개별 공유지 속성정보(공유재산관리시스템 정보) 조회</t>
    <phoneticPr fontId="15" type="noConversion"/>
  </si>
  <si>
    <t>EQ</t>
    <phoneticPr fontId="15" type="noConversion"/>
  </si>
  <si>
    <t>선택 필지에 대한 인접필지 추출</t>
    <phoneticPr fontId="15" type="noConversion"/>
  </si>
  <si>
    <t>인접필지 속성정보 조회</t>
    <phoneticPr fontId="15" type="noConversion"/>
  </si>
  <si>
    <t>공유지 라벨 표시 내용 사용자 설정 반영 조회</t>
    <phoneticPr fontId="15" type="noConversion"/>
  </si>
  <si>
    <t>도유재산 누락정보 관리</t>
    <phoneticPr fontId="15" type="noConversion"/>
  </si>
  <si>
    <t>공유재산관리시스템/KRAS 목록을 통한 등록필지 비교 및 상이정보 추출</t>
    <phoneticPr fontId="15" type="noConversion"/>
  </si>
  <si>
    <t>공유재산관리시스템/KRAS 지도 간 레이어 겹침을 통한 비교 및 상이영역 추출</t>
    <phoneticPr fontId="15" type="noConversion"/>
  </si>
  <si>
    <t>공유재산관리시스템/KRAS 필지비교 통계 조회</t>
    <phoneticPr fontId="15" type="noConversion"/>
  </si>
  <si>
    <t>도유재산 건물 정보 열람 승인 신청</t>
    <phoneticPr fontId="15" type="noConversion"/>
  </si>
  <si>
    <t>도유재산 건물 열람 권한자 정보</t>
    <phoneticPr fontId="15" type="noConversion"/>
  </si>
  <si>
    <t>도유재산 건물 열람 승인 신청</t>
    <phoneticPr fontId="15" type="noConversion"/>
  </si>
  <si>
    <t>도유재산 건물 열람 신청 처리결과 알림</t>
    <phoneticPr fontId="15" type="noConversion"/>
  </si>
  <si>
    <t>건물 형상 데이터</t>
    <phoneticPr fontId="15" type="noConversion"/>
  </si>
  <si>
    <t>도로명주소 시스템의 건물 형상 데이터</t>
    <phoneticPr fontId="15" type="noConversion"/>
  </si>
  <si>
    <t>도유재산 건물 대시보드</t>
    <phoneticPr fontId="15" type="noConversion"/>
  </si>
  <si>
    <t>도유재산 건물 총괄 현황 통계</t>
    <phoneticPr fontId="15" type="noConversion"/>
  </si>
  <si>
    <t>도유재산 건물 소유구분별/행정구역별/유형별 총괄 통계 조회</t>
    <phoneticPr fontId="15" type="noConversion"/>
  </si>
  <si>
    <t>도유재산 건물 소유구분별/행정구역별/유형별 총괄 통계 엑셀 다운로드</t>
    <phoneticPr fontId="15" type="noConversion"/>
  </si>
  <si>
    <t>도유재산 건물 소유구분별/행정구역별/유형별 총괄 통계 그래프 표출</t>
    <phoneticPr fontId="15" type="noConversion"/>
  </si>
  <si>
    <t>도유재산 건물 현황조회</t>
    <phoneticPr fontId="15" type="noConversion"/>
  </si>
  <si>
    <t>키워드 방식 도유재산 건물 주소 검색</t>
    <phoneticPr fontId="15" type="noConversion"/>
  </si>
  <si>
    <t>도유재산 건물 재산종류별/행정구역 단위별 목록 조회</t>
    <phoneticPr fontId="15" type="noConversion"/>
  </si>
  <si>
    <t>도유재산 건물 공간데이터 지도 시각화</t>
    <phoneticPr fontId="15" type="noConversion"/>
  </si>
  <si>
    <t>도유재산 건물 조건 조회 결과 엑셀 다운로드</t>
    <phoneticPr fontId="15" type="noConversion"/>
  </si>
  <si>
    <t>도유재산 건물 공간 조회</t>
    <phoneticPr fontId="15" type="noConversion"/>
  </si>
  <si>
    <t>개별 도유재산 건물 속성정보 조회</t>
    <phoneticPr fontId="15" type="noConversion"/>
  </si>
  <si>
    <t>도유재산 건물 라벨 표시 내용 사용자 설정 조회</t>
    <phoneticPr fontId="15" type="noConversion"/>
  </si>
  <si>
    <t>도로 정보</t>
    <phoneticPr fontId="15" type="noConversion"/>
  </si>
  <si>
    <t>충북도 도로 정보 - 국가교통DB(KTDB)</t>
    <phoneticPr fontId="15" type="noConversion"/>
  </si>
  <si>
    <t>충북도 도로 정보 - 용도지역지구 상 도로 관련 정보</t>
    <phoneticPr fontId="15" type="noConversion"/>
  </si>
  <si>
    <t>충북도 도로 정보 - 도로명주소시스템 도로 정보</t>
    <phoneticPr fontId="15" type="noConversion"/>
  </si>
  <si>
    <t>충북도 도로 정보 - 수치지형도 중 도로 관련 정보</t>
    <phoneticPr fontId="15" type="noConversion"/>
  </si>
  <si>
    <t>도로 정보 대시보드</t>
    <phoneticPr fontId="15" type="noConversion"/>
  </si>
  <si>
    <t>충북도 도로 총괄 현황 통계</t>
    <phoneticPr fontId="15" type="noConversion"/>
  </si>
  <si>
    <t>충북도 도로 행정구역별/유형별 총괄 통계 조회</t>
    <phoneticPr fontId="15" type="noConversion"/>
  </si>
  <si>
    <t>충북도 도로 행정구역별/유형별 총괄 통계 엑셀 다운로드</t>
    <phoneticPr fontId="15" type="noConversion"/>
  </si>
  <si>
    <t>충북도 도로 행정구역별/유형별 총괄 통계 그래프 표출</t>
    <phoneticPr fontId="15" type="noConversion"/>
  </si>
  <si>
    <t>도로 현황 조회</t>
    <phoneticPr fontId="15" type="noConversion"/>
  </si>
  <si>
    <t>도로 현황 정보 지도 시각화</t>
    <phoneticPr fontId="15" type="noConversion"/>
  </si>
  <si>
    <t>도로명 키워드 검색</t>
    <phoneticPr fontId="15" type="noConversion"/>
  </si>
  <si>
    <t>도로 등급별 검색</t>
    <phoneticPr fontId="15" type="noConversion"/>
  </si>
  <si>
    <t>도로 공간 조회</t>
    <phoneticPr fontId="15" type="noConversion"/>
  </si>
  <si>
    <t>개별 도로 구간 지도 표출</t>
    <phoneticPr fontId="15" type="noConversion"/>
  </si>
  <si>
    <t>개별 도로 상세정보 조회</t>
    <phoneticPr fontId="15" type="noConversion"/>
  </si>
  <si>
    <t>도로 접합 필지 추출</t>
    <phoneticPr fontId="15" type="noConversion"/>
  </si>
  <si>
    <t>도로 접합 필지 속성정보 조회</t>
    <phoneticPr fontId="15" type="noConversion"/>
  </si>
  <si>
    <t>도로 접합 필지 라벨 표시 내용 사용자 설정 조회</t>
    <phoneticPr fontId="15" type="noConversion"/>
  </si>
  <si>
    <t>도로 계획</t>
    <phoneticPr fontId="15" type="noConversion"/>
  </si>
  <si>
    <t>토지이용계획 관련 용도지역지구도 표출</t>
    <phoneticPr fontId="15" type="noConversion"/>
  </si>
  <si>
    <t>교통량 조사 결과 정보</t>
    <phoneticPr fontId="15" type="noConversion"/>
  </si>
  <si>
    <t>교통량 조사지점 위치 표시</t>
    <phoneticPr fontId="15" type="noConversion"/>
  </si>
  <si>
    <t>교통량 조사지점 조사 결과 조회</t>
    <phoneticPr fontId="15" type="noConversion"/>
  </si>
  <si>
    <t>EO</t>
    <phoneticPr fontId="15" type="noConversion"/>
  </si>
  <si>
    <t>교통량 조사지점 조사 결과 엑셀 다운로드</t>
    <phoneticPr fontId="15" type="noConversion"/>
  </si>
  <si>
    <t>지역 단위 교통량 일제조사결과 통계 조회</t>
    <phoneticPr fontId="15" type="noConversion"/>
  </si>
  <si>
    <t>지역 단위 교통량 일제조사결과 주제도 표출</t>
    <phoneticPr fontId="15" type="noConversion"/>
  </si>
  <si>
    <t>지역 단위 교통량 일제조사결과 엑셀 다운로드</t>
    <phoneticPr fontId="15" type="noConversion"/>
  </si>
  <si>
    <t>시설물 정보 대시보드</t>
    <phoneticPr fontId="15" type="noConversion"/>
  </si>
  <si>
    <t>충북도 시설물 총괄 현황 통계</t>
    <phoneticPr fontId="15" type="noConversion"/>
  </si>
  <si>
    <t>충북도 시설물 행정구역별/유형별 총괄 통계 조회</t>
    <phoneticPr fontId="15" type="noConversion"/>
  </si>
  <si>
    <t>충북도 시설물 행정구역별/유형별 총괄 통계 엑셀 다운로드</t>
    <phoneticPr fontId="15" type="noConversion"/>
  </si>
  <si>
    <t>충북도 시설물 행정구역별/유형별 총괄 통계 그래프 표출</t>
    <phoneticPr fontId="15" type="noConversion"/>
  </si>
  <si>
    <t xml:space="preserve">시설물 정보 </t>
    <phoneticPr fontId="15" type="noConversion"/>
  </si>
  <si>
    <t>시설물관리대장 정보</t>
    <phoneticPr fontId="15" type="noConversion"/>
  </si>
  <si>
    <t>점검진단실적 정보</t>
    <phoneticPr fontId="15" type="noConversion"/>
  </si>
  <si>
    <t>시설물 정보 조회</t>
    <phoneticPr fontId="15" type="noConversion"/>
  </si>
  <si>
    <t>종별, 유형별, 지역별 시설물 조회</t>
    <phoneticPr fontId="15" type="noConversion"/>
  </si>
  <si>
    <t>시설물명 키워드 검색</t>
    <phoneticPr fontId="15" type="noConversion"/>
  </si>
  <si>
    <t>시설물 조회 결과 엑셀 다운로드</t>
    <phoneticPr fontId="15" type="noConversion"/>
  </si>
  <si>
    <t>시설물 위치 정보 지도 시각화</t>
    <phoneticPr fontId="15" type="noConversion"/>
  </si>
  <si>
    <t>개별 시설물 관리대장 조회</t>
    <phoneticPr fontId="15" type="noConversion"/>
  </si>
  <si>
    <t>개별 시설물 점검이력 조회</t>
    <phoneticPr fontId="15" type="noConversion"/>
  </si>
  <si>
    <t>업무지원 공간</t>
    <phoneticPr fontId="15" type="noConversion"/>
  </si>
  <si>
    <t>공간정보 목록</t>
    <phoneticPr fontId="15" type="noConversion"/>
  </si>
  <si>
    <t>공간정보 목록 정보</t>
    <phoneticPr fontId="15" type="noConversion"/>
  </si>
  <si>
    <t>공간정보 목록관리</t>
    <phoneticPr fontId="15" type="noConversion"/>
  </si>
  <si>
    <t>공간정보 목록 정보 등록</t>
    <phoneticPr fontId="15" type="noConversion"/>
  </si>
  <si>
    <t>공간정보 목록 정보 수정</t>
    <phoneticPr fontId="15" type="noConversion"/>
  </si>
  <si>
    <t>공간정보 목록 정보 삭제</t>
    <phoneticPr fontId="15" type="noConversion"/>
  </si>
  <si>
    <t>공간정보 조회</t>
    <phoneticPr fontId="15" type="noConversion"/>
  </si>
  <si>
    <t>공간정보 목록 정보 검색</t>
    <phoneticPr fontId="15" type="noConversion"/>
  </si>
  <si>
    <t>공간정보 목록 정보 엑셀 다운로드</t>
    <phoneticPr fontId="15" type="noConversion"/>
  </si>
  <si>
    <t>개별 공간정보 속성정보 조회</t>
    <phoneticPr fontId="15" type="noConversion"/>
  </si>
  <si>
    <t>개별 공간정보 속성정보에 대한 사용자 의견 입력</t>
    <phoneticPr fontId="15" type="noConversion"/>
  </si>
  <si>
    <t>개별 공간정보 속성정보에 대한 사용자 의견 수정</t>
    <phoneticPr fontId="15" type="noConversion"/>
  </si>
  <si>
    <t>개별 공간정보 속성정보에 대한 사용자 의견 삭제</t>
    <phoneticPr fontId="15" type="noConversion"/>
  </si>
  <si>
    <t>공간시스템 목록</t>
    <phoneticPr fontId="15" type="noConversion"/>
  </si>
  <si>
    <t>공간정보 시스템 목록 정보</t>
    <phoneticPr fontId="15" type="noConversion"/>
  </si>
  <si>
    <t>공간시스템 목록관리</t>
    <phoneticPr fontId="15" type="noConversion"/>
  </si>
  <si>
    <t>공간정보 시스템 목록 정보 등록</t>
    <phoneticPr fontId="15" type="noConversion"/>
  </si>
  <si>
    <t>공간정보 시스템 목록 정보 수정</t>
    <phoneticPr fontId="15" type="noConversion"/>
  </si>
  <si>
    <t>공간정보 시스템 목록 정보 삭제</t>
    <phoneticPr fontId="15" type="noConversion"/>
  </si>
  <si>
    <t>공간시스템 조회</t>
    <phoneticPr fontId="15" type="noConversion"/>
  </si>
  <si>
    <t>공간정보 시스템 목록 정보 검색</t>
    <phoneticPr fontId="15" type="noConversion"/>
  </si>
  <si>
    <t>공간시스템조회</t>
    <phoneticPr fontId="15" type="noConversion"/>
  </si>
  <si>
    <t>공간정보 시스템 목록 정보 엑셀 다운로드</t>
    <phoneticPr fontId="15" type="noConversion"/>
  </si>
  <si>
    <t>개별 공간정보 시스템 속성정보 조회</t>
    <phoneticPr fontId="15" type="noConversion"/>
  </si>
  <si>
    <t>공간정보 다운로드</t>
    <phoneticPr fontId="15" type="noConversion"/>
  </si>
  <si>
    <t>공개 공간정보 다운로드 대상 목록 조회</t>
    <phoneticPr fontId="15" type="noConversion"/>
  </si>
  <si>
    <t>다운로드 신청/승인</t>
    <phoneticPr fontId="15" type="noConversion"/>
  </si>
  <si>
    <t>열람제한 공간정보 열람 신청 작성</t>
    <phoneticPr fontId="15" type="noConversion"/>
  </si>
  <si>
    <t>열람제한 공간정보 신청 철회</t>
    <phoneticPr fontId="15" type="noConversion"/>
  </si>
  <si>
    <t>열람제한 공간정보 신청내용 조회</t>
    <phoneticPr fontId="15" type="noConversion"/>
  </si>
  <si>
    <t>열람제한 공간정보 신청 승인결과 입력</t>
    <phoneticPr fontId="15" type="noConversion"/>
  </si>
  <si>
    <t>동영상 자료</t>
    <phoneticPr fontId="15" type="noConversion"/>
  </si>
  <si>
    <t>교육 동영상 자료</t>
    <phoneticPr fontId="15" type="noConversion"/>
  </si>
  <si>
    <t>동영상 게시판</t>
    <phoneticPr fontId="15" type="noConversion"/>
  </si>
  <si>
    <t>동영상 자료 등록</t>
    <phoneticPr fontId="15" type="noConversion"/>
  </si>
  <si>
    <t>동영상 자료 수정</t>
    <phoneticPr fontId="15" type="noConversion"/>
  </si>
  <si>
    <t>동영상 자료 삭제</t>
    <phoneticPr fontId="15" type="noConversion"/>
  </si>
  <si>
    <t>동영상 자료 조회</t>
    <phoneticPr fontId="15" type="noConversion"/>
  </si>
  <si>
    <t>동영상 사용자의견 입력</t>
    <phoneticPr fontId="15" type="noConversion"/>
  </si>
  <si>
    <t>동영상 사용자의견 수정</t>
    <phoneticPr fontId="15" type="noConversion"/>
  </si>
  <si>
    <t>동영상 사용자의견 삭제</t>
    <phoneticPr fontId="15" type="noConversion"/>
  </si>
  <si>
    <t>데이터맵 서비스</t>
    <phoneticPr fontId="15" type="noConversion"/>
  </si>
  <si>
    <t xml:space="preserve">행정주제도 </t>
    <phoneticPr fontId="15" type="noConversion"/>
  </si>
  <si>
    <t>행정주제도 데이터</t>
    <phoneticPr fontId="15" type="noConversion"/>
  </si>
  <si>
    <t>행정주제도 목록 조회</t>
    <phoneticPr fontId="15" type="noConversion"/>
  </si>
  <si>
    <t>개별 행정주제도 상세정보 조회</t>
    <phoneticPr fontId="15" type="noConversion"/>
  </si>
  <si>
    <t>개별 행정주제도 지도 열람</t>
    <phoneticPr fontId="15" type="noConversion"/>
  </si>
  <si>
    <t>개별 행정주제도 축척별 정보 표현 변경</t>
    <phoneticPr fontId="15" type="noConversion"/>
  </si>
  <si>
    <t>개별 행정주제도 레이어 단위 정보 선택 노출</t>
    <phoneticPr fontId="15" type="noConversion"/>
  </si>
  <si>
    <t>공유지도</t>
    <phoneticPr fontId="15" type="noConversion"/>
  </si>
  <si>
    <t>공유지도 목록 조회</t>
    <phoneticPr fontId="15" type="noConversion"/>
  </si>
  <si>
    <t>개별 공유지도 상세정보 조회</t>
    <phoneticPr fontId="15" type="noConversion"/>
  </si>
  <si>
    <t>개별 공유지도 지도 열람</t>
    <phoneticPr fontId="15" type="noConversion"/>
  </si>
  <si>
    <t>관리자 페이지</t>
    <phoneticPr fontId="15" type="noConversion"/>
  </si>
  <si>
    <t>새올행정 연계</t>
    <phoneticPr fontId="15" type="noConversion"/>
  </si>
  <si>
    <t>새올행정 사용자정보</t>
    <phoneticPr fontId="15" type="noConversion"/>
  </si>
  <si>
    <t>SSO 통합 로그인</t>
    <phoneticPr fontId="15" type="noConversion"/>
  </si>
  <si>
    <t>기초지자체 사용자의 사용권한 등록</t>
    <phoneticPr fontId="15" type="noConversion"/>
  </si>
  <si>
    <t>서비스 접근관리</t>
    <phoneticPr fontId="15" type="noConversion"/>
  </si>
  <si>
    <t>접근권한 관리 정보</t>
    <phoneticPr fontId="15" type="noConversion"/>
  </si>
  <si>
    <t>접근권한 관리 정보 입력</t>
    <phoneticPr fontId="15" type="noConversion"/>
  </si>
  <si>
    <t>접근권한 관리 정보 수정</t>
    <phoneticPr fontId="15" type="noConversion"/>
  </si>
  <si>
    <t>접근권한 관리 정보 삭제</t>
    <phoneticPr fontId="15" type="noConversion"/>
  </si>
  <si>
    <t>접근권한 관리 정보 조회</t>
    <phoneticPr fontId="15" type="noConversion"/>
  </si>
  <si>
    <t>접근신청 알림</t>
    <phoneticPr fontId="15" type="noConversion"/>
  </si>
  <si>
    <t>접근신청 처리결과 알림</t>
    <phoneticPr fontId="15" type="noConversion"/>
  </si>
  <si>
    <t>접속 열람 이력 조회</t>
    <phoneticPr fontId="15" type="noConversion"/>
  </si>
  <si>
    <t>접속통계</t>
    <phoneticPr fontId="15" type="noConversion"/>
  </si>
  <si>
    <t>콘텐츠 관리</t>
    <phoneticPr fontId="15" type="noConversion"/>
  </si>
  <si>
    <t>지도서비스 현황 통계</t>
    <phoneticPr fontId="15" type="noConversion"/>
  </si>
  <si>
    <t>사용자 레이어 통계</t>
    <phoneticPr fontId="15" type="noConversion"/>
  </si>
  <si>
    <t>데이터맵 등록 콘텐츠 통계</t>
    <phoneticPr fontId="15" type="noConversion"/>
  </si>
  <si>
    <t>데이터맵 서비스 관리</t>
    <phoneticPr fontId="15" type="noConversion"/>
  </si>
  <si>
    <t>데이터맵 정보/등록/수정/삭제</t>
    <phoneticPr fontId="15" type="noConversion"/>
  </si>
  <si>
    <t>데이터맵 그룹관리</t>
    <phoneticPr fontId="15" type="noConversion"/>
  </si>
  <si>
    <t>그룹 생성</t>
    <phoneticPr fontId="15" type="noConversion"/>
  </si>
  <si>
    <t>그룹 관리자 지정</t>
    <phoneticPr fontId="15" type="noConversion"/>
  </si>
  <si>
    <t>그룹 통계조회</t>
    <phoneticPr fontId="15" type="noConversion"/>
  </si>
  <si>
    <t>대도민 서비스 관리</t>
    <phoneticPr fontId="15" type="noConversion"/>
  </si>
  <si>
    <t>대도민 서비스 등록 콘텐츠 목록 조회</t>
    <phoneticPr fontId="15" type="noConversion"/>
  </si>
  <si>
    <t>대도민 서비스 등록 콘텐츠 수정</t>
    <phoneticPr fontId="15" type="noConversion"/>
  </si>
  <si>
    <t>대도민 서비스 등록 콘텐츠 삭제</t>
    <phoneticPr fontId="15" type="noConversion"/>
  </si>
  <si>
    <t>대도민 서비스 등록 콘텐츠 등록</t>
    <phoneticPr fontId="15" type="noConversion"/>
  </si>
  <si>
    <t>1단계 구축 시스템</t>
    <phoneticPr fontId="15" type="noConversion"/>
  </si>
  <si>
    <t>데이터 관리 기능</t>
    <phoneticPr fontId="15" type="noConversion"/>
  </si>
  <si>
    <t>충북데이터통합체계 페이지 새창 조회</t>
    <phoneticPr fontId="15" type="noConversion"/>
  </si>
  <si>
    <t>자유공간 사용자 데이터 등록</t>
    <phoneticPr fontId="15" type="noConversion"/>
  </si>
  <si>
    <t>지오코딩 자료의 라벨링 부여</t>
    <phoneticPr fontId="15" type="noConversion"/>
  </si>
  <si>
    <t>속성정보 그리드</t>
    <phoneticPr fontId="15" type="noConversion"/>
  </si>
  <si>
    <t>속성정보 그리드 내에서의 필터링</t>
    <phoneticPr fontId="15" type="noConversion"/>
  </si>
  <si>
    <t>GPS 위치값을 가진 사진 등록</t>
    <phoneticPr fontId="15" type="noConversion"/>
  </si>
  <si>
    <t>파노라마 촬영 사진 등록</t>
    <phoneticPr fontId="15" type="noConversion"/>
  </si>
  <si>
    <t>자유공간 레이어목록에 범례표기</t>
    <phoneticPr fontId="15" type="noConversion"/>
  </si>
  <si>
    <t>자유공간 레이어목록에서 라벨 on/off</t>
    <phoneticPr fontId="15" type="noConversion"/>
  </si>
  <si>
    <t xml:space="preserve">대도민 서비스 </t>
    <phoneticPr fontId="15" type="noConversion"/>
  </si>
  <si>
    <t>대도민 서비스 조회</t>
    <phoneticPr fontId="15" type="noConversion"/>
  </si>
  <si>
    <t>대도민용 지도 목록 조회</t>
    <phoneticPr fontId="15" type="noConversion"/>
  </si>
  <si>
    <t>대도민용 지도 시각화</t>
    <phoneticPr fontId="15" type="noConversion"/>
  </si>
  <si>
    <t>대도민용 지도 내 개별 속성정보 조회</t>
    <phoneticPr fontId="15" type="noConversion"/>
  </si>
  <si>
    <t>5. 데이터서비스 기능점수 산정</t>
    <phoneticPr fontId="39" type="noConversion"/>
  </si>
  <si>
    <t>데이터서비스</t>
    <phoneticPr fontId="39" type="noConversion"/>
  </si>
  <si>
    <t>(SFR-004)통합 개발환경 구축</t>
    <phoneticPr fontId="39" type="noConversion"/>
  </si>
  <si>
    <t>개발자 지원 서비스</t>
    <phoneticPr fontId="65" type="noConversion"/>
  </si>
  <si>
    <t>공지사항</t>
    <phoneticPr fontId="39" type="noConversion"/>
  </si>
  <si>
    <t>공지사항 목록 조회</t>
  </si>
  <si>
    <t>자료실</t>
    <phoneticPr fontId="39" type="noConversion"/>
  </si>
  <si>
    <t>자료실 목록 조회</t>
  </si>
  <si>
    <t>FAQ</t>
    <phoneticPr fontId="39" type="noConversion"/>
  </si>
  <si>
    <t>FAQ 목록 조회</t>
  </si>
  <si>
    <t>질의응답</t>
    <phoneticPr fontId="39" type="noConversion"/>
  </si>
  <si>
    <t>질의응답 목록 조회</t>
  </si>
  <si>
    <t>질의응답</t>
  </si>
  <si>
    <t>질의응답 입력</t>
    <phoneticPr fontId="39" type="noConversion"/>
  </si>
  <si>
    <t>질의응답 수정</t>
  </si>
  <si>
    <t>질의응답 삭제</t>
  </si>
  <si>
    <t>프레임워크 가이드 목록 조회</t>
    <phoneticPr fontId="39" type="noConversion"/>
  </si>
  <si>
    <t>프레임워크 가이드 목록 조회</t>
  </si>
  <si>
    <t>위젯 기능</t>
    <phoneticPr fontId="39" type="noConversion"/>
  </si>
  <si>
    <t>위젯(샘플소스 정보, 목록/상세보기, 결과보기 등)</t>
    <phoneticPr fontId="39" type="noConversion"/>
  </si>
  <si>
    <t>지도 Javascript API 정보</t>
    <phoneticPr fontId="39" type="noConversion"/>
  </si>
  <si>
    <t>지도 Javascript API 정보 및 샘플 목록 조회</t>
  </si>
  <si>
    <t>사용자 계정 연동(SSO)</t>
    <phoneticPr fontId="39" type="noConversion"/>
  </si>
  <si>
    <t>사용자 계정 연동(SSO)</t>
  </si>
  <si>
    <t>사용자 및 스토리지 볼륨 제한</t>
    <phoneticPr fontId="39" type="noConversion"/>
  </si>
  <si>
    <t>사용자 및 스토리지 볼륨 제한 기능 구현</t>
    <phoneticPr fontId="39" type="noConversion"/>
  </si>
  <si>
    <t>인프라 자원</t>
    <phoneticPr fontId="39" type="noConversion"/>
  </si>
  <si>
    <t>인프라 자원 신청</t>
  </si>
  <si>
    <t>인프라 자원 승인</t>
  </si>
  <si>
    <t>AST</t>
    <phoneticPr fontId="39" type="noConversion"/>
  </si>
  <si>
    <t>(SFR-006) 서비스 제작 도구 개발</t>
    <phoneticPr fontId="39" type="noConversion"/>
  </si>
  <si>
    <t>범용화된 기능, 템플릿 등을 활용한 서비스모델 제작 도구 개발</t>
    <phoneticPr fontId="39" type="noConversion"/>
  </si>
  <si>
    <t>탑재된 모듈단위 기능 조합</t>
    <phoneticPr fontId="39" type="noConversion"/>
  </si>
  <si>
    <t>배경지도 API</t>
    <phoneticPr fontId="39" type="noConversion"/>
  </si>
  <si>
    <t>정사영상 API</t>
    <phoneticPr fontId="39" type="noConversion"/>
  </si>
  <si>
    <t>템플릿 목록 조회</t>
    <phoneticPr fontId="39" type="noConversion"/>
  </si>
  <si>
    <t>템플릿 목록 추가</t>
    <phoneticPr fontId="39" type="noConversion"/>
  </si>
  <si>
    <t>템플릿 삭제 기능</t>
    <phoneticPr fontId="39" type="noConversion"/>
  </si>
  <si>
    <t>템플릿 명 입력</t>
    <phoneticPr fontId="39" type="noConversion"/>
  </si>
  <si>
    <t>서비스 목록 추가</t>
    <phoneticPr fontId="39" type="noConversion"/>
  </si>
  <si>
    <t>서비스 삭제</t>
    <phoneticPr fontId="39" type="noConversion"/>
  </si>
  <si>
    <t>서비스 명 입력</t>
    <phoneticPr fontId="39" type="noConversion"/>
  </si>
  <si>
    <t>지도와 연관된 BI를 포함한 서비스 제작도구 고도화</t>
    <phoneticPr fontId="39" type="noConversion"/>
  </si>
  <si>
    <t>2D 지도 제어</t>
    <phoneticPr fontId="39" type="noConversion"/>
  </si>
  <si>
    <t>검색/선택</t>
    <phoneticPr fontId="39" type="noConversion"/>
  </si>
  <si>
    <t>차트, 지도 등 시각화</t>
    <phoneticPr fontId="39" type="noConversion"/>
  </si>
  <si>
    <t>자료 업로드</t>
    <phoneticPr fontId="39" type="noConversion"/>
  </si>
  <si>
    <t>각 파트별 검색/선택</t>
    <phoneticPr fontId="39" type="noConversion"/>
  </si>
  <si>
    <t>각 파트별 차트, 지도 등 시각화</t>
    <phoneticPr fontId="39" type="noConversion"/>
  </si>
  <si>
    <t>각 파트별 자료 업로드</t>
    <phoneticPr fontId="39" type="noConversion"/>
  </si>
  <si>
    <t>권한 설정</t>
    <phoneticPr fontId="39" type="noConversion"/>
  </si>
  <si>
    <t>사용자 권한 정보 조회</t>
    <phoneticPr fontId="39" type="noConversion"/>
  </si>
  <si>
    <t>사용자 권한 정보 수정</t>
    <phoneticPr fontId="39" type="noConversion"/>
  </si>
  <si>
    <t>저장된 파일 데이터 추가</t>
    <phoneticPr fontId="39" type="noConversion"/>
  </si>
  <si>
    <t>BI 정보 조회</t>
    <phoneticPr fontId="39" type="noConversion"/>
  </si>
  <si>
    <t>구축된 서비스 모델의 등록 및 관리 기능 구현(관리자페이지)</t>
    <phoneticPr fontId="39" type="noConversion"/>
  </si>
  <si>
    <t>서비스 등록</t>
    <phoneticPr fontId="39" type="noConversion"/>
  </si>
  <si>
    <t>서비스 테스트 화면 조회</t>
    <phoneticPr fontId="39" type="noConversion"/>
  </si>
  <si>
    <t>서비스 테스트 입력</t>
    <phoneticPr fontId="39" type="noConversion"/>
  </si>
  <si>
    <t>서비스 승인 기능 구현</t>
    <phoneticPr fontId="39" type="noConversion"/>
  </si>
  <si>
    <t>서비스 목록 조회</t>
    <phoneticPr fontId="39" type="noConversion"/>
  </si>
  <si>
    <t>서비스 목록 수정</t>
    <phoneticPr fontId="39" type="noConversion"/>
  </si>
  <si>
    <t>서비스 목록 삭제</t>
    <phoneticPr fontId="39" type="noConversion"/>
  </si>
  <si>
    <t>URL 입력 기능 구현</t>
    <phoneticPr fontId="39" type="noConversion"/>
  </si>
  <si>
    <t>등록된 서비스 확인 조회</t>
    <phoneticPr fontId="39" type="noConversion"/>
  </si>
  <si>
    <t>등록된 서비스 공유 버튼 입력</t>
    <phoneticPr fontId="39" type="noConversion"/>
  </si>
  <si>
    <t>(SFR-006) 서비스 제작 도구 개발_국토정보플랫폼통합</t>
    <phoneticPr fontId="39" type="noConversion"/>
  </si>
  <si>
    <t>서비스 모델 컴포넌트 수정</t>
    <phoneticPr fontId="65" type="noConversion"/>
  </si>
  <si>
    <t>기존컴포넌트 불러오기</t>
    <phoneticPr fontId="65" type="noConversion"/>
  </si>
  <si>
    <t>서비스 모델 컴포넌트 수정</t>
  </si>
  <si>
    <t>컴포넌트 복사하기</t>
    <phoneticPr fontId="65" type="noConversion"/>
  </si>
  <si>
    <t>컴포넌트 내 수정 템플릿 표시</t>
    <phoneticPr fontId="65" type="noConversion"/>
  </si>
  <si>
    <t>템플릿 연결상세정보 표시</t>
    <phoneticPr fontId="65" type="noConversion"/>
  </si>
  <si>
    <t>템플릿별 연결상세정보 수정</t>
    <phoneticPr fontId="65" type="noConversion"/>
  </si>
  <si>
    <t>사용자 컴포넌트 저장</t>
    <phoneticPr fontId="65" type="noConversion"/>
  </si>
  <si>
    <t>내 컴포넌트 불어오기</t>
    <phoneticPr fontId="65" type="noConversion"/>
  </si>
  <si>
    <t>디자인 템플릿 개발</t>
  </si>
  <si>
    <t>이미지 로딩정보 설정</t>
    <phoneticPr fontId="39" type="noConversion"/>
  </si>
  <si>
    <t>CSS불러오기 및 적용</t>
    <phoneticPr fontId="39" type="noConversion"/>
  </si>
  <si>
    <t>기존 템플릿 조회</t>
    <phoneticPr fontId="39" type="noConversion"/>
  </si>
  <si>
    <t>API별 컴포넌트 자동 생성</t>
    <phoneticPr fontId="39" type="noConversion"/>
  </si>
  <si>
    <t>결과연결(지도) 템플릿</t>
    <phoneticPr fontId="65" type="noConversion"/>
  </si>
  <si>
    <t>시계열 슬라이드바 템플릿</t>
    <phoneticPr fontId="65" type="noConversion"/>
  </si>
  <si>
    <t>가시화 기능 템플릿 개발</t>
    <phoneticPr fontId="65" type="noConversion"/>
  </si>
  <si>
    <t>하천범람 시뮬레이션 템플릿</t>
    <phoneticPr fontId="65" type="noConversion"/>
  </si>
  <si>
    <t>가시화 기능 템플릿 개발</t>
  </si>
  <si>
    <t>바람길 시뮬레이션 템플릿 1</t>
    <phoneticPr fontId="65" type="noConversion"/>
  </si>
  <si>
    <t>연기 시뮬레이션 1</t>
    <phoneticPr fontId="65" type="noConversion"/>
  </si>
  <si>
    <t>화재 시뮬레이션 템플릿 1</t>
    <phoneticPr fontId="65" type="noConversion"/>
  </si>
  <si>
    <t>빛 시뮬레이션 템플릿 1</t>
    <phoneticPr fontId="65" type="noConversion"/>
  </si>
  <si>
    <t>기타 시각화 시뮬레이션 템플릿 1</t>
    <phoneticPr fontId="65" type="noConversion"/>
  </si>
  <si>
    <t>컨텐츠 적용 CSS관리</t>
    <phoneticPr fontId="39" type="noConversion"/>
  </si>
  <si>
    <t>CSS정보 조회</t>
    <phoneticPr fontId="39" type="noConversion"/>
  </si>
  <si>
    <t>컨텐츠 적용 CSS관리</t>
  </si>
  <si>
    <t>CSS정보 등록/수정/삭제</t>
    <phoneticPr fontId="39" type="noConversion"/>
  </si>
  <si>
    <t>CSS적용 미리보기</t>
    <phoneticPr fontId="39" type="noConversion"/>
  </si>
  <si>
    <t>CSS정보</t>
    <phoneticPr fontId="39" type="noConversion"/>
  </si>
  <si>
    <t>컨텐츠 템플릿관리</t>
    <phoneticPr fontId="39" type="noConversion"/>
  </si>
  <si>
    <t>템플릿 등록/수정/삭제</t>
    <phoneticPr fontId="39" type="noConversion"/>
  </si>
  <si>
    <t>컨텐츠 템플릿관리</t>
  </si>
  <si>
    <t>템플릿 조회</t>
    <phoneticPr fontId="39" type="noConversion"/>
  </si>
  <si>
    <t>템플릿 불러오기 및 적용</t>
    <phoneticPr fontId="39" type="noConversion"/>
  </si>
  <si>
    <t>템플릿 미리보기</t>
    <phoneticPr fontId="39" type="noConversion"/>
  </si>
  <si>
    <t>템플릿 정보</t>
    <phoneticPr fontId="39" type="noConversion"/>
  </si>
  <si>
    <t>컨텐츠 템플릿 배치관리</t>
    <phoneticPr fontId="39" type="noConversion"/>
  </si>
  <si>
    <t>컨텐츠 템플릿 배치정보 조회</t>
    <phoneticPr fontId="39" type="noConversion"/>
  </si>
  <si>
    <t>컨텐츠 템플릿 배치관리</t>
  </si>
  <si>
    <t>컨텐츠 템플릿 배치정보 등록/수정/삭제</t>
    <phoneticPr fontId="39" type="noConversion"/>
  </si>
  <si>
    <t>컨텐츠 배치정보</t>
    <phoneticPr fontId="39" type="noConversion"/>
  </si>
  <si>
    <t>컨텐츠 템플릿 사용자 매핑관리</t>
    <phoneticPr fontId="39" type="noConversion"/>
  </si>
  <si>
    <t>사용자별 템플릿 매핑 조회</t>
    <phoneticPr fontId="39" type="noConversion"/>
  </si>
  <si>
    <t>컨텐츠 템플릿 사용자 매핑관리</t>
  </si>
  <si>
    <t>사용자별 템플릿 매핑 정보/등록/수정/삭제</t>
    <phoneticPr fontId="39" type="noConversion"/>
  </si>
  <si>
    <t>컨텐츠 템플릿별 API 연동관리</t>
    <phoneticPr fontId="39" type="noConversion"/>
  </si>
  <si>
    <t>컨텐츠 템플릿별 API연동 조회</t>
    <phoneticPr fontId="39" type="noConversion"/>
  </si>
  <si>
    <t>컨텐츠 템플릿별 API 연동관리</t>
  </si>
  <si>
    <t>컨텐츠 템플릿별 API연동 등록/수정/삭제</t>
    <phoneticPr fontId="39" type="noConversion"/>
  </si>
  <si>
    <t>연동 API정보 관리</t>
    <phoneticPr fontId="39" type="noConversion"/>
  </si>
  <si>
    <t>API정보 조회</t>
    <phoneticPr fontId="39" type="noConversion"/>
  </si>
  <si>
    <t>연동 API정보 관리</t>
  </si>
  <si>
    <t>API정보 등록/수정/삭제</t>
    <phoneticPr fontId="39" type="noConversion"/>
  </si>
  <si>
    <t>API호출 미리보기</t>
    <phoneticPr fontId="39" type="noConversion"/>
  </si>
  <si>
    <t>API사용법 조회</t>
    <phoneticPr fontId="39" type="noConversion"/>
  </si>
  <si>
    <t>API사용법 다운로드</t>
    <phoneticPr fontId="39" type="noConversion"/>
  </si>
  <si>
    <t>API정보</t>
    <phoneticPr fontId="39" type="noConversion"/>
  </si>
  <si>
    <t>컨텐츠 템플릿 화면 매핑관리</t>
    <phoneticPr fontId="39" type="noConversion"/>
  </si>
  <si>
    <t>컨텐츠 템플릿 화면 매핑정보 조회</t>
    <phoneticPr fontId="39" type="noConversion"/>
  </si>
  <si>
    <t>컨텐츠 템플릿 화면 매핑관리</t>
  </si>
  <si>
    <t>컨텐츠 템플릿 화면 매핑정보 등록/수정/삭제</t>
    <phoneticPr fontId="39" type="noConversion"/>
  </si>
  <si>
    <t>컨텐츠 템플릿 화면 매핑정보</t>
    <phoneticPr fontId="39" type="noConversion"/>
  </si>
  <si>
    <t>컨텐츠 템플릿 배포 관리</t>
    <phoneticPr fontId="39" type="noConversion"/>
  </si>
  <si>
    <t>컨텐츠 템플릿 배포정보 조회</t>
    <phoneticPr fontId="39" type="noConversion"/>
  </si>
  <si>
    <t>컨텐츠 템플릿 배포 관리</t>
  </si>
  <si>
    <t>컨텐츠 템플릿 배포정보 등록/수정/삭제</t>
    <phoneticPr fontId="39" type="noConversion"/>
  </si>
  <si>
    <t>컨텐프 템플릿 배포 미리보기</t>
    <phoneticPr fontId="39" type="noConversion"/>
  </si>
  <si>
    <t xml:space="preserve">컨텐츠 템플릿 배포정보 </t>
    <phoneticPr fontId="39" type="noConversion"/>
  </si>
  <si>
    <t>컨텐츠 배포 변경 관리</t>
    <phoneticPr fontId="39" type="noConversion"/>
  </si>
  <si>
    <t>컨텐츠 템플릿 배포 변경이력 조회</t>
    <phoneticPr fontId="39" type="noConversion"/>
  </si>
  <si>
    <t>컨텐츠 배포 변경 관리</t>
  </si>
  <si>
    <t>컨텐츠 템플릿 배포 변경이력 등록</t>
    <phoneticPr fontId="39" type="noConversion"/>
  </si>
  <si>
    <t>컨텐츠 템플릿 배포 변경이력정보</t>
    <phoneticPr fontId="39" type="noConversion"/>
  </si>
  <si>
    <t>서비스</t>
    <phoneticPr fontId="65" type="noConversion"/>
  </si>
  <si>
    <t>(SFR-013) 웹앱 템플릿 추가 및 고도화 구축</t>
    <phoneticPr fontId="39" type="noConversion"/>
  </si>
  <si>
    <t>템플릿 신규 및 고도화 항목</t>
    <phoneticPr fontId="39" type="noConversion"/>
  </si>
  <si>
    <t>웹앱 템플릿 연계(공통)</t>
    <phoneticPr fontId="39" type="noConversion"/>
  </si>
  <si>
    <t>웹앱 템플릿 DB를 연계 하는 작업</t>
    <phoneticPr fontId="39" type="noConversion"/>
  </si>
  <si>
    <t>웹앱 템플릿 목록 조회 기능</t>
    <phoneticPr fontId="39" type="noConversion"/>
  </si>
  <si>
    <t>웹앱 템플릿의 리스트를 조회하는 기능</t>
    <phoneticPr fontId="39" type="noConversion"/>
  </si>
  <si>
    <t>웹앱 템플릿 선택 기능</t>
    <phoneticPr fontId="39" type="noConversion"/>
  </si>
  <si>
    <t>사용자가 사용하고자하는 템프릿을 선택하는 기능</t>
    <phoneticPr fontId="39" type="noConversion"/>
  </si>
  <si>
    <t>선택한 템플릿으로 화면 변경</t>
    <phoneticPr fontId="39" type="noConversion"/>
  </si>
  <si>
    <t>선택한 템플릿 표출</t>
    <phoneticPr fontId="39" type="noConversion"/>
  </si>
  <si>
    <t>전체 템플릿별 기능 고도화</t>
    <phoneticPr fontId="39" type="noConversion"/>
  </si>
  <si>
    <t>탭 유형 레이아웃 연계</t>
    <phoneticPr fontId="39" type="noConversion"/>
  </si>
  <si>
    <t xml:space="preserve">탭 유형 레이아웃 연계 </t>
    <phoneticPr fontId="39" type="noConversion"/>
  </si>
  <si>
    <t>글머리 기호 유형 레이아웃 연계</t>
    <phoneticPr fontId="39" type="noConversion"/>
  </si>
  <si>
    <t>데이터 위치 및 피처 값 연계</t>
    <phoneticPr fontId="39" type="noConversion"/>
  </si>
  <si>
    <t>데이터 속성 정보 연계</t>
    <phoneticPr fontId="39" type="noConversion"/>
  </si>
  <si>
    <t>BI 솔루션 연계</t>
  </si>
  <si>
    <t>BI 솔루션 연계</t>
    <phoneticPr fontId="39" type="noConversion"/>
  </si>
  <si>
    <t>탭 유형 목록 조회</t>
    <phoneticPr fontId="39" type="noConversion"/>
  </si>
  <si>
    <t>탭 유형 리스트를 조회하는 기능</t>
    <phoneticPr fontId="39" type="noConversion"/>
  </si>
  <si>
    <t>탭 유형 선택 기능</t>
    <phoneticPr fontId="39" type="noConversion"/>
  </si>
  <si>
    <t>사용자가 사용하고자하는 탭 유형을 선택하는 기능</t>
    <phoneticPr fontId="39" type="noConversion"/>
  </si>
  <si>
    <t>선택한 탭 유형으로 화면 변경</t>
    <phoneticPr fontId="39" type="noConversion"/>
  </si>
  <si>
    <t>선택한 탭 유형 표출</t>
    <phoneticPr fontId="39" type="noConversion"/>
  </si>
  <si>
    <t>글머리 기호 유형 레이아웃 목록 조회</t>
    <phoneticPr fontId="39" type="noConversion"/>
  </si>
  <si>
    <t>글머리 기호 유형 레이아웃 리스트를 조회하는 기능</t>
    <phoneticPr fontId="39" type="noConversion"/>
  </si>
  <si>
    <t>글머리 기호 유형 레이아웃 선택</t>
    <phoneticPr fontId="39" type="noConversion"/>
  </si>
  <si>
    <t>사용자가 사용하고자하는 글머리 기호를 선택하는 기능</t>
    <phoneticPr fontId="39" type="noConversion"/>
  </si>
  <si>
    <t>패널 위치/크기 조정</t>
    <phoneticPr fontId="39" type="noConversion"/>
  </si>
  <si>
    <t>패널의 위치 및 크기를 사용자가 조정하는 기능</t>
    <phoneticPr fontId="39" type="noConversion"/>
  </si>
  <si>
    <t>패널 위치/크기 저장</t>
    <phoneticPr fontId="39" type="noConversion"/>
  </si>
  <si>
    <t>설정한 위치 및 크기를 저장하는 기능</t>
    <phoneticPr fontId="39" type="noConversion"/>
  </si>
  <si>
    <t>범례 위치 설정</t>
    <phoneticPr fontId="39" type="noConversion"/>
  </si>
  <si>
    <t>범례 위치를 설정하는 기능</t>
    <phoneticPr fontId="39" type="noConversion"/>
  </si>
  <si>
    <t>범례 위치 저장</t>
    <phoneticPr fontId="39" type="noConversion"/>
  </si>
  <si>
    <t>범례 위치를 저장하는 기능</t>
    <phoneticPr fontId="39" type="noConversion"/>
  </si>
  <si>
    <t>맵 위치 동기화 버튼 클릭</t>
    <phoneticPr fontId="39" type="noConversion"/>
  </si>
  <si>
    <t>맵 위치를 동기화하는 기능</t>
    <phoneticPr fontId="39" type="noConversion"/>
  </si>
  <si>
    <t>위치 및 피처명 입력</t>
    <phoneticPr fontId="39" type="noConversion"/>
  </si>
  <si>
    <t>위치 혹은 피처명을 입력하는 기능</t>
    <phoneticPr fontId="39" type="noConversion"/>
  </si>
  <si>
    <t>위치 및 피처 조회</t>
    <phoneticPr fontId="39" type="noConversion"/>
  </si>
  <si>
    <t>입력한 위치 및 피처명을 조회하는 기능</t>
    <phoneticPr fontId="39" type="noConversion"/>
  </si>
  <si>
    <t>위치 및 피처 표시</t>
    <phoneticPr fontId="39" type="noConversion"/>
  </si>
  <si>
    <t>선택한 위치 및 피처를 가시화 하는 기능</t>
    <phoneticPr fontId="39" type="noConversion"/>
  </si>
  <si>
    <t>컨텐츠 영역 수정 버튼 클릭</t>
    <phoneticPr fontId="39" type="noConversion"/>
  </si>
  <si>
    <t>컨텐츠 영역 수정기능을 활성화 하는 기능</t>
    <phoneticPr fontId="39" type="noConversion"/>
  </si>
  <si>
    <t>컨텐츠 영역 설정</t>
    <phoneticPr fontId="39" type="noConversion"/>
  </si>
  <si>
    <t>컨텐츠 영역을 사용자가 설정하는 기능</t>
    <phoneticPr fontId="39" type="noConversion"/>
  </si>
  <si>
    <t>컨텐츠 영역 저장</t>
    <phoneticPr fontId="39" type="noConversion"/>
  </si>
  <si>
    <t>설정한 컨텐츠 영역을 저장하는 기능</t>
    <phoneticPr fontId="39" type="noConversion"/>
  </si>
  <si>
    <t>모바일 템플릿별 기능</t>
    <phoneticPr fontId="39" type="noConversion"/>
  </si>
  <si>
    <t>템플릿 정보 모바일 연계</t>
    <phoneticPr fontId="39" type="noConversion"/>
  </si>
  <si>
    <t>템플릿 정보를 모바일과 연계하는 기능</t>
    <phoneticPr fontId="39" type="noConversion"/>
  </si>
  <si>
    <t>레이어 목록 조회</t>
    <phoneticPr fontId="39" type="noConversion"/>
  </si>
  <si>
    <t>모바일 템플릿 레이어 목록을 조회하는 기능</t>
    <phoneticPr fontId="39" type="noConversion"/>
  </si>
  <si>
    <t>데이터 생성</t>
    <phoneticPr fontId="39" type="noConversion"/>
  </si>
  <si>
    <t>데이터를 생성하는 기능</t>
    <phoneticPr fontId="39" type="noConversion"/>
  </si>
  <si>
    <t>데이터 조회</t>
    <phoneticPr fontId="39" type="noConversion"/>
  </si>
  <si>
    <t>데이터를 조회하는 기능</t>
    <phoneticPr fontId="39" type="noConversion"/>
  </si>
  <si>
    <t>데이터 수정</t>
    <phoneticPr fontId="39" type="noConversion"/>
  </si>
  <si>
    <t>데이터를 수정하는 기능</t>
    <phoneticPr fontId="39" type="noConversion"/>
  </si>
  <si>
    <t>데이터 삭제</t>
    <phoneticPr fontId="39" type="noConversion"/>
  </si>
  <si>
    <t>데이터를 삭제하는 기능</t>
    <phoneticPr fontId="39" type="noConversion"/>
  </si>
  <si>
    <t>부서데이터관리 템플릿별 기능</t>
    <phoneticPr fontId="39" type="noConversion"/>
  </si>
  <si>
    <t>부서 공유 데이터 연계</t>
    <phoneticPr fontId="39" type="noConversion"/>
  </si>
  <si>
    <t>부서간 공유 데이터를 연계</t>
    <phoneticPr fontId="39" type="noConversion"/>
  </si>
  <si>
    <t>부서 공유 데이터 목록 조회</t>
    <phoneticPr fontId="39" type="noConversion"/>
  </si>
  <si>
    <t>공유된 데이터 리스트를 조회하는 기능</t>
    <phoneticPr fontId="39" type="noConversion"/>
  </si>
  <si>
    <t>부서 공유 데이터 선택</t>
    <phoneticPr fontId="39" type="noConversion"/>
  </si>
  <si>
    <t>사용자가 사용하고자하는 데이터를 선택하는 기능</t>
    <phoneticPr fontId="39" type="noConversion"/>
  </si>
  <si>
    <t>부서 공유 데이터 정보 가시화(로그 등)</t>
    <phoneticPr fontId="39" type="noConversion"/>
  </si>
  <si>
    <t>선택한 데이터를 가시화해주는 기능</t>
    <phoneticPr fontId="39" type="noConversion"/>
  </si>
  <si>
    <t>부서 공유 데이터 수정/삭제</t>
    <phoneticPr fontId="39" type="noConversion"/>
  </si>
  <si>
    <t>부서 공유 데이터를 수정/삭제할 수 있는 기능</t>
    <phoneticPr fontId="39" type="noConversion"/>
  </si>
  <si>
    <t>템플릿 설정기능 고도화</t>
    <phoneticPr fontId="39" type="noConversion"/>
  </si>
  <si>
    <t>회원 DB 연계</t>
    <phoneticPr fontId="39" type="noConversion"/>
  </si>
  <si>
    <t>응용지도 페이지 리스트 조회</t>
    <phoneticPr fontId="39" type="noConversion"/>
  </si>
  <si>
    <t>응용지도 페이지 리스트를 조회하는 기능</t>
    <phoneticPr fontId="39" type="noConversion"/>
  </si>
  <si>
    <t>응용지도 페이지 리스트에서 레이어 가시화 권한 설정</t>
    <phoneticPr fontId="39" type="noConversion"/>
  </si>
  <si>
    <t>응용지도 페이지의 접근 권한을 관리하는 기능</t>
    <phoneticPr fontId="39" type="noConversion"/>
  </si>
  <si>
    <t>레이어 가시화 권한 설정 저장</t>
    <phoneticPr fontId="39" type="noConversion"/>
  </si>
  <si>
    <t>응용지도 페이지의 접근 권한을 설정후 저장하는 기능</t>
    <phoneticPr fontId="39" type="noConversion"/>
  </si>
  <si>
    <t>(SFR-014) 위젯 추가 및 관리</t>
    <phoneticPr fontId="39" type="noConversion"/>
  </si>
  <si>
    <t>공통기능의 위젯 설정</t>
    <phoneticPr fontId="39" type="noConversion"/>
  </si>
  <si>
    <t>(공통) 위젯 설정 데이터 연계</t>
    <phoneticPr fontId="39" type="noConversion"/>
  </si>
  <si>
    <t>부동산정보(토지/건물 등) 검색, 데이터 추가, 지오코딩, 지도 TOC, 레이어 Style도구, 좌표변환, 데이터요약분석, 위치찾기, 공간패턴, 근접도분석, 데이터관리분석, 범례, 중첩영상 데이터 적재 후 연계</t>
    <phoneticPr fontId="39" type="noConversion"/>
  </si>
  <si>
    <t>(공통) 설정정보 조회</t>
    <phoneticPr fontId="39" type="noConversion"/>
  </si>
  <si>
    <t>부동산정보, 데이터 추가, 지오코딩, 지도 TOC 도구, 레이어 Style 도구, 좌표변환, 데이터요약분석, 위치찾기 분석, 공간패턴분석, 근접도분석, 데이터관리분석, 범례, 중첩영상의 설정정보를 조회하는 기능</t>
    <phoneticPr fontId="39" type="noConversion"/>
  </si>
  <si>
    <t>(공통) 설정정보 저장</t>
    <phoneticPr fontId="39" type="noConversion"/>
  </si>
  <si>
    <t>부동산정보, 데이터 추가, 지오코딩, 지도 TOC 도구, 레이어 Style 도구, 좌표변환, 데이터요약분석, 위치찾기 분석, 공간패턴분석, 근접도분석, 데이터관리분석, 범례, 중첩영상의 설정정보를 저장하는 기능</t>
    <phoneticPr fontId="39" type="noConversion"/>
  </si>
  <si>
    <t>(공통) 설정정보 수정</t>
    <phoneticPr fontId="39" type="noConversion"/>
  </si>
  <si>
    <t>부동산정보, 데이터 추가, 지오코딩, 지도 TOC 도구, 레이어 Style 도구, 좌표변환, 데이터요약분석, 위치찾기 분석, 공간패턴분석, 근접도분석, 데이터관리분석, 범례, 중첩영상의 설정정보를 수정하는 기능</t>
    <phoneticPr fontId="39" type="noConversion"/>
  </si>
  <si>
    <t>(공통) 설정정보 삭제</t>
    <phoneticPr fontId="39" type="noConversion"/>
  </si>
  <si>
    <t>부동산정보, 데이터 추가, 지오코딩, 지도 TOC 도구, 레이어 Style 도구, 좌표변환, 데이터요약분석, 위치찾기 분석, 공간패턴분석, 근접도분석, 데이터관리분석, 범례, 중첩영상의 설정정보를 삭제하는 기능</t>
    <phoneticPr fontId="39" type="noConversion"/>
  </si>
  <si>
    <t>로그인 위젯 설정</t>
    <phoneticPr fontId="39" type="noConversion"/>
  </si>
  <si>
    <t>로그인 프로세스 설정</t>
    <phoneticPr fontId="39" type="noConversion"/>
  </si>
  <si>
    <t>로그인 프로세스 설정하는 기능</t>
    <phoneticPr fontId="39" type="noConversion"/>
  </si>
  <si>
    <t>로그인 프로세스 위젯 생성</t>
    <phoneticPr fontId="39" type="noConversion"/>
  </si>
  <si>
    <t>설정한 로그인 프로세스 위젯으로 생성하는 기능</t>
    <phoneticPr fontId="39" type="noConversion"/>
  </si>
  <si>
    <t>그리기 및 측정도구, 좌표표시 위젯 고도화</t>
    <phoneticPr fontId="39" type="noConversion"/>
  </si>
  <si>
    <t>그리기 선 스타일 선택</t>
    <phoneticPr fontId="39" type="noConversion"/>
  </si>
  <si>
    <t>지도 위에 선 그릴 때 선 스타일을 선택하는 기능(직선, 곡선 등)</t>
    <phoneticPr fontId="39" type="noConversion"/>
  </si>
  <si>
    <t>그리기 도형 스타일 선택</t>
    <phoneticPr fontId="39" type="noConversion"/>
  </si>
  <si>
    <t>지도 위에 도형 그릴 때 도형 스타일을 선택하는 기능(사각형, 삼각형, 원형 등)</t>
    <phoneticPr fontId="39" type="noConversion"/>
  </si>
  <si>
    <t>선 및 도형 그리기</t>
    <phoneticPr fontId="39" type="noConversion"/>
  </si>
  <si>
    <t>지도 위 선 및 도형을 그리는 기능</t>
    <phoneticPr fontId="39" type="noConversion"/>
  </si>
  <si>
    <t>측정도구(지점) 조회 정보 추가</t>
    <phoneticPr fontId="39" type="noConversion"/>
  </si>
  <si>
    <t>측정도구 및 지점 조회 정보를 추가하는 기능</t>
    <phoneticPr fontId="39" type="noConversion"/>
  </si>
  <si>
    <t>좌표 조회</t>
    <phoneticPr fontId="39" type="noConversion"/>
  </si>
  <si>
    <t>지정한 지점의 좌표를 조회하는 기능</t>
    <phoneticPr fontId="39" type="noConversion"/>
  </si>
  <si>
    <t>표출 좌표계 변경</t>
    <phoneticPr fontId="39" type="noConversion"/>
  </si>
  <si>
    <t>표출 좌표계를 변경하는 기능</t>
    <phoneticPr fontId="39" type="noConversion"/>
  </si>
  <si>
    <t>(SFR-015) LX플랫폼(데이터서비스) 기능 고도화</t>
    <phoneticPr fontId="39" type="noConversion"/>
  </si>
  <si>
    <t>LX플랫폼(데이터서비스) 공통사항</t>
    <phoneticPr fontId="39" type="noConversion"/>
  </si>
  <si>
    <t>LX플랫폼 데이터 서비스 포털 및 사용자 맞춤형 포털 단일화</t>
    <phoneticPr fontId="39" type="noConversion"/>
  </si>
  <si>
    <t>기 존재하는 두개으 플랫폼 단일화</t>
    <phoneticPr fontId="39" type="noConversion"/>
  </si>
  <si>
    <t>로그인 정보 입력</t>
    <phoneticPr fontId="39" type="noConversion"/>
  </si>
  <si>
    <t>사용자 로그인 정보 입력</t>
    <phoneticPr fontId="39" type="noConversion"/>
  </si>
  <si>
    <t>SSO 인증 로그인</t>
    <phoneticPr fontId="39" type="noConversion"/>
  </si>
  <si>
    <t>통합 플랫폼 페이지 표출</t>
    <phoneticPr fontId="39" type="noConversion"/>
  </si>
  <si>
    <t>기관별 초기 설정</t>
    <phoneticPr fontId="39" type="noConversion"/>
  </si>
  <si>
    <t>플랫폼 페이지 내 메뉴 조회</t>
    <phoneticPr fontId="39" type="noConversion"/>
  </si>
  <si>
    <t>기관별 초기설정 선택</t>
    <phoneticPr fontId="39" type="noConversion"/>
  </si>
  <si>
    <t>메인 타이틀 입력</t>
    <phoneticPr fontId="39" type="noConversion"/>
  </si>
  <si>
    <t>신규등록 기관 메인 타이틀 입력</t>
    <phoneticPr fontId="39" type="noConversion"/>
  </si>
  <si>
    <t>로고 이미지 업로드</t>
    <phoneticPr fontId="39" type="noConversion"/>
  </si>
  <si>
    <t>신규등록 로고 이미지 업로드</t>
    <phoneticPr fontId="39" type="noConversion"/>
  </si>
  <si>
    <t>배경 이미지 업로드</t>
    <phoneticPr fontId="39" type="noConversion"/>
  </si>
  <si>
    <t>신규등록 배경 이미지 업로드</t>
    <phoneticPr fontId="39" type="noConversion"/>
  </si>
  <si>
    <t>사용자 맞춤형 포털 메인 UI 테마 템플릿 데이터 연계</t>
    <phoneticPr fontId="39" type="noConversion"/>
  </si>
  <si>
    <t>UI 테마 조회</t>
    <phoneticPr fontId="39" type="noConversion"/>
  </si>
  <si>
    <t>플랫폼에서 제공하는 메인 템플릿 5가지 조회</t>
    <phoneticPr fontId="39" type="noConversion"/>
  </si>
  <si>
    <t>UI 테마 선택</t>
    <phoneticPr fontId="39" type="noConversion"/>
  </si>
  <si>
    <t>플랫폼에서 제공하는 메인 템플릿 중 사용자 택일</t>
    <phoneticPr fontId="39" type="noConversion"/>
  </si>
  <si>
    <t>설정값 저장</t>
    <phoneticPr fontId="39" type="noConversion"/>
  </si>
  <si>
    <t>설정한 기관별 초기 설정값 저장</t>
    <phoneticPr fontId="39" type="noConversion"/>
  </si>
  <si>
    <t>메인 UI 제작</t>
    <phoneticPr fontId="39" type="noConversion"/>
  </si>
  <si>
    <t>메인 UI 저장</t>
    <phoneticPr fontId="39" type="noConversion"/>
  </si>
  <si>
    <t>기관별 초기설정 완료</t>
    <phoneticPr fontId="39" type="noConversion"/>
  </si>
  <si>
    <t>사용자별 초기 설정</t>
    <phoneticPr fontId="39" type="noConversion"/>
  </si>
  <si>
    <t>사용자별 초기 설정 정보조회</t>
    <phoneticPr fontId="39" type="noConversion"/>
  </si>
  <si>
    <t>사용자 개인정보 입력</t>
    <phoneticPr fontId="39" type="noConversion"/>
  </si>
  <si>
    <t>사용자 개인정보 수정</t>
    <phoneticPr fontId="39" type="noConversion"/>
  </si>
  <si>
    <t>사용자 개인정보 삭제</t>
    <phoneticPr fontId="39" type="noConversion"/>
  </si>
  <si>
    <t>사용자 개인정보 등록</t>
    <phoneticPr fontId="39" type="noConversion"/>
  </si>
  <si>
    <t>배경 지도 종류 조회</t>
    <phoneticPr fontId="39" type="noConversion"/>
  </si>
  <si>
    <t>배경 지도 종류 선택</t>
    <phoneticPr fontId="39" type="noConversion"/>
  </si>
  <si>
    <t>레이어 조회</t>
    <phoneticPr fontId="39" type="noConversion"/>
  </si>
  <si>
    <t>배경지도 상에 표출할 레이어 항목 조회</t>
    <phoneticPr fontId="39" type="noConversion"/>
  </si>
  <si>
    <t>레이어 선택</t>
    <phoneticPr fontId="39" type="noConversion"/>
  </si>
  <si>
    <t>배경지도 상에 표출할 레이어 항목 선택</t>
    <phoneticPr fontId="39" type="noConversion"/>
  </si>
  <si>
    <t>위젯 종류 조회</t>
    <phoneticPr fontId="39" type="noConversion"/>
  </si>
  <si>
    <t>이용할 위젯 기능 종류 조회</t>
    <phoneticPr fontId="39" type="noConversion"/>
  </si>
  <si>
    <t>위젯 종류 선택</t>
    <phoneticPr fontId="39" type="noConversion"/>
  </si>
  <si>
    <t>이용할 위젯 기능 종류 선택</t>
    <phoneticPr fontId="39" type="noConversion"/>
  </si>
  <si>
    <t>사용자 초기설정 저장</t>
    <phoneticPr fontId="39" type="noConversion"/>
  </si>
  <si>
    <t>데이터관리 고도화</t>
    <phoneticPr fontId="39" type="noConversion"/>
  </si>
  <si>
    <t>사진/동영상/첨부파일 관리 및 폴더 관리 선택</t>
    <phoneticPr fontId="39" type="noConversion"/>
  </si>
  <si>
    <t>사진/동영상/첨부파일 조회</t>
    <phoneticPr fontId="39" type="noConversion"/>
  </si>
  <si>
    <t>사진/동영상/첨부파일 업로드</t>
    <phoneticPr fontId="39" type="noConversion"/>
  </si>
  <si>
    <t>사진/동영상/첨부파일 삭제</t>
    <phoneticPr fontId="39" type="noConversion"/>
  </si>
  <si>
    <t>사진/동영상/첨부파일 다운로드</t>
    <phoneticPr fontId="39" type="noConversion"/>
  </si>
  <si>
    <t>업로드 파일을 연계 지오코딩 생성</t>
    <phoneticPr fontId="39" type="noConversion"/>
  </si>
  <si>
    <t>업로드 파일을 이용한 지오코딩 생성</t>
    <phoneticPr fontId="39" type="noConversion"/>
  </si>
  <si>
    <t xml:space="preserve">웹레이어 조회 </t>
    <phoneticPr fontId="39" type="noConversion"/>
  </si>
  <si>
    <t>웹레이어 속성정보 내에 사진/동영상/첨부파일 업로드</t>
    <phoneticPr fontId="39" type="noConversion"/>
  </si>
  <si>
    <t>웹레이어 속성정보 내에 사진/동영상/첨부파일 삭제</t>
    <phoneticPr fontId="39" type="noConversion"/>
  </si>
  <si>
    <t>웹레이어 속성정보 내에 사진/동영상/첨부파일 수정</t>
    <phoneticPr fontId="39" type="noConversion"/>
  </si>
  <si>
    <t>웹레이어 속성정보 내에 사진/동영상/첨부파일 저장</t>
    <phoneticPr fontId="39" type="noConversion"/>
  </si>
  <si>
    <t>웹레이어 속성정보 내에 사진/동영상/첨부파일 조회</t>
    <phoneticPr fontId="39" type="noConversion"/>
  </si>
  <si>
    <t>사진·동영상·첨부파일 폴더관리</t>
    <phoneticPr fontId="39" type="noConversion"/>
  </si>
  <si>
    <t>사진·동영상·첨부파일 폴더 생성</t>
    <phoneticPr fontId="39" type="noConversion"/>
  </si>
  <si>
    <t>사진·동영상·첨부파일 폴더 내 파일 업로드</t>
    <phoneticPr fontId="39" type="noConversion"/>
  </si>
  <si>
    <t>사진·동영상·첨부파일 폴더 내 파일 수정</t>
    <phoneticPr fontId="39" type="noConversion"/>
  </si>
  <si>
    <t>사진·동영상·첨부파일 폴더 내 파일 삭제</t>
    <phoneticPr fontId="39" type="noConversion"/>
  </si>
  <si>
    <t>웹레이어 속성정보 내 컬럼 추가</t>
    <phoneticPr fontId="39" type="noConversion"/>
  </si>
  <si>
    <t>웹레이어 속성정보 내 컬럼 수정</t>
    <phoneticPr fontId="39" type="noConversion"/>
  </si>
  <si>
    <t>웹레이어 속성정보 내 컬럼 삭제</t>
    <phoneticPr fontId="39" type="noConversion"/>
  </si>
  <si>
    <t>사진·동영상·첨부파일 폴더관리 선택</t>
    <phoneticPr fontId="39" type="noConversion"/>
  </si>
  <si>
    <t>사진·동영상·첨부파일 폴더관리 조회</t>
    <phoneticPr fontId="39" type="noConversion"/>
  </si>
  <si>
    <t>사진·동영상 팝업 형태 조회</t>
    <phoneticPr fontId="39" type="noConversion"/>
  </si>
  <si>
    <t>특정 웹레이어 속성정보 조회</t>
    <phoneticPr fontId="39" type="noConversion"/>
  </si>
  <si>
    <t>동영상 및 스트리밍 영상 링크 입력</t>
    <phoneticPr fontId="39" type="noConversion"/>
  </si>
  <si>
    <t>동영상 및 스트리밍 영상 링크 수정</t>
    <phoneticPr fontId="39" type="noConversion"/>
  </si>
  <si>
    <t>동영상 및 스트리밍 영상 링크 저장</t>
    <phoneticPr fontId="39" type="noConversion"/>
  </si>
  <si>
    <t>동영상 및 스트리밍 영상 링크 삭제</t>
    <phoneticPr fontId="39" type="noConversion"/>
  </si>
  <si>
    <t>영상지도 파일관리</t>
    <phoneticPr fontId="39" type="noConversion"/>
  </si>
  <si>
    <t>영상파일 폴더 생성</t>
    <phoneticPr fontId="39" type="noConversion"/>
  </si>
  <si>
    <t>영상파일 폴더 삭제</t>
    <phoneticPr fontId="39" type="noConversion"/>
  </si>
  <si>
    <t>영상파일 폴더 내 영상지도 파일 업로드</t>
    <phoneticPr fontId="39" type="noConversion"/>
  </si>
  <si>
    <t>영상파일 폴더 내 영상지도 파일 삭제</t>
    <phoneticPr fontId="39" type="noConversion"/>
  </si>
  <si>
    <t>영상파일 폴더 내 영상지도 파일 상세정보 입력</t>
    <phoneticPr fontId="39" type="noConversion"/>
  </si>
  <si>
    <t>영상파일 폴더 내 영상지도 파일 상세정보 수정</t>
    <phoneticPr fontId="39" type="noConversion"/>
  </si>
  <si>
    <t>영상파일 폴더 내 영상지도 파일 상세정보 삭제</t>
    <phoneticPr fontId="39" type="noConversion"/>
  </si>
  <si>
    <t>영상파일 폴더 내 영상지도 파일 상세정보 저장</t>
    <phoneticPr fontId="39" type="noConversion"/>
  </si>
  <si>
    <t>영상파일 폴더 내 영상지도 파일 상세정보 조회</t>
    <phoneticPr fontId="39" type="noConversion"/>
  </si>
  <si>
    <t xml:space="preserve"> 지도기능 개발 및 고도화</t>
    <phoneticPr fontId="39" type="noConversion"/>
  </si>
  <si>
    <t>이미지 뷰어 및 업로드된 파일 연계</t>
    <phoneticPr fontId="39" type="noConversion"/>
  </si>
  <si>
    <t>속성테이블 내 이미지 조회</t>
    <phoneticPr fontId="39" type="noConversion"/>
  </si>
  <si>
    <t>속성테이블 내에 포함된 이미지 파일 조회</t>
    <phoneticPr fontId="39" type="noConversion"/>
  </si>
  <si>
    <t>컬럼별 속성값 필터 수정</t>
    <phoneticPr fontId="39" type="noConversion"/>
  </si>
  <si>
    <t>컬럼별 속성값 필터 삭제</t>
    <phoneticPr fontId="39" type="noConversion"/>
  </si>
  <si>
    <t>컬럼별 속성값 필터 업로드</t>
    <phoneticPr fontId="39" type="noConversion"/>
  </si>
  <si>
    <t>속성테이블 내 객체 지오메트리 컬럼 조회</t>
    <phoneticPr fontId="39" type="noConversion"/>
  </si>
  <si>
    <t>배경지도상 객체 지오메트리 정보 가시화</t>
    <phoneticPr fontId="39" type="noConversion"/>
  </si>
  <si>
    <t>배경지도상 객체 지오메트리 정보 배경지도 상 가시화</t>
    <phoneticPr fontId="39" type="noConversion"/>
  </si>
  <si>
    <t>배경지도 WMS 전환</t>
    <phoneticPr fontId="39" type="noConversion"/>
  </si>
  <si>
    <t>배경지도 WFS 전환</t>
    <phoneticPr fontId="39" type="noConversion"/>
  </si>
  <si>
    <t>레이어 그룹 생성</t>
    <phoneticPr fontId="39" type="noConversion"/>
  </si>
  <si>
    <t>웹레이어 기능 고도화</t>
    <phoneticPr fontId="39" type="noConversion"/>
  </si>
  <si>
    <t>레이어 설정 복사</t>
    <phoneticPr fontId="39" type="noConversion"/>
  </si>
  <si>
    <t>레이어 설정 입력</t>
    <phoneticPr fontId="39" type="noConversion"/>
  </si>
  <si>
    <t>레이어 설정 검색</t>
    <phoneticPr fontId="39" type="noConversion"/>
  </si>
  <si>
    <t>레이어 설정값 미리보기 조회</t>
    <phoneticPr fontId="39" type="noConversion"/>
  </si>
  <si>
    <t>(SFR-016) LX플랫폼(데이터서비스)기능 개발 및 고도화</t>
    <phoneticPr fontId="39" type="noConversion"/>
  </si>
  <si>
    <t>분석기능 개발</t>
    <phoneticPr fontId="39" type="noConversion"/>
  </si>
  <si>
    <t>분석 서버 연계(공통)</t>
    <phoneticPr fontId="39" type="noConversion"/>
  </si>
  <si>
    <t>분석 서버 연계</t>
    <phoneticPr fontId="39" type="noConversion"/>
  </si>
  <si>
    <t>분석 기능 선택</t>
    <phoneticPr fontId="39" type="noConversion"/>
  </si>
  <si>
    <t>사용자가 활용하고자하는 분석 기능을 선택하는 기능</t>
    <phoneticPr fontId="39" type="noConversion"/>
  </si>
  <si>
    <t>분석할 레이어 선택</t>
    <phoneticPr fontId="39" type="noConversion"/>
  </si>
  <si>
    <t>사용자가 분석하고하는 레이어를 선택하는 기능</t>
    <phoneticPr fontId="39" type="noConversion"/>
  </si>
  <si>
    <t>분석 기능 설정값 입력</t>
    <phoneticPr fontId="39" type="noConversion"/>
  </si>
  <si>
    <t>분석 기능 이용을 위해 필요한 설정값을 입력하는 기능</t>
    <phoneticPr fontId="39" type="noConversion"/>
  </si>
  <si>
    <t>객체 속성 정보 조회</t>
    <phoneticPr fontId="39" type="noConversion"/>
  </si>
  <si>
    <t>객체의 속성 정보를 조회하는 기능</t>
    <phoneticPr fontId="39" type="noConversion"/>
  </si>
  <si>
    <t>객체 속성 정보 입력</t>
    <phoneticPr fontId="39" type="noConversion"/>
  </si>
  <si>
    <t>객체의 속성 정보를 사용자가 입력하는 기능</t>
    <phoneticPr fontId="39" type="noConversion"/>
  </si>
  <si>
    <t>객체 속성 정보 수정</t>
    <phoneticPr fontId="39" type="noConversion"/>
  </si>
  <si>
    <t>객체의 속성 정보를 수정하는 기능</t>
    <phoneticPr fontId="39" type="noConversion"/>
  </si>
  <si>
    <t>객체 속성 정보 삭제</t>
    <phoneticPr fontId="39" type="noConversion"/>
  </si>
  <si>
    <t>객체의 속성 정보를 삭제하는 기능</t>
    <phoneticPr fontId="39" type="noConversion"/>
  </si>
  <si>
    <t>객체 색상값 입력</t>
    <phoneticPr fontId="39" type="noConversion"/>
  </si>
  <si>
    <t>도형의 색상값을 입력하는 기능</t>
    <phoneticPr fontId="39" type="noConversion"/>
  </si>
  <si>
    <t>객체 속성 정보 저장</t>
    <phoneticPr fontId="39" type="noConversion"/>
  </si>
  <si>
    <t>객체의 속성 정보를 저장하는 기능</t>
    <phoneticPr fontId="39" type="noConversion"/>
  </si>
  <si>
    <t>분석기능 고도화</t>
    <phoneticPr fontId="39" type="noConversion"/>
  </si>
  <si>
    <t>길찾기 API 연계</t>
    <phoneticPr fontId="39" type="noConversion"/>
  </si>
  <si>
    <t>길찾기 API를 연계하는 기능</t>
    <phoneticPr fontId="39" type="noConversion"/>
  </si>
  <si>
    <t>LX 국토정보플랫폼 분석 API 연계</t>
    <phoneticPr fontId="39" type="noConversion"/>
  </si>
  <si>
    <t>LX 국토정보플랫폼 분석 API 연계 기능</t>
    <phoneticPr fontId="39" type="noConversion"/>
  </si>
  <si>
    <t>길찾기 탐색 옵션 조회</t>
    <phoneticPr fontId="39" type="noConversion"/>
  </si>
  <si>
    <t>길찾기 탐색 옵션 리스트를 조회하는 기능</t>
    <phoneticPr fontId="39" type="noConversion"/>
  </si>
  <si>
    <t>길찾기 탐색 옵션 선택</t>
    <phoneticPr fontId="39" type="noConversion"/>
  </si>
  <si>
    <t>사용자가 원하는 탐색 옵션을 선택하는 기능</t>
    <phoneticPr fontId="39" type="noConversion"/>
  </si>
  <si>
    <t>출발지/도착지 정보 검색</t>
    <phoneticPr fontId="39" type="noConversion"/>
  </si>
  <si>
    <t>출발지/도착지 주소 정보를 검색하는 기능</t>
    <phoneticPr fontId="39" type="noConversion"/>
  </si>
  <si>
    <t>출발지/도착지 정보 입력</t>
    <phoneticPr fontId="39" type="noConversion"/>
  </si>
  <si>
    <t>출발지/도착지 주소 정보를 입력하는 기능</t>
    <phoneticPr fontId="39" type="noConversion"/>
  </si>
  <si>
    <t>길찾기 실행 및 경로 가시화</t>
    <phoneticPr fontId="39" type="noConversion"/>
  </si>
  <si>
    <t>출발지/도착지 길찾기를 실행하고 경로를 가시화하는 기능</t>
    <phoneticPr fontId="39" type="noConversion"/>
  </si>
  <si>
    <t>분석 중 중단 및 에러로그 조회</t>
    <phoneticPr fontId="39" type="noConversion"/>
  </si>
  <si>
    <t>분석 기능 실행 중 중단 혹은 에러날 경우 목록을 조회하는 기능</t>
    <phoneticPr fontId="39" type="noConversion"/>
  </si>
  <si>
    <t>중단 및 에러로그 선택</t>
    <phoneticPr fontId="39" type="noConversion"/>
  </si>
  <si>
    <t>특정 중단 및 에러로그를 선택하는 기능</t>
    <phoneticPr fontId="39" type="noConversion"/>
  </si>
  <si>
    <t>중단 및 에러로그 상세정보 조회</t>
    <phoneticPr fontId="39" type="noConversion"/>
  </si>
  <si>
    <t>중단 및 에러로그의 상세 정보를 확인하는 기능</t>
    <phoneticPr fontId="39" type="noConversion"/>
  </si>
  <si>
    <t>분석 중 진행률 가시화</t>
    <phoneticPr fontId="39" type="noConversion"/>
  </si>
  <si>
    <t>분석 실행의 진행률을 가시화하는 기능</t>
    <phoneticPr fontId="39" type="noConversion"/>
  </si>
  <si>
    <t>지오코딩/역지오코딩 데이터 업로드</t>
    <phoneticPr fontId="39" type="noConversion"/>
  </si>
  <si>
    <t>지오코딩/역지오코딩을 위해 파일 혹안 단일 데이터 업로드 기능</t>
    <phoneticPr fontId="39" type="noConversion"/>
  </si>
  <si>
    <t>지오코딩/역지오코딩 데이터 선택</t>
    <phoneticPr fontId="39" type="noConversion"/>
  </si>
  <si>
    <t>업로드한 파일에서 지오코딩/역지오코딩을 실행할 컬럼을 선택하는 기능</t>
    <phoneticPr fontId="39" type="noConversion"/>
  </si>
  <si>
    <t>지오코딩/역지오코딩 실행</t>
    <phoneticPr fontId="39" type="noConversion"/>
  </si>
  <si>
    <t>지오코딩/역지오코딩 실행 기능</t>
    <phoneticPr fontId="39" type="noConversion"/>
  </si>
  <si>
    <t>분석 스케줄링 서버 스케줄 조회</t>
    <phoneticPr fontId="39" type="noConversion"/>
  </si>
  <si>
    <t>분석 스케줄링 서버의 스케줄 리스트를 조회하는 기능</t>
    <phoneticPr fontId="39" type="noConversion"/>
  </si>
  <si>
    <t>분석 스케줄 선택</t>
    <phoneticPr fontId="39" type="noConversion"/>
  </si>
  <si>
    <t>특정 분석 스케줄을 사용자가 선택하는 기능</t>
    <phoneticPr fontId="39" type="noConversion"/>
  </si>
  <si>
    <t>분석 스케줄 관리</t>
    <phoneticPr fontId="39" type="noConversion"/>
  </si>
  <si>
    <t>분석 스케줄을 선택하여 관리하는 기능</t>
    <phoneticPr fontId="39" type="noConversion"/>
  </si>
  <si>
    <t>(SFR-017) 포털 저작도구 고도화(융복합 지도 및 데이터)</t>
    <phoneticPr fontId="39" type="noConversion"/>
  </si>
  <si>
    <t>융복합 대상 데이터셋 목록 검색</t>
    <phoneticPr fontId="39" type="noConversion"/>
  </si>
  <si>
    <t>도형(점/선/면/버퍼) 조회</t>
    <phoneticPr fontId="39" type="noConversion"/>
  </si>
  <si>
    <t>도형(점/선/면/버퍼) 레이어 조회</t>
    <phoneticPr fontId="39" type="noConversion"/>
  </si>
  <si>
    <t>도형(점/선/면/버퍼) 선택</t>
    <phoneticPr fontId="39" type="noConversion"/>
  </si>
  <si>
    <t>도형(점/선/면/버퍼) 레이어 선택</t>
    <phoneticPr fontId="39" type="noConversion"/>
  </si>
  <si>
    <t>도형(점/선/면/버퍼) 수정</t>
    <phoneticPr fontId="39" type="noConversion"/>
  </si>
  <si>
    <t>도형(점/선/면/버퍼) 레이어 수정</t>
    <phoneticPr fontId="39" type="noConversion"/>
  </si>
  <si>
    <t>도형(점/선/면/버퍼) 삭제</t>
    <phoneticPr fontId="39" type="noConversion"/>
  </si>
  <si>
    <t>도형(점/선/면/버퍼) 레이어 삭제</t>
    <phoneticPr fontId="39" type="noConversion"/>
  </si>
  <si>
    <t>데이터셋(레이어/레코드) 연계</t>
    <phoneticPr fontId="39" type="noConversion"/>
  </si>
  <si>
    <t>데이터셋(레이어/레코드) 검색</t>
    <phoneticPr fontId="39" type="noConversion"/>
  </si>
  <si>
    <t>사용자 지정영역 데이터 융복합 조회</t>
    <phoneticPr fontId="39" type="noConversion"/>
  </si>
  <si>
    <t>융복합 데이터 저작도구 개발</t>
    <phoneticPr fontId="39" type="noConversion"/>
  </si>
  <si>
    <t>사용자 지정영역 분할 (행정구역/분할타입)</t>
    <phoneticPr fontId="39" type="noConversion"/>
  </si>
  <si>
    <t>분할티입은 도형 형태 중 하나의 선택된 타입으로 분할</t>
    <phoneticPr fontId="39" type="noConversion"/>
  </si>
  <si>
    <t>사용자 지정 행정구역 선택</t>
    <phoneticPr fontId="39" type="noConversion"/>
  </si>
  <si>
    <t>사용자 지정 행정구역 레이어 선택</t>
    <phoneticPr fontId="39" type="noConversion"/>
  </si>
  <si>
    <t>사용자 지정 행정구역 데이터 연계</t>
    <phoneticPr fontId="39" type="noConversion"/>
  </si>
  <si>
    <t>해당 행정구역에 해당하는 데이터 추출</t>
    <phoneticPr fontId="39" type="noConversion"/>
  </si>
  <si>
    <t>사용자 지정 분할타입 모양 지정</t>
    <phoneticPr fontId="39" type="noConversion"/>
  </si>
  <si>
    <t>사용자 지정 분할타입 모양 수정</t>
    <phoneticPr fontId="39" type="noConversion"/>
  </si>
  <si>
    <t>사용자 지정 분할타입 모양 삭제</t>
    <phoneticPr fontId="39" type="noConversion"/>
  </si>
  <si>
    <t>사용자 지정 분할타입 크기 지정</t>
    <phoneticPr fontId="39" type="noConversion"/>
  </si>
  <si>
    <t>사용자 지정 분할타입 크기 수정</t>
    <phoneticPr fontId="39" type="noConversion"/>
  </si>
  <si>
    <t>사용자 지정영역 분할 및 면적계산</t>
    <phoneticPr fontId="39" type="noConversion"/>
  </si>
  <si>
    <t>결과 데이터를 폴리곤 타입으로 레이어 생성</t>
    <phoneticPr fontId="39" type="noConversion"/>
  </si>
  <si>
    <t>사용자 지정영역 필드 생성</t>
    <phoneticPr fontId="39" type="noConversion"/>
  </si>
  <si>
    <t>사용자 지정영역 필드명 조회</t>
    <phoneticPr fontId="39" type="noConversion"/>
  </si>
  <si>
    <t>사용자 지정영역 필드명 선택</t>
    <phoneticPr fontId="39" type="noConversion"/>
  </si>
  <si>
    <t>사용자 지정영역 단위 선택</t>
    <phoneticPr fontId="39" type="noConversion"/>
  </si>
  <si>
    <t>사용자 지정영역 내외부 면적계산</t>
    <phoneticPr fontId="39" type="noConversion"/>
  </si>
  <si>
    <t>저작도구 검색타입 설정 - 행정구역 검색</t>
    <phoneticPr fontId="39" type="noConversion"/>
  </si>
  <si>
    <t>행정구역 저작도구 검색</t>
    <phoneticPr fontId="39" type="noConversion"/>
  </si>
  <si>
    <t>저작도구 검색타입 설정 - 레이어 검색</t>
    <phoneticPr fontId="39" type="noConversion"/>
  </si>
  <si>
    <t>레이어 검색 저작도구 검색</t>
    <phoneticPr fontId="39" type="noConversion"/>
  </si>
  <si>
    <t>저작도구 검색타입 설정 - 사용자 지정영역 검색</t>
    <phoneticPr fontId="39" type="noConversion"/>
  </si>
  <si>
    <t>사용자 지정영역 저작도구 검색</t>
    <phoneticPr fontId="39" type="noConversion"/>
  </si>
  <si>
    <t>검색대상 레이어 설정</t>
    <phoneticPr fontId="39" type="noConversion"/>
  </si>
  <si>
    <t>폴리곤 형태 레이어 검색</t>
    <phoneticPr fontId="39" type="noConversion"/>
  </si>
  <si>
    <t>shx 파일 업로드</t>
    <phoneticPr fontId="39" type="noConversion"/>
  </si>
  <si>
    <t>인덱스 정보 포함 shx파일 업로드</t>
    <phoneticPr fontId="39" type="noConversion"/>
  </si>
  <si>
    <t>shx 파일 삭제</t>
    <phoneticPr fontId="39" type="noConversion"/>
  </si>
  <si>
    <t>인덱스 정보 포함 shx파일 삭제</t>
    <phoneticPr fontId="39" type="noConversion"/>
  </si>
  <si>
    <t>인덱스 기준 검색 및 결과 표출</t>
    <phoneticPr fontId="39" type="noConversion"/>
  </si>
  <si>
    <t>융복합 데이터 생성</t>
    <phoneticPr fontId="39" type="noConversion"/>
  </si>
  <si>
    <t>융복합 레이어 데이터 제작</t>
    <phoneticPr fontId="39" type="noConversion"/>
  </si>
  <si>
    <t>융복합 레이어 선택</t>
    <phoneticPr fontId="39" type="noConversion"/>
  </si>
  <si>
    <t>융복합 레이어 데이터 선택</t>
    <phoneticPr fontId="39" type="noConversion"/>
  </si>
  <si>
    <t>융복합 레이어 가시화</t>
    <phoneticPr fontId="39" type="noConversion"/>
  </si>
  <si>
    <t>융복합 레이어 결과 (도형/속성) 가시화</t>
    <phoneticPr fontId="39" type="noConversion"/>
  </si>
  <si>
    <t>웹레이어 사용자 지정영역 데이터 및  객체 분석</t>
    <phoneticPr fontId="39" type="noConversion"/>
  </si>
  <si>
    <t>지도기반 데이터 영역조회 및 추출</t>
    <phoneticPr fontId="39" type="noConversion"/>
  </si>
  <si>
    <t>지도 영역(행정구역, 사용자영역, 사용자 레이어) 검색</t>
    <phoneticPr fontId="39" type="noConversion"/>
  </si>
  <si>
    <t>지도 영역(행정구역, 사용자영역, 사용자 레이어) 조회</t>
    <phoneticPr fontId="39" type="noConversion"/>
  </si>
  <si>
    <t>지도 영역(행정구역, 사용자영역, 사용자 레이어) 조회</t>
  </si>
  <si>
    <t>지도 영역(행정구역, 사용자영역, 사용자 레이어) 수정</t>
    <phoneticPr fontId="39" type="noConversion"/>
  </si>
  <si>
    <t>지도 영역(행정구역, 사용자영역, 사용자 레이어) 수정</t>
  </si>
  <si>
    <t>지도 영역(행정구역, 사용자영역, 사용자 레이어) 삭제</t>
    <phoneticPr fontId="39" type="noConversion"/>
  </si>
  <si>
    <t>지도 영역(행정구역, 사용자영역, 사용자 레이어) 삭제</t>
  </si>
  <si>
    <t>지도 영역(행정구역, 사용자영역, 사용자 레이어) 저장</t>
    <phoneticPr fontId="39" type="noConversion"/>
  </si>
  <si>
    <t>검색 데이터 상세정보 조회</t>
    <phoneticPr fontId="39" type="noConversion"/>
  </si>
  <si>
    <t>지도기반 데이터 상세정보 조회</t>
    <phoneticPr fontId="39" type="noConversion"/>
  </si>
  <si>
    <t>검색 데이터 상세정보 수정</t>
    <phoneticPr fontId="39" type="noConversion"/>
  </si>
  <si>
    <t>검색 데이터 상세정보 삭제</t>
    <phoneticPr fontId="39" type="noConversion"/>
  </si>
  <si>
    <t>지도기반 데이터 상세정보 삭제</t>
    <phoneticPr fontId="39" type="noConversion"/>
  </si>
  <si>
    <t>검색 데이터 상세정보 저장</t>
    <phoneticPr fontId="39" type="noConversion"/>
  </si>
  <si>
    <t>지도기반 데이터 상세정보 저장</t>
    <phoneticPr fontId="39" type="noConversion"/>
  </si>
  <si>
    <t xml:space="preserve">(SFR-018) LX플랫폼(포털별) 운영관리 체계 </t>
    <phoneticPr fontId="39" type="noConversion"/>
  </si>
  <si>
    <t>통계기능 고도화</t>
    <phoneticPr fontId="39" type="noConversion"/>
  </si>
  <si>
    <t>기관별 데이터 사용량</t>
    <phoneticPr fontId="39" type="noConversion"/>
  </si>
  <si>
    <t>기관별 DBMS 사용량</t>
    <phoneticPr fontId="39" type="noConversion"/>
  </si>
  <si>
    <t>스토리지 데이터 사용량 입력</t>
    <phoneticPr fontId="39" type="noConversion"/>
  </si>
  <si>
    <t>스토리지 데이터 사용량 수정</t>
    <phoneticPr fontId="39" type="noConversion"/>
  </si>
  <si>
    <t>포털 사용자 정보 조회</t>
    <phoneticPr fontId="39" type="noConversion"/>
  </si>
  <si>
    <t>기능 사용량 정보 조회</t>
    <phoneticPr fontId="39" type="noConversion"/>
  </si>
  <si>
    <t>메뉴 접속량 정보 조회</t>
    <phoneticPr fontId="39" type="noConversion"/>
  </si>
  <si>
    <t xml:space="preserve">통계 데이터 등록 </t>
    <phoneticPr fontId="39" type="noConversion"/>
  </si>
  <si>
    <t>통계 데이터 입력</t>
    <phoneticPr fontId="39" type="noConversion"/>
  </si>
  <si>
    <t>통계 데이터 삭제</t>
    <phoneticPr fontId="39" type="noConversion"/>
  </si>
  <si>
    <t>통계 데이터 수정</t>
    <phoneticPr fontId="39" type="noConversion"/>
  </si>
  <si>
    <t>통계데이터 내보내기</t>
    <phoneticPr fontId="39" type="noConversion"/>
  </si>
  <si>
    <t>사용자별 데이터 제한 관리</t>
    <phoneticPr fontId="39" type="noConversion"/>
  </si>
  <si>
    <t>사용자 데이터 업로드 용량 정보 조회</t>
    <phoneticPr fontId="39" type="noConversion"/>
  </si>
  <si>
    <t>데이터 업로드 용량 할당</t>
    <phoneticPr fontId="39" type="noConversion"/>
  </si>
  <si>
    <t>영상타일링 레이어 관리</t>
    <phoneticPr fontId="39" type="noConversion"/>
  </si>
  <si>
    <t>영상지도 목록 조회</t>
    <phoneticPr fontId="39" type="noConversion"/>
  </si>
  <si>
    <t>영상지도 목록 삭제</t>
    <phoneticPr fontId="39" type="noConversion"/>
  </si>
  <si>
    <t>영상지도 목록 수정</t>
    <phoneticPr fontId="39" type="noConversion"/>
  </si>
  <si>
    <t>인사/부서 연계관리 기능</t>
    <phoneticPr fontId="39" type="noConversion"/>
  </si>
  <si>
    <t>기관별 사용자/부서 연계</t>
    <phoneticPr fontId="39" type="noConversion"/>
  </si>
  <si>
    <t>기관별 사용자 정보 조회</t>
    <phoneticPr fontId="39" type="noConversion"/>
  </si>
  <si>
    <t>기관별 사용자 정보 입력</t>
    <phoneticPr fontId="39" type="noConversion"/>
  </si>
  <si>
    <t>기관별 부서 정보 조회</t>
    <phoneticPr fontId="39" type="noConversion"/>
  </si>
  <si>
    <t>기관별 부서 정보 입력</t>
    <phoneticPr fontId="39" type="noConversion"/>
  </si>
  <si>
    <t>데이터 연계 활용한 지자체 사용자정보 및 LDAP 연계</t>
    <phoneticPr fontId="39" type="noConversion"/>
  </si>
  <si>
    <t>데이터 연계 활용한 지자체 사용자 정보 조회</t>
    <phoneticPr fontId="39" type="noConversion"/>
  </si>
  <si>
    <t>데이터 연계 활용한 지자체 사용자 정보 입력</t>
    <phoneticPr fontId="39" type="noConversion"/>
  </si>
  <si>
    <t>데이터 연계 활용한 LDAP 정보 조회</t>
    <phoneticPr fontId="39" type="noConversion"/>
  </si>
  <si>
    <t>데이터 연계 활용한 LDAP 정보 입력</t>
    <phoneticPr fontId="39" type="noConversion"/>
  </si>
  <si>
    <t>시스템 접근 권한, 사용자별 서비스 접근 권한 등 관리 고도화</t>
    <phoneticPr fontId="39" type="noConversion"/>
  </si>
  <si>
    <t>사용자 통합 프로세스 정보 조회</t>
    <phoneticPr fontId="39" type="noConversion"/>
  </si>
  <si>
    <t>접근 설정 및 범위 관리 목록 조회</t>
    <phoneticPr fontId="39" type="noConversion"/>
  </si>
  <si>
    <t>사용자 기능 목록 조회</t>
    <phoneticPr fontId="39" type="noConversion"/>
  </si>
  <si>
    <t>관리자 기능 목록 조회</t>
    <phoneticPr fontId="39" type="noConversion"/>
  </si>
  <si>
    <t>(SFR-023)입지분석(L.Value)기반 부동산가치평가 서비스</t>
    <phoneticPr fontId="65" type="noConversion"/>
  </si>
  <si>
    <t>PNU와 시설간 거리 데이터 생성</t>
  </si>
  <si>
    <t>비교 필지 정보</t>
  </si>
  <si>
    <t>거리 정보 입력 필지 정보</t>
  </si>
  <si>
    <t>시설물 정보</t>
  </si>
  <si>
    <t>거리 측정 대상 시설물 정보</t>
  </si>
  <si>
    <t>거리 계산</t>
  </si>
  <si>
    <t>필지와 시설물간이 거리계산</t>
  </si>
  <si>
    <t>계산 정보 입력</t>
  </si>
  <si>
    <t>계산정보 필지정보에 입력</t>
  </si>
  <si>
    <t>거리 및 특성에 의한 변환 측정치</t>
  </si>
  <si>
    <t>트랜잭션 기능-교통환경점수</t>
  </si>
  <si>
    <t>PNU와 시설간 거리 및 특성에 의한 표준치 변환(0~1)</t>
  </si>
  <si>
    <t>트랜잭션 기능-교육환경점수</t>
  </si>
  <si>
    <t>트랜잭션 기능-생활환경점수</t>
  </si>
  <si>
    <t>트랜잭션 기능-자연공공점수</t>
  </si>
  <si>
    <t>트랜잭션 기능-도시분석점수</t>
  </si>
  <si>
    <t>트랜잭션 기능-토지주택-토지 점수</t>
  </si>
  <si>
    <t>트랜잭션 기능-토지주택-아파트 점수</t>
  </si>
  <si>
    <t>트랜잭션 기능-토지주택-빌라 점수</t>
  </si>
  <si>
    <t>종합지수 및 항목별 가중치 조정</t>
  </si>
  <si>
    <t>트랜잭션 기능-L지수(토지)</t>
  </si>
  <si>
    <t>PNU와 시설간 측정점수의 지표화</t>
  </si>
  <si>
    <t>데이터점수-L지수(토지)</t>
  </si>
  <si>
    <t>트랜잭션 기능-L지수(아파트)</t>
  </si>
  <si>
    <t>데이터점수-L지수(아파트)</t>
  </si>
  <si>
    <t>트랜잭션 기능-L지수(빌라)</t>
  </si>
  <si>
    <t>데이터점수-L지수(빌라)</t>
  </si>
  <si>
    <t>데이터점수-교통환경점수</t>
  </si>
  <si>
    <t>데이터점수-교육환경점수</t>
  </si>
  <si>
    <t>데이터점수-생활환경점수</t>
  </si>
  <si>
    <t>데이터점수-자연공공점수</t>
  </si>
  <si>
    <t>데이터점수-도시분석점수</t>
  </si>
  <si>
    <t>데이터점수-토지주택-토지 점수</t>
  </si>
  <si>
    <t>데이터점수-토지주택-아파트 점수</t>
  </si>
  <si>
    <t>데이터점수-토지주택-빌라 점수</t>
  </si>
  <si>
    <t>종합지수(L지수)조회</t>
  </si>
  <si>
    <t>트랜잭션기능-L지수 및 항목점수 (아파트)</t>
  </si>
  <si>
    <t>조회대상별 종함점수 및 항목점수 조회</t>
  </si>
  <si>
    <t>트랜잭션기능-L지수 및 항목점수 (토지)</t>
  </si>
  <si>
    <t>트랜잭션기능-L지수 및 항목점수 (빌라)</t>
  </si>
  <si>
    <t>항목별 세부 점수 조회</t>
  </si>
  <si>
    <t>트랜잭션 기능-교통환경</t>
  </si>
  <si>
    <t>조회대상의 주변 교통환경 상세</t>
  </si>
  <si>
    <t>항목별 세부 점수 조회</t>
    <phoneticPr fontId="65" type="noConversion"/>
  </si>
  <si>
    <t>트랜잭션 기능-교육환경</t>
  </si>
  <si>
    <t>조회대상의 주변 교육환경 상세</t>
  </si>
  <si>
    <t>트랜잭션 기능-생활환경</t>
  </si>
  <si>
    <t>조회대상의 주변 생활편의 상세</t>
  </si>
  <si>
    <t>트랜잭션 기능-자연공공</t>
  </si>
  <si>
    <t>조회대상의 주변 공원등 환경정보 상세</t>
  </si>
  <si>
    <t>트랜잭션 기능-도시분석</t>
  </si>
  <si>
    <t>조회대상의 주변 도시특성 상세</t>
  </si>
  <si>
    <t>OpenAPI 서비스 래핑</t>
  </si>
  <si>
    <t>트랜잭션기능-HTTP OpenAPI 데이터서비스</t>
  </si>
  <si>
    <t>인증키 기반 OpenAPI 서비스</t>
  </si>
  <si>
    <t>데이터기능-HTTP OpenAPI 데이터서비스</t>
  </si>
  <si>
    <t>전문가 기능-가중치조정</t>
  </si>
  <si>
    <t>트랜잭션기능-가중치 조정으로 지수 생성</t>
  </si>
  <si>
    <t>종합지수 산출을 위한 세부 항목 적용 가중치 조정</t>
  </si>
  <si>
    <t>세부 항목 적용 가중치 조정치</t>
  </si>
  <si>
    <t>세부 항목 적용 가중치 조정치 저장</t>
    <phoneticPr fontId="65" type="noConversion"/>
  </si>
  <si>
    <t>비교분석</t>
  </si>
  <si>
    <t>트랜잭션기능-동일유형간 비교</t>
  </si>
  <si>
    <t>2개~3개 내지 비교 분석 수행</t>
  </si>
  <si>
    <t>(SFR-024)민원정보 분석 플랫폼</t>
    <phoneticPr fontId="65" type="noConversion"/>
  </si>
  <si>
    <t>데이터관리체계 활용 외부 데이터 연계</t>
    <phoneticPr fontId="65" type="noConversion"/>
  </si>
  <si>
    <t>LX플랫폼 활용 외부 데이터 연계</t>
    <phoneticPr fontId="65" type="noConversion"/>
  </si>
  <si>
    <t>BI 저작도구 활용 차트 시각화</t>
    <phoneticPr fontId="65" type="noConversion"/>
  </si>
  <si>
    <t>LX플랫폼 활용 차트 시각화</t>
    <phoneticPr fontId="65" type="noConversion"/>
  </si>
  <si>
    <t>BI 저작도구 활용 차트 다운로드</t>
    <phoneticPr fontId="65" type="noConversion"/>
  </si>
  <si>
    <t>LX플랫폼 활용 차트 다운로드</t>
    <phoneticPr fontId="65" type="noConversion"/>
  </si>
  <si>
    <t>실시간 민원정보 가시화</t>
    <phoneticPr fontId="65" type="noConversion"/>
  </si>
  <si>
    <t>시정홈페이지 크롤링</t>
    <phoneticPr fontId="65" type="noConversion"/>
  </si>
  <si>
    <t>LX플랫폼 활용 서비스 메뉴 구성 및 하위페이지 개발_메인</t>
    <phoneticPr fontId="65" type="noConversion"/>
  </si>
  <si>
    <t>서비스 메뉴 구성 및 하위페이지 개발_메인</t>
    <phoneticPr fontId="65" type="noConversion"/>
  </si>
  <si>
    <t>LX플랫폼 활용 서비스 메뉴 구성 및 하위페이지 개발_스마트시정소개</t>
  </si>
  <si>
    <t>서비스 메뉴 구성 및 하위페이지 개발_스마트시정소개</t>
  </si>
  <si>
    <t>LX플랫폼 활용 서비스 메뉴 구성 및 하위페이지 개발_미래도시비전</t>
  </si>
  <si>
    <t>서비스 메뉴 구성 및 하위페이지 개발_미래도시비전</t>
  </si>
  <si>
    <t>LX플랫폼 활용 서비스 메뉴 구성 및 하위페이지 개발_공약, 지시사항</t>
  </si>
  <si>
    <t>서비스 메뉴 구성 및 하위페이지 개발_공약, 지시사항</t>
  </si>
  <si>
    <t>LX플랫폼 활용 서비스 메뉴 구성 및 하위페이지 개발_민원분석</t>
  </si>
  <si>
    <t>서비스 메뉴 구성 및 하위페이지 개발_민원분석</t>
  </si>
  <si>
    <t>LX플랫폼 활용 서비스 메뉴 구성 및 하위페이지 개발_일자리</t>
  </si>
  <si>
    <t>서비스 메뉴 구성 및 하위페이지 개발_일자리</t>
  </si>
  <si>
    <t>LX플랫폼 활용 서비스 메뉴 구성 및 하위페이지 개발_시정데이터</t>
  </si>
  <si>
    <t>서비스 메뉴 구성 및 하위페이지 개발_시정데이터</t>
  </si>
  <si>
    <t>LX플랫폼 활용 서비스 메뉴 구성 및 하위페이지 개발_참고사이트</t>
  </si>
  <si>
    <t>서비스 메뉴 구성 및 하위페이지 개발_참고사이트</t>
    <phoneticPr fontId="65" type="noConversion"/>
  </si>
  <si>
    <t>LX플랫폼 활용 서비스 메뉴 구성 및 하위페이지 개발_카드뉴스</t>
  </si>
  <si>
    <t>서비스 메뉴 구성 및 하위페이지 개발_카드뉴스</t>
  </si>
  <si>
    <t>레이어 가시화_메인</t>
    <phoneticPr fontId="65" type="noConversion"/>
  </si>
  <si>
    <t>레이어 라벨링_메인</t>
    <phoneticPr fontId="65" type="noConversion"/>
  </si>
  <si>
    <t>레이어 가시화_미래도시비전</t>
    <phoneticPr fontId="65" type="noConversion"/>
  </si>
  <si>
    <t>레이어 라벨링_미래도시비전</t>
    <phoneticPr fontId="65" type="noConversion"/>
  </si>
  <si>
    <t>레이어 가시화_민원분석</t>
    <phoneticPr fontId="65" type="noConversion"/>
  </si>
  <si>
    <t>레이어 라벨링_민원분석</t>
    <phoneticPr fontId="65" type="noConversion"/>
  </si>
  <si>
    <t>레이어 가시화_시정데이터</t>
    <phoneticPr fontId="65" type="noConversion"/>
  </si>
  <si>
    <t>레이어 라벨링_시정데이터</t>
    <phoneticPr fontId="65" type="noConversion"/>
  </si>
  <si>
    <t>새올 API 서비스 연계정보</t>
    <phoneticPr fontId="65" type="noConversion"/>
  </si>
  <si>
    <t>새올 API 서비스 연계 가시화</t>
    <phoneticPr fontId="65" type="noConversion"/>
  </si>
  <si>
    <t>월별 데이터 연계정보</t>
    <phoneticPr fontId="65" type="noConversion"/>
  </si>
  <si>
    <t>월별 데이터 연계 가시화</t>
    <phoneticPr fontId="65" type="noConversion"/>
  </si>
  <si>
    <t>일자리상황판 API 연계</t>
    <phoneticPr fontId="65" type="noConversion"/>
  </si>
  <si>
    <t>일자리상황판 API 연계 가시화</t>
    <phoneticPr fontId="65" type="noConversion"/>
  </si>
  <si>
    <t>SGIS 연계정보</t>
    <phoneticPr fontId="65" type="noConversion"/>
  </si>
  <si>
    <t>SGIS 연계 가시화</t>
    <phoneticPr fontId="65" type="noConversion"/>
  </si>
  <si>
    <t>웹반응형 서비스 구성</t>
    <phoneticPr fontId="65" type="noConversion"/>
  </si>
  <si>
    <t>(SFR-024)디지털 시장실 서비스</t>
    <phoneticPr fontId="65" type="noConversion"/>
  </si>
  <si>
    <t>디지털 시장실 서비스 데이터 업로드/다운로드</t>
    <phoneticPr fontId="65" type="noConversion"/>
  </si>
  <si>
    <t>EI</t>
    <phoneticPr fontId="65" type="noConversion"/>
  </si>
  <si>
    <t>내부시스템 링크 연계 기능</t>
    <phoneticPr fontId="65" type="noConversion"/>
  </si>
  <si>
    <t>내부시스템 링크 연계 기능(관리기능 포함)</t>
    <phoneticPr fontId="65" type="noConversion"/>
  </si>
  <si>
    <t>교통, 여론동향 등 실시간 자료</t>
    <phoneticPr fontId="65" type="noConversion"/>
  </si>
  <si>
    <t>교통, 여론동향 등 실시간 자료 가시화</t>
    <phoneticPr fontId="65" type="noConversion"/>
  </si>
  <si>
    <t>서비스 관리기능_데이터 목록 관리</t>
    <phoneticPr fontId="65" type="noConversion"/>
  </si>
  <si>
    <t>서비스 관리기능_데이터 뷰테이블 조회 및 연계 스켸쥴링 관리</t>
    <phoneticPr fontId="65" type="noConversion"/>
  </si>
  <si>
    <t>SNS정보 연계 가시화</t>
    <phoneticPr fontId="65" type="noConversion"/>
  </si>
  <si>
    <t>시정소식/시정뉴스 연계 가시화</t>
    <phoneticPr fontId="65" type="noConversion"/>
  </si>
  <si>
    <t>연계 정보 대시보드 가시화</t>
    <phoneticPr fontId="65" type="noConversion"/>
  </si>
  <si>
    <t>지자체 내 지역별(행정구역)별 대시보드 구성</t>
    <phoneticPr fontId="65" type="noConversion"/>
  </si>
  <si>
    <t>6. 가시화시뮬 기능점수 산정</t>
    <phoneticPr fontId="39" type="noConversion"/>
  </si>
  <si>
    <t>가시화시뮬</t>
    <phoneticPr fontId="39" type="noConversion"/>
  </si>
  <si>
    <t>(SFR-008)3D 데이터 모델러 기능 고도화</t>
    <phoneticPr fontId="39" type="noConversion"/>
  </si>
  <si>
    <t>3D 모델 저작</t>
  </si>
  <si>
    <t>지형 편집 정보 DB</t>
  </si>
  <si>
    <t>지형 편집 정보 등록</t>
  </si>
  <si>
    <t>지형 편집 정보 수정</t>
  </si>
  <si>
    <t>지형 편집 정보 삭제</t>
  </si>
  <si>
    <t>지형 편집 결과 조회</t>
  </si>
  <si>
    <t>편집 영역 내 필지 편집(분할, 병합)</t>
  </si>
  <si>
    <t>지형 편집 영역 내 객체모델 편집</t>
  </si>
  <si>
    <t>지구단위 토지이용계획 등록</t>
  </si>
  <si>
    <t>지구단위 토지이용계획 수정</t>
  </si>
  <si>
    <t>지구단위 토지이용계획 삭제</t>
  </si>
  <si>
    <t>3D 모델 편집결과 DB</t>
  </si>
  <si>
    <t>편집 결과 저장</t>
  </si>
  <si>
    <t>편집 결과 수정</t>
  </si>
  <si>
    <t>편집 결과 삭제</t>
  </si>
  <si>
    <t>편집결과 이력 조회</t>
  </si>
  <si>
    <t>편집 데이터 공개범위(사용자별, 그룹별, 전체) 등록</t>
  </si>
  <si>
    <t>편집 데이터 공개범위 수정</t>
  </si>
  <si>
    <t>편집 데이터 공개 설정 삭제</t>
  </si>
  <si>
    <t>편집 데이터 공개 범위 조회</t>
  </si>
  <si>
    <t>3D 라이브러리 기능 고도화</t>
  </si>
  <si>
    <t>학습용 데이터 구축 사업(LX) 성과 라이브러리 추가 등록</t>
  </si>
  <si>
    <t>사용자 상세 지정 라이브러리 정보 DB</t>
  </si>
  <si>
    <t>라이브러리 정보 등록(바닥면, 높이, 층)</t>
  </si>
  <si>
    <t>라이브러리 정보 수정</t>
  </si>
  <si>
    <t>라이브러리 정보 삭제</t>
  </si>
  <si>
    <t>라이브러리 배치 결과 조회</t>
  </si>
  <si>
    <t>지구단위 도시 라이브러리 셋 등록</t>
  </si>
  <si>
    <t>지구단위 도시 라이브러리 셋 수정</t>
  </si>
  <si>
    <t>지구단위 도시 라이브러리 셋 삭제</t>
  </si>
  <si>
    <t>지구단위 도시 라이브러리 셋 조회</t>
  </si>
  <si>
    <t>도시 라이브러리 셋 배치 등록</t>
  </si>
  <si>
    <t>도시 라이브러리 셋 배치 수정</t>
  </si>
  <si>
    <t>도시 라이브러리 셋 배치 삭제</t>
  </si>
  <si>
    <t>도시 라이브러리 셋 배치 조회</t>
  </si>
  <si>
    <t>라이브러리 Texture/Meterial 변경 등록</t>
  </si>
  <si>
    <t>라이브러리 Texture/Meterial 변경 수정</t>
  </si>
  <si>
    <t>라이브러리 Texture/Meterial 변경 삭제</t>
  </si>
  <si>
    <t>라이브러리 Texture/Meterial 변경 조회</t>
  </si>
  <si>
    <t>3차원 모델 Texture 편집</t>
  </si>
  <si>
    <t>3차원 모델 Texture/Meterial On/Off 기능</t>
  </si>
  <si>
    <t xml:space="preserve">(CS) 탑재 모델 Texture/Meterial 변경(실사 ↔ 패턴) </t>
  </si>
  <si>
    <t>3D 모델 변환(업로드) 기능 고도화</t>
  </si>
  <si>
    <t xml:space="preserve">원본 3D 모델 재질(투명, 반투명 등) 무손실 3D Tiles 변환 </t>
  </si>
  <si>
    <t>변환 원본 파일 오류 검출</t>
  </si>
  <si>
    <t>오류 파일 제외 정상파일 변환</t>
  </si>
  <si>
    <t>변환 파일 오류 내역 조회</t>
  </si>
  <si>
    <t>오류 유형별 처리방안 가이드 조회</t>
  </si>
  <si>
    <t>오류 파일 수정 후 재변환</t>
  </si>
  <si>
    <t>모델 변환 오류 관리 DB</t>
  </si>
  <si>
    <t>모델 변환 오류 발생 이력 등록</t>
  </si>
  <si>
    <t>모델 변환 오류 발생 이력 조회</t>
  </si>
  <si>
    <t>객체 모델 갱신기능 고도화</t>
  </si>
  <si>
    <t>갱신데이터 관리 DB</t>
    <phoneticPr fontId="65" type="noConversion"/>
  </si>
  <si>
    <t>갱신데이터 일괄 등록</t>
  </si>
  <si>
    <t>데이터 갱신 범위 미리보기</t>
  </si>
  <si>
    <t>갱신 범위 내 중복 객체 자동 제거</t>
  </si>
  <si>
    <t>신규 등록데이터 Tile 변환</t>
  </si>
  <si>
    <t>데이터 갱신 이력등록</t>
  </si>
  <si>
    <t>데이터 갱신 이력조회</t>
  </si>
  <si>
    <t>데이터 갱신 초기화</t>
  </si>
  <si>
    <t>(SFR-009)가시화 서비스 3차원 기능 고도화</t>
    <phoneticPr fontId="39" type="noConversion"/>
  </si>
  <si>
    <t>스냅(snap) 기능 구현</t>
  </si>
  <si>
    <t>사용자 지정 범위 내 객체 레이어 리스트 조회</t>
  </si>
  <si>
    <t>스냅 동작 환경 설정</t>
  </si>
  <si>
    <t>스냅 동작 환경 설정 해제</t>
  </si>
  <si>
    <t>스냅 자동 활성화 기능 설정</t>
  </si>
  <si>
    <t>스냅 자동 활성화 기능 설정 해제</t>
  </si>
  <si>
    <t>2D 데이터 분석·통계 시각화 개선</t>
  </si>
  <si>
    <t>분석 및 통계 데이터 3D 시각화 설정 DB</t>
  </si>
  <si>
    <t>시각화 설정 등록</t>
  </si>
  <si>
    <t>시각화 설정 수정</t>
  </si>
  <si>
    <t>시각화 설정 삭제</t>
  </si>
  <si>
    <t>데이터 3D 시각화 결과 조회</t>
  </si>
  <si>
    <t>종/횡단 분석 기능 개선</t>
  </si>
  <si>
    <t>분석 환경 설정</t>
  </si>
  <si>
    <t>범위 내 위치 레이어(객체) 리스트 조회</t>
  </si>
  <si>
    <t>종/횡단 분석 조회(지상, 지하 시설물 포함)</t>
  </si>
  <si>
    <t>분석 데이터 속성 조회</t>
  </si>
  <si>
    <t>단면 분석 결과와 DT 맵 위치 Sync</t>
  </si>
  <si>
    <t>지하시설물 시각화 개선</t>
  </si>
  <si>
    <t>범위 내 지하시설물(구조물) 객체 리스트 조회</t>
  </si>
  <si>
    <t>선택 객체 위치조회</t>
  </si>
  <si>
    <t>선택 객체 속성조회</t>
  </si>
  <si>
    <t>가상굴착 환경정보 등록</t>
  </si>
  <si>
    <t>노출 지하시설물(구조물) 조회</t>
  </si>
  <si>
    <t>노출 지하 객체 속성 조회</t>
  </si>
  <si>
    <t>(SFR-010) 가시화 서비스(시뮬레이션) 기능 개발 및 고도화</t>
    <phoneticPr fontId="15" type="noConversion"/>
  </si>
  <si>
    <r>
      <t>건물 실내</t>
    </r>
    <r>
      <rPr>
        <sz val="10"/>
        <rFont val="맑은 고딕"/>
        <family val="3"/>
        <charset val="129"/>
      </rPr>
      <t>·외 연기 확산 시뮬레이션 구현</t>
    </r>
    <phoneticPr fontId="15" type="noConversion"/>
  </si>
  <si>
    <t>3차원 모델링 데이터</t>
    <phoneticPr fontId="39" type="noConversion"/>
  </si>
  <si>
    <t>LOD 3~4로 구축된 건축물 모델링 정보 연계</t>
    <phoneticPr fontId="65" type="noConversion"/>
  </si>
  <si>
    <t>(공통) 위치 선택 기능</t>
    <phoneticPr fontId="39" type="noConversion"/>
  </si>
  <si>
    <t>주소 검색</t>
    <phoneticPr fontId="39" type="noConversion"/>
  </si>
  <si>
    <t>EO</t>
    <phoneticPr fontId="65" type="noConversion"/>
  </si>
  <si>
    <t>실내 구조 설정 기능</t>
    <phoneticPr fontId="39" type="noConversion"/>
  </si>
  <si>
    <t>실내 구조 유형 중 선택</t>
    <phoneticPr fontId="39" type="noConversion"/>
  </si>
  <si>
    <t>실내 구조 분석 기능</t>
    <phoneticPr fontId="39" type="noConversion"/>
  </si>
  <si>
    <t>연면적 분석</t>
    <phoneticPr fontId="39" type="noConversion"/>
  </si>
  <si>
    <t>지형 분석 기능</t>
    <phoneticPr fontId="39" type="noConversion"/>
  </si>
  <si>
    <t>지형 분석</t>
    <phoneticPr fontId="39" type="noConversion"/>
  </si>
  <si>
    <t>건물 구조 분석 기능</t>
    <phoneticPr fontId="39" type="noConversion"/>
  </si>
  <si>
    <t>건물 연면적 분석</t>
    <phoneticPr fontId="39" type="noConversion"/>
  </si>
  <si>
    <t>바람길 시뮬레이션 연동 기능</t>
    <phoneticPr fontId="39" type="noConversion"/>
  </si>
  <si>
    <t>기 분석된 바람길 시뮬레이션 연계</t>
    <phoneticPr fontId="39" type="noConversion"/>
  </si>
  <si>
    <t>실내외 구조가 분석된 시뮬레이션 구현</t>
    <phoneticPr fontId="39" type="noConversion"/>
  </si>
  <si>
    <t>시뮬레이션 구현</t>
    <phoneticPr fontId="39" type="noConversion"/>
  </si>
  <si>
    <t>시뮬레이션 조절 기능</t>
    <phoneticPr fontId="39" type="noConversion"/>
  </si>
  <si>
    <t>시뮬레이션 속도 및 시간설정</t>
    <phoneticPr fontId="39" type="noConversion"/>
  </si>
  <si>
    <t>바람길 시뮬레이션 고도화</t>
    <phoneticPr fontId="39" type="noConversion"/>
  </si>
  <si>
    <t>풍향 및 풍속 설정 기능</t>
    <phoneticPr fontId="39" type="noConversion"/>
  </si>
  <si>
    <t>풍향 및 풍속 입력</t>
    <phoneticPr fontId="39" type="noConversion"/>
  </si>
  <si>
    <t>객체(건물,시설물) 면적 계산식 설정 기능</t>
    <phoneticPr fontId="39" type="noConversion"/>
  </si>
  <si>
    <t>면적 계산</t>
    <phoneticPr fontId="39" type="noConversion"/>
  </si>
  <si>
    <t>객체 면적에 따른 바람길 분석 기능</t>
    <phoneticPr fontId="39" type="noConversion"/>
  </si>
  <si>
    <t>바람길 분석</t>
    <phoneticPr fontId="39" type="noConversion"/>
  </si>
  <si>
    <t>※상용 시뮬레이션 엔진 또는 플러그인 등 활용 기능</t>
    <phoneticPr fontId="39" type="noConversion"/>
  </si>
  <si>
    <t>엔진/플러그인 연계</t>
    <phoneticPr fontId="39" type="noConversion"/>
  </si>
  <si>
    <t>하천 범람 시뮬레이션 고도화</t>
    <phoneticPr fontId="39" type="noConversion"/>
  </si>
  <si>
    <t>하천 방지시설물 위치 분석 기능</t>
    <phoneticPr fontId="39" type="noConversion"/>
  </si>
  <si>
    <t>기 데이터 연동</t>
    <phoneticPr fontId="39" type="noConversion"/>
  </si>
  <si>
    <t>시설물 추가 설치 기능</t>
    <phoneticPr fontId="39" type="noConversion"/>
  </si>
  <si>
    <t>갯수, 위치 및 높이 설정</t>
    <phoneticPr fontId="39" type="noConversion"/>
  </si>
  <si>
    <t>유동적 시각화의 시뮬레이션</t>
    <phoneticPr fontId="39" type="noConversion"/>
  </si>
  <si>
    <t>(SFR-011) 3차원 모델링 자동화 기능 개선</t>
    <phoneticPr fontId="39" type="noConversion"/>
  </si>
  <si>
    <t>3D 모델링 기능 고도화</t>
    <phoneticPr fontId="39" type="noConversion"/>
  </si>
  <si>
    <t>건물 footprint 도면 연계</t>
    <phoneticPr fontId="39" type="noConversion"/>
  </si>
  <si>
    <t>건물 footprint 도면 적재 후 연계</t>
    <phoneticPr fontId="39" type="noConversion"/>
  </si>
  <si>
    <t>주소 검색하는 기능</t>
    <phoneticPr fontId="39" type="noConversion"/>
  </si>
  <si>
    <t>건물 footprint 도면 업로드</t>
    <phoneticPr fontId="39" type="noConversion"/>
  </si>
  <si>
    <t>건물 footprint 도면 업로드하는 기능</t>
    <phoneticPr fontId="39" type="noConversion"/>
  </si>
  <si>
    <t xml:space="preserve">3D 건물 모델링 생성 </t>
    <phoneticPr fontId="39" type="noConversion"/>
  </si>
  <si>
    <t>속성값 입력하여 3D 건물 모델링 생성하는 기능</t>
    <phoneticPr fontId="39" type="noConversion"/>
  </si>
  <si>
    <t>3D 모델링 건물 형태 선택</t>
    <phoneticPr fontId="39" type="noConversion"/>
  </si>
  <si>
    <t>3D 모델링의 건물 형태 선택하는 기능(곡면 외벽, 경사진 외벽 등)</t>
    <phoneticPr fontId="39" type="noConversion"/>
  </si>
  <si>
    <t>3D 건물 모델링 조회</t>
    <phoneticPr fontId="39" type="noConversion"/>
  </si>
  <si>
    <t>3D 건물 모델링 조회하는 기능</t>
    <phoneticPr fontId="39" type="noConversion"/>
  </si>
  <si>
    <t>3D 건물 모델링 배치</t>
    <phoneticPr fontId="39" type="noConversion"/>
  </si>
  <si>
    <t>3D 건물 모델링 배치하는 기능</t>
    <phoneticPr fontId="39" type="noConversion"/>
  </si>
  <si>
    <t>3D 건물 모델링 배치 수정</t>
    <phoneticPr fontId="39" type="noConversion"/>
  </si>
  <si>
    <t>배치한 3D 건물 모델링 수정</t>
    <phoneticPr fontId="39" type="noConversion"/>
  </si>
  <si>
    <t>3D 건물 모델링 배치 삭제</t>
    <phoneticPr fontId="39" type="noConversion"/>
  </si>
  <si>
    <t>배치한 3D 건물 모델링 삭제</t>
    <phoneticPr fontId="39" type="noConversion"/>
  </si>
  <si>
    <t>3D 건물 모델링 방향 설정</t>
    <phoneticPr fontId="39" type="noConversion"/>
  </si>
  <si>
    <t>3D 모델링 방향 설정하는 기능</t>
    <phoneticPr fontId="39" type="noConversion"/>
  </si>
  <si>
    <t>3D 건물 모델링 자동 배치</t>
    <phoneticPr fontId="39" type="noConversion"/>
  </si>
  <si>
    <t>3D 모델링 자동 배치하는 기능</t>
    <phoneticPr fontId="39" type="noConversion"/>
  </si>
  <si>
    <t>3D 건물 모델링 속성 입력</t>
    <phoneticPr fontId="39" type="noConversion"/>
  </si>
  <si>
    <t>3D 건물 모델링 속성정보를 입력하는 기능</t>
    <phoneticPr fontId="39" type="noConversion"/>
  </si>
  <si>
    <t>3D 건물 모델링 속성 편집</t>
    <phoneticPr fontId="39" type="noConversion"/>
  </si>
  <si>
    <t>3D 건물 모델링 속성정보를 편집하는 기능</t>
    <phoneticPr fontId="39" type="noConversion"/>
  </si>
  <si>
    <t>(SFR-012) 플러그인 개발</t>
    <phoneticPr fontId="39" type="noConversion"/>
  </si>
  <si>
    <t>설계도면 정비 및 노드링크 구축 등 플러그인 개발</t>
    <phoneticPr fontId="39" type="noConversion"/>
  </si>
  <si>
    <t>데이터 연계(정류장, 도로 등)</t>
    <phoneticPr fontId="39" type="noConversion"/>
  </si>
  <si>
    <t>정류장, 도로 등의 데이터 연계</t>
    <phoneticPr fontId="39" type="noConversion"/>
  </si>
  <si>
    <t>정비 대상 지역 주소 검색</t>
    <phoneticPr fontId="39" type="noConversion"/>
  </si>
  <si>
    <t>영역 지정</t>
    <phoneticPr fontId="39" type="noConversion"/>
  </si>
  <si>
    <t>대상지의 영역 지정</t>
    <phoneticPr fontId="39" type="noConversion"/>
  </si>
  <si>
    <t>자료 정제 설정</t>
    <phoneticPr fontId="39" type="noConversion"/>
  </si>
  <si>
    <t>생성 대상 자료 사용자 설정</t>
    <phoneticPr fontId="39" type="noConversion"/>
  </si>
  <si>
    <t>정제 자료 가시화</t>
    <phoneticPr fontId="39" type="noConversion"/>
  </si>
  <si>
    <t>정류장, 도로, 노선구간 구분점 생성 및 가시화</t>
    <phoneticPr fontId="39" type="noConversion"/>
  </si>
  <si>
    <t>노선구간 도형정보 설정</t>
    <phoneticPr fontId="39" type="noConversion"/>
  </si>
  <si>
    <t>노드 최적화, 구간 생성, 직선/직진구간 유의점, 회전구간 유의점, 입체도로 등의 노선구간 설정</t>
    <phoneticPr fontId="39" type="noConversion"/>
  </si>
  <si>
    <t>노선구간 도형정보 생성 가시화</t>
    <phoneticPr fontId="39" type="noConversion"/>
  </si>
  <si>
    <t>노드 최적화, 구간 생성, 직선/직진구간 유의점, 회전구간 유의점, 입체도로 등의 노선구간 생성 가시화</t>
    <phoneticPr fontId="39" type="noConversion"/>
  </si>
  <si>
    <t>데이터 오류검사 항목 설정</t>
    <phoneticPr fontId="39" type="noConversion"/>
  </si>
  <si>
    <t>데이터 검증을 위한 오류검사 항목 사용자 설정</t>
    <phoneticPr fontId="39" type="noConversion"/>
  </si>
  <si>
    <t>데이터 오류검사 결과 가시화</t>
    <phoneticPr fontId="39" type="noConversion"/>
  </si>
  <si>
    <t>데이터 검증을 위한 오류검사 결과 가시화</t>
    <phoneticPr fontId="39" type="noConversion"/>
  </si>
  <si>
    <t>노선구간 속성정보 입력</t>
    <phoneticPr fontId="39" type="noConversion"/>
  </si>
  <si>
    <t>노선구간 속성정보 사용자 입력</t>
    <phoneticPr fontId="39" type="noConversion"/>
  </si>
  <si>
    <t>노선구간 속성정보 저장</t>
    <phoneticPr fontId="39" type="noConversion"/>
  </si>
  <si>
    <t>노선구간 속성정보 사용자 저장</t>
    <phoneticPr fontId="39" type="noConversion"/>
  </si>
  <si>
    <t>노선구간 속성정보 수정</t>
    <phoneticPr fontId="39" type="noConversion"/>
  </si>
  <si>
    <t>노선구간 속성정보 사용자 수정</t>
    <phoneticPr fontId="39" type="noConversion"/>
  </si>
  <si>
    <t>노선구간 속성정보 삭제</t>
    <phoneticPr fontId="39" type="noConversion"/>
  </si>
  <si>
    <t>노선구간 속성정보 사용자 삭제</t>
    <phoneticPr fontId="39" type="noConversion"/>
  </si>
  <si>
    <t>2D 도면 정리 플러그인 개발</t>
    <phoneticPr fontId="39" type="noConversion"/>
  </si>
  <si>
    <t>도면 분류 설정</t>
    <phoneticPr fontId="39" type="noConversion"/>
  </si>
  <si>
    <t>데이터 이동, 파일명 복사, 파일명 검사 등의 분류를 위한 사용자 설정</t>
    <phoneticPr fontId="39" type="noConversion"/>
  </si>
  <si>
    <t>도면 분류 결과 가시화</t>
    <phoneticPr fontId="39" type="noConversion"/>
  </si>
  <si>
    <t>데이터 이동, 파일명 복사, 파일명 검사 등의 분류 결과 가시화</t>
    <phoneticPr fontId="39" type="noConversion"/>
  </si>
  <si>
    <t>도면 정리 설정</t>
    <phoneticPr fontId="39" type="noConversion"/>
  </si>
  <si>
    <t>중복객체 삭제, 짧은 객체 지우기 등 정리 대상 사용자 설정</t>
    <phoneticPr fontId="39" type="noConversion"/>
  </si>
  <si>
    <t>도면 자동 정리 결과 가시화</t>
    <phoneticPr fontId="39" type="noConversion"/>
  </si>
  <si>
    <t>중복객체 삭제, 짧은 객체 지우기 등 자동 정리 도면 가시화</t>
    <phoneticPr fontId="39" type="noConversion"/>
  </si>
  <si>
    <t>사용자 도면 보정</t>
    <phoneticPr fontId="39" type="noConversion"/>
  </si>
  <si>
    <t>도면 자동 정리 후 사용자 수동 도면 수정</t>
    <phoneticPr fontId="39" type="noConversion"/>
  </si>
  <si>
    <t>도면 수동 정리 결과 가시화</t>
    <phoneticPr fontId="39" type="noConversion"/>
  </si>
  <si>
    <t>사용자 수동 도면 수정 결과 가시화</t>
    <phoneticPr fontId="39" type="noConversion"/>
  </si>
  <si>
    <t>사용자 객체 변환 설정</t>
    <phoneticPr fontId="39" type="noConversion"/>
  </si>
  <si>
    <t>선을 폴리선으로, 호를 폴리선으로 등 사용자 변환 설정</t>
    <phoneticPr fontId="39" type="noConversion"/>
  </si>
  <si>
    <t>사용자 객체 변환 결과 가시화</t>
    <phoneticPr fontId="39" type="noConversion"/>
  </si>
  <si>
    <t>선을 폴리선으로, 호를 폴리선으로 등 변환 결과 가시화</t>
    <phoneticPr fontId="39" type="noConversion"/>
  </si>
  <si>
    <t>도형 DB 생성</t>
    <phoneticPr fontId="39" type="noConversion"/>
  </si>
  <si>
    <t>도형 DB 형태 설정</t>
    <phoneticPr fontId="39" type="noConversion"/>
  </si>
  <si>
    <t>도형 DB 변환 형태 사용자 설정</t>
    <phoneticPr fontId="39" type="noConversion"/>
  </si>
  <si>
    <t>도형 DB 속성 설정</t>
    <phoneticPr fontId="39" type="noConversion"/>
  </si>
  <si>
    <t>도형 DB 변환 속성 사용자 설정</t>
    <phoneticPr fontId="39" type="noConversion"/>
  </si>
  <si>
    <t>도형 DB 변환 결과 가시화</t>
    <phoneticPr fontId="39" type="noConversion"/>
  </si>
  <si>
    <t>2D 도면 자동화 기능 고도화</t>
    <phoneticPr fontId="39" type="noConversion"/>
  </si>
  <si>
    <t>2D 도면 사용자 설정</t>
    <phoneticPr fontId="39" type="noConversion"/>
  </si>
  <si>
    <t>2D 도면 추출 대상 설정</t>
    <phoneticPr fontId="39" type="noConversion"/>
  </si>
  <si>
    <t>추출 구조체 사용자 수정</t>
    <phoneticPr fontId="39" type="noConversion"/>
  </si>
  <si>
    <t>건물 구조체 사용자 확인 후 수정</t>
    <phoneticPr fontId="39" type="noConversion"/>
  </si>
  <si>
    <t>3D 자동화 건물 모델 결과 가시화</t>
    <phoneticPr fontId="39" type="noConversion"/>
  </si>
  <si>
    <t>사용자 수정 반영한 3D 건물 모델 생성 결과 가시화</t>
    <phoneticPr fontId="39" type="noConversion"/>
  </si>
  <si>
    <t>3D 도면 자동화 기능 고도화</t>
  </si>
  <si>
    <t>3D 건물 속성정보 입력</t>
    <phoneticPr fontId="39" type="noConversion"/>
  </si>
  <si>
    <t>3D 건물 속성정보 사용자 입력</t>
    <phoneticPr fontId="39" type="noConversion"/>
  </si>
  <si>
    <t>4D 도면 자동화 기능 고도화</t>
  </si>
  <si>
    <t>3D 건물 속성정보 저장</t>
    <phoneticPr fontId="39" type="noConversion"/>
  </si>
  <si>
    <t>3D 건물 속성정보 사용자 저장</t>
    <phoneticPr fontId="39" type="noConversion"/>
  </si>
  <si>
    <t>변환 오류 가이드</t>
    <phoneticPr fontId="39" type="noConversion"/>
  </si>
  <si>
    <t>오류 발생 시 원인 파악을 위한 상세 정보 및 보완 가이드 가시화</t>
    <phoneticPr fontId="39" type="noConversion"/>
  </si>
  <si>
    <t>LXPFA_FP_003_001</t>
  </si>
  <si>
    <t>LXPFA_FP_003_002</t>
  </si>
  <si>
    <t>LXPFA_FP_003_003</t>
  </si>
  <si>
    <t>LXPFA_FP_003_004</t>
  </si>
  <si>
    <t>LXPFA_FP_003_005</t>
  </si>
  <si>
    <t>LXPFA_FP_003_006</t>
  </si>
  <si>
    <t>LXPFA_FP_003_007</t>
  </si>
  <si>
    <t>LXPFA_FP_003_008</t>
  </si>
  <si>
    <t>LXPFA_FP_003_009</t>
  </si>
  <si>
    <t>LXPFA_FP_003_010</t>
  </si>
  <si>
    <t>LXPFA_FP_003_011</t>
  </si>
  <si>
    <t>LXPFA_FP_003_012</t>
  </si>
  <si>
    <t>LXPFA_FP_003_013</t>
  </si>
  <si>
    <t>LXPFA_FP_003_014</t>
  </si>
  <si>
    <t>LXPFA_FP_003_015</t>
  </si>
  <si>
    <t>LXPFA_FP_003_016</t>
  </si>
  <si>
    <t>LXPFA_FP_003_017</t>
  </si>
  <si>
    <t>LXPFA_FP_003_018</t>
  </si>
  <si>
    <t>LXPFA_FP_003_019</t>
  </si>
  <si>
    <t>LXPFA_FP_003_020</t>
  </si>
  <si>
    <t>LXPFA_FP_003_021</t>
  </si>
  <si>
    <t>LXPFA_FP_003_022</t>
  </si>
  <si>
    <t>LXPFA_FP_003_023</t>
  </si>
  <si>
    <t>LXPFA_FP_003_024</t>
  </si>
  <si>
    <t>LXPFA_FP_003_025</t>
  </si>
  <si>
    <t>LXPFA_FP_003_026</t>
  </si>
  <si>
    <t>LXPFA_FP_003_027</t>
  </si>
  <si>
    <t>LXPFA_FP_003_028</t>
  </si>
  <si>
    <t>LXPFA_FP_003_029</t>
  </si>
  <si>
    <t>LXPFA_FP_003_030</t>
  </si>
  <si>
    <t>LXPFA_FP_003_031</t>
  </si>
  <si>
    <t>LXPFA_FP_003_032</t>
  </si>
  <si>
    <t>LXPFA_FP_003_033</t>
  </si>
  <si>
    <t>LXPFA_FP_003_034</t>
  </si>
  <si>
    <t>LXPFA_FP_003_035</t>
  </si>
  <si>
    <t>LXPFA_FP_003_036</t>
  </si>
  <si>
    <t>LXPFA_FP_003_037</t>
  </si>
  <si>
    <t>LXPFA_FP_003_038</t>
  </si>
  <si>
    <t>LXPFA_FP_003_039</t>
  </si>
  <si>
    <t>LXPFA_FP_003_040</t>
  </si>
  <si>
    <t>LXPFA_FP_003_041</t>
  </si>
  <si>
    <t>LXPFA_FP_003_042</t>
  </si>
  <si>
    <t>LXPFA_FP_003_043</t>
  </si>
  <si>
    <t>LXPFA_FP_003_044</t>
  </si>
  <si>
    <t>LXPFA_FP_003_045</t>
  </si>
  <si>
    <t>LXPFA_FP_003_046</t>
  </si>
  <si>
    <t>LXPFA_FP_003_047</t>
  </si>
  <si>
    <t>LXPFA_FP_003_048</t>
  </si>
  <si>
    <t>LXPFA_FP_003_049</t>
  </si>
  <si>
    <t>LXPFA_FP_003_050</t>
  </si>
  <si>
    <t>LXPFA_FP_003_051</t>
  </si>
  <si>
    <t>LXPFA_FP_003_052</t>
  </si>
  <si>
    <t>LXPFA_FP_003_053</t>
  </si>
  <si>
    <t>LXPFA_FP_003_054</t>
  </si>
  <si>
    <t>LXPFA_FP_003_055</t>
  </si>
  <si>
    <t>LXPFA_FP_003_056</t>
  </si>
  <si>
    <t>LXPFA_FP_003_057</t>
  </si>
  <si>
    <t>LXPFA_FP_003_058</t>
  </si>
  <si>
    <t>LXPFA_FP_003_059</t>
  </si>
  <si>
    <t>LXPFA_FP_003_060</t>
  </si>
  <si>
    <t>LXPFA_FP_003_061</t>
  </si>
  <si>
    <t>LXPFA_FP_003_062</t>
  </si>
  <si>
    <t>LXPFA_FP_003_063</t>
  </si>
  <si>
    <t>LXPFA_FP_003_064</t>
  </si>
  <si>
    <t>LXPFA_FP_003_065</t>
  </si>
  <si>
    <t>LXPFA_FP_003_066</t>
  </si>
  <si>
    <t>LXPFA_FP_003_067</t>
  </si>
  <si>
    <t>LXPFA_FP_003_068</t>
  </si>
  <si>
    <t>LXPFA_FP_003_069</t>
  </si>
  <si>
    <t>LXPFA_FP_003_070</t>
  </si>
  <si>
    <t>LXPFA_FP_003_071</t>
  </si>
  <si>
    <t>LXPFA_FP_003_072</t>
  </si>
  <si>
    <t>LXPFA_FP_003_073</t>
  </si>
  <si>
    <t>LXPFA_FP_003_074</t>
  </si>
  <si>
    <t>LXPFA_FP_003_075</t>
  </si>
  <si>
    <t>LXPFA_FP_003_076</t>
  </si>
  <si>
    <t>LXPFA_FP_003_077</t>
  </si>
  <si>
    <t>LXPFA_FP_003_078</t>
  </si>
  <si>
    <t>LXPFA_FP_003_079</t>
  </si>
  <si>
    <t>LXPFA_FP_003_080</t>
  </si>
  <si>
    <t>LXPFA_FP_003_081</t>
  </si>
  <si>
    <t>LXPFA_FP_003_082</t>
  </si>
  <si>
    <t>LXPFA_FP_003_083</t>
  </si>
  <si>
    <t>LXPFA_FP_003_084</t>
  </si>
  <si>
    <t>LXPFA_FP_003_085</t>
  </si>
  <si>
    <t>LXPFA_FP_003_086</t>
  </si>
  <si>
    <t>LXPFA_FP_003_087</t>
  </si>
  <si>
    <t>LXPFA_FP_003_088</t>
  </si>
  <si>
    <t>LXPFA_FP_003_089</t>
  </si>
  <si>
    <t>LXPFA_FP_003_090</t>
  </si>
  <si>
    <t>LXPFA_FP_003_091</t>
  </si>
  <si>
    <t>LXPFA_FP_003_092</t>
  </si>
  <si>
    <t>LXPFA_FP_003_093</t>
  </si>
  <si>
    <t>LXPFA_FP_003_094</t>
  </si>
  <si>
    <t>LXPFA_FP_003_095</t>
  </si>
  <si>
    <t>LXPFA_FP_003_096</t>
  </si>
  <si>
    <t>LXPFA_FP_003_097</t>
  </si>
  <si>
    <t>LXPFA_FP_003_098</t>
  </si>
  <si>
    <t>LXPFA_FP_003_099</t>
  </si>
  <si>
    <t>LXPFA_FP_003_100</t>
  </si>
  <si>
    <t>LXPFA_FP_008_001</t>
  </si>
  <si>
    <t>LXPFA_FP_008_002</t>
  </si>
  <si>
    <t>LXPFA_FP_008_003</t>
  </si>
  <si>
    <t>LXPFA_FP_008_004</t>
  </si>
  <si>
    <t>LXPFA_FP_008_005</t>
  </si>
  <si>
    <t>LXPFA_FP_008_006</t>
  </si>
  <si>
    <t>LXPFA_FP_008_007</t>
  </si>
  <si>
    <t>LXPFA_FP_008_008</t>
  </si>
  <si>
    <t>LXPFA_FP_008_009</t>
  </si>
  <si>
    <t>LXPFA_FP_008_010</t>
  </si>
  <si>
    <t>LXPFA_FP_008_011</t>
  </si>
  <si>
    <t>LXPFA_FP_008_012</t>
  </si>
  <si>
    <t>LXPFA_FP_008_013</t>
  </si>
  <si>
    <t>LXPFA_FP_008_014</t>
  </si>
  <si>
    <t>LXPFA_FP_008_015</t>
  </si>
  <si>
    <t>LXPFA_FP_008_016</t>
  </si>
  <si>
    <t>LXPFA_FP_008_017</t>
  </si>
  <si>
    <t>LXPFA_FP_008_018</t>
  </si>
  <si>
    <t>LXPFA_FP_008_019</t>
  </si>
  <si>
    <t>LXPFA_FP_008_020</t>
  </si>
  <si>
    <t>LXPFA_FP_008_021</t>
  </si>
  <si>
    <t>LXPFA_FP_008_022</t>
  </si>
  <si>
    <t>LXPFA_FP_008_023</t>
  </si>
  <si>
    <t>LXPFA_FP_008_024</t>
  </si>
  <si>
    <t>LXPFA_FP_008_025</t>
  </si>
  <si>
    <t>LXPFA_FP_008_026</t>
  </si>
  <si>
    <t>LXPFA_FP_008_027</t>
  </si>
  <si>
    <t>LXPFA_FP_008_028</t>
  </si>
  <si>
    <t>LXPFA_FP_008_029</t>
  </si>
  <si>
    <t>LXPFA_FP_008_030</t>
  </si>
  <si>
    <t>LXPFA_FP_008_031</t>
  </si>
  <si>
    <t>LXPFA_FP_008_032</t>
  </si>
  <si>
    <t>LXPFA_FP_008_033</t>
  </si>
  <si>
    <t>LXPFA_FP_008_034</t>
  </si>
  <si>
    <t>LXPFA_FP_008_035</t>
  </si>
  <si>
    <t>LXPFA_FP_008_036</t>
  </si>
  <si>
    <t>LXPFA_FP_008_037</t>
  </si>
  <si>
    <t>LXPFA_FP_008_038</t>
  </si>
  <si>
    <t>LXPFA_FP_008_039</t>
  </si>
  <si>
    <t>LXPFA_FP_008_040</t>
  </si>
  <si>
    <t>LXPFA_FP_008_041</t>
  </si>
  <si>
    <t>LXPFA_FP_008_042</t>
  </si>
  <si>
    <t>LXPFA_FP_008_043</t>
  </si>
  <si>
    <t>LXPFA_FP_008_044</t>
  </si>
  <si>
    <t>LXPFA_FP_008_045</t>
  </si>
  <si>
    <t>LXPFA_FP_008_046</t>
  </si>
  <si>
    <t>LXPFA_FP_008_047</t>
  </si>
  <si>
    <t>LXPFA_FP_008_048</t>
  </si>
  <si>
    <t>LXPFA_FP_008_049</t>
  </si>
  <si>
    <t>LXPFA_FP_008_050</t>
  </si>
  <si>
    <t>LXPFA_FP_008_051</t>
  </si>
  <si>
    <t>LXPFA_FP_008_052</t>
  </si>
  <si>
    <t>LXPFA_FP_008_053</t>
  </si>
  <si>
    <t>LXPFA_FP_008_054</t>
  </si>
  <si>
    <t>LXPFA_FP_008_055</t>
  </si>
  <si>
    <t>LXPFA_FP_008_056</t>
  </si>
  <si>
    <t>LXPFA_FP_009_001</t>
  </si>
  <si>
    <t>LXPFA_FP_009_002</t>
  </si>
  <si>
    <t>LXPFA_FP_009_003</t>
  </si>
  <si>
    <t>LXPFA_FP_009_004</t>
  </si>
  <si>
    <t>LXPFA_FP_009_005</t>
  </si>
  <si>
    <t>LXPFA_FP_009_006</t>
  </si>
  <si>
    <t>LXPFA_FP_009_007</t>
  </si>
  <si>
    <t>LXPFA_FP_009_008</t>
  </si>
  <si>
    <t>LXPFA_FP_009_009</t>
  </si>
  <si>
    <t>LXPFA_FP_009_010</t>
  </si>
  <si>
    <t>LXPFA_FP_009_011</t>
  </si>
  <si>
    <t>LXPFA_FP_009_012</t>
  </si>
  <si>
    <t>LXPFA_FP_009_013</t>
  </si>
  <si>
    <t>LXPFA_FP_009_014</t>
  </si>
  <si>
    <t>LXPFA_FP_009_015</t>
  </si>
  <si>
    <t>LXPFA_FP_009_016</t>
  </si>
  <si>
    <t>LXPFA_FP_009_017</t>
  </si>
  <si>
    <t>LXPFA_FP_009_018</t>
  </si>
  <si>
    <t>LXPFA_FP_009_019</t>
  </si>
  <si>
    <t>LXPFA_FP_009_020</t>
  </si>
  <si>
    <t>LXPFA_FP_009_021</t>
  </si>
  <si>
    <t>LXPFA_FP_009_022</t>
  </si>
  <si>
    <t>LXPFA_FP_010_001</t>
  </si>
  <si>
    <t>LXPFA_FP_010_002</t>
  </si>
  <si>
    <t>LXPFA_FP_010_003</t>
  </si>
  <si>
    <t>LXPFA_FP_010_004</t>
  </si>
  <si>
    <t>LXPFA_FP_010_005</t>
  </si>
  <si>
    <t>LXPFA_FP_010_006</t>
  </si>
  <si>
    <t>LXPFA_FP_010_007</t>
  </si>
  <si>
    <t>LXPFA_FP_010_008</t>
  </si>
  <si>
    <t>LXPFA_FP_010_009</t>
  </si>
  <si>
    <t>LXPFA_FP_010_010</t>
  </si>
  <si>
    <t>LXPFA_FP_010_011</t>
  </si>
  <si>
    <t>LXPFA_FP_010_012</t>
  </si>
  <si>
    <t>LXPFA_FP_010_013</t>
  </si>
  <si>
    <t>LXPFA_FP_010_014</t>
  </si>
  <si>
    <t>LXPFA_FP_010_015</t>
  </si>
  <si>
    <t>LXPFA_FP_010_016</t>
  </si>
  <si>
    <t>LXPFA_FP_011_001</t>
  </si>
  <si>
    <t>LXPFA_FP_011_002</t>
  </si>
  <si>
    <t>LXPFA_FP_011_003</t>
  </si>
  <si>
    <t>LXPFA_FP_011_004</t>
  </si>
  <si>
    <t>LXPFA_FP_011_005</t>
  </si>
  <si>
    <t>LXPFA_FP_011_006</t>
  </si>
  <si>
    <t>LXPFA_FP_011_007</t>
  </si>
  <si>
    <t>LXPFA_FP_011_008</t>
  </si>
  <si>
    <t>LXPFA_FP_011_009</t>
  </si>
  <si>
    <t>LXPFA_FP_011_010</t>
  </si>
  <si>
    <t>LXPFA_FP_011_011</t>
  </si>
  <si>
    <t>LXPFA_FP_011_012</t>
  </si>
  <si>
    <t>LXPFA_FP_011_013</t>
  </si>
  <si>
    <t>LXPFA_FP_012_001</t>
  </si>
  <si>
    <t>LXPFA_FP_012_002</t>
  </si>
  <si>
    <t>LXPFA_FP_012_003</t>
  </si>
  <si>
    <t>LXPFA_FP_012_004</t>
  </si>
  <si>
    <t>LXPFA_FP_012_005</t>
  </si>
  <si>
    <t>LXPFA_FP_012_006</t>
  </si>
  <si>
    <t>LXPFA_FP_012_007</t>
  </si>
  <si>
    <t>LXPFA_FP_012_008</t>
  </si>
  <si>
    <t>LXPFA_FP_012_009</t>
  </si>
  <si>
    <t>LXPFA_FP_012_010</t>
  </si>
  <si>
    <t>LXPFA_FP_012_011</t>
  </si>
  <si>
    <t>LXPFA_FP_012_012</t>
  </si>
  <si>
    <t>LXPFA_FP_012_013</t>
  </si>
  <si>
    <t>LXPFA_FP_012_014</t>
  </si>
  <si>
    <t>LXPFA_FP_012_015</t>
  </si>
  <si>
    <t>LXPFA_FP_012_016</t>
  </si>
  <si>
    <t>LXPFA_FP_012_017</t>
  </si>
  <si>
    <t>LXPFA_FP_012_018</t>
  </si>
  <si>
    <t>LXPFA_FP_012_019</t>
  </si>
  <si>
    <t>LXPFA_FP_012_020</t>
  </si>
  <si>
    <t>LXPFA_FP_012_021</t>
  </si>
  <si>
    <t>LXPFA_FP_012_022</t>
  </si>
  <si>
    <t>LXPFA_FP_012_023</t>
  </si>
  <si>
    <t>LXPFA_FP_012_024</t>
  </si>
  <si>
    <t>LXPFA_FP_012_025</t>
  </si>
  <si>
    <t>LXPFA_FP_012_026</t>
  </si>
  <si>
    <t>LXPFA_FP_012_027</t>
  </si>
  <si>
    <t>LXPFA_FP_012_028</t>
  </si>
  <si>
    <t>LXPFA_FP_012_029</t>
  </si>
  <si>
    <t>LXPFA_FP_012_030</t>
  </si>
  <si>
    <t>LXPFA_FP_004_060</t>
  </si>
  <si>
    <t>LXPFA_FP_004_061</t>
  </si>
  <si>
    <t>LXPFA_FP_004_062</t>
  </si>
  <si>
    <t>LXPFA_FP_004_063</t>
  </si>
  <si>
    <t>LXPFA_FP_004_064</t>
  </si>
  <si>
    <t>LXPFA_FP_004_065</t>
  </si>
  <si>
    <t>LXPFA_FP_004_066</t>
  </si>
  <si>
    <t>LXPFA_FP_004_067</t>
  </si>
  <si>
    <t>LXPFA_FP_004_068</t>
  </si>
  <si>
    <t>LXPFA_FP_004_069</t>
  </si>
  <si>
    <t>LXPFA_FP_004_070</t>
  </si>
  <si>
    <t>LXPFA_FP_004_071</t>
  </si>
  <si>
    <t>LXPFA_FP_004_072</t>
  </si>
  <si>
    <t>LXPFA_FP_006_001</t>
  </si>
  <si>
    <t>LXPFA_FP_006_002</t>
  </si>
  <si>
    <t>LXPFA_FP_006_003</t>
  </si>
  <si>
    <t>LXPFA_FP_006_004</t>
  </si>
  <si>
    <t>LXPFA_FP_006_005</t>
  </si>
  <si>
    <t>LXPFA_FP_006_006</t>
  </si>
  <si>
    <t>LXPFA_FP_006_007</t>
  </si>
  <si>
    <t>LXPFA_FP_006_008</t>
  </si>
  <si>
    <t>LXPFA_FP_006_009</t>
  </si>
  <si>
    <t>LXPFA_FP_006_010</t>
  </si>
  <si>
    <t>LXPFA_FP_006_011</t>
  </si>
  <si>
    <t>LXPFA_FP_006_012</t>
  </si>
  <si>
    <t>LXPFA_FP_006_013</t>
  </si>
  <si>
    <t>LXPFA_FP_006_014</t>
  </si>
  <si>
    <t>LXPFA_FP_006_015</t>
  </si>
  <si>
    <t>LXPFA_FP_006_016</t>
  </si>
  <si>
    <t>LXPFA_FP_006_017</t>
  </si>
  <si>
    <t>LXPFA_FP_006_018</t>
  </si>
  <si>
    <t>LXPFA_FP_006_019</t>
  </si>
  <si>
    <t>LXPFA_FP_006_020</t>
  </si>
  <si>
    <t>LXPFA_FP_006_021</t>
  </si>
  <si>
    <t>LXPFA_FP_006_022</t>
  </si>
  <si>
    <t>LXPFA_FP_006_023</t>
  </si>
  <si>
    <t>LXPFA_FP_006_024</t>
  </si>
  <si>
    <t>LXPFA_FP_006_025</t>
  </si>
  <si>
    <t>LXPFA_FP_006_026</t>
  </si>
  <si>
    <t>LXPFA_FP_006_027</t>
  </si>
  <si>
    <t>LXPFA_FP_006_028</t>
  </si>
  <si>
    <t>LXPFA_FP_006_029</t>
  </si>
  <si>
    <t>LXPFA_FP_006_030</t>
  </si>
  <si>
    <t>LXPFA_FP_006_031</t>
  </si>
  <si>
    <t>LXPFA_FP_006_032</t>
  </si>
  <si>
    <t>LXPFA_FP_006_033</t>
  </si>
  <si>
    <t>LXPFA_FP_006_034</t>
  </si>
  <si>
    <t>LXPFA_FP_006_035</t>
  </si>
  <si>
    <t>LXPFA_FP_006_036</t>
  </si>
  <si>
    <t>LXPFA_FP_006_037</t>
  </si>
  <si>
    <t>LXPFA_FP_006_038</t>
  </si>
  <si>
    <t>LXPFA_FP_006_039</t>
  </si>
  <si>
    <t>LXPFA_FP_006_040</t>
  </si>
  <si>
    <t>LXPFA_FP_006_041</t>
  </si>
  <si>
    <t>LXPFA_FP_006_042</t>
  </si>
  <si>
    <t>LXPFA_FP_006_043</t>
  </si>
  <si>
    <t>LXPFA_FP_006_044</t>
  </si>
  <si>
    <t>LXPFA_FP_006_045</t>
  </si>
  <si>
    <t>LXPFA_FP_006_046</t>
  </si>
  <si>
    <t>LXPFA_FP_006_047</t>
  </si>
  <si>
    <t>LXPFA_FP_006_048</t>
  </si>
  <si>
    <t>LXPFA_FP_006_049</t>
  </si>
  <si>
    <t>LXPFA_FP_006_050</t>
  </si>
  <si>
    <t>LXPFA_FP_006_051</t>
  </si>
  <si>
    <t>LXPFA_FP_006_052</t>
  </si>
  <si>
    <t>LXPFA_FP_006_053</t>
  </si>
  <si>
    <t>LXPFA_FP_006_054</t>
  </si>
  <si>
    <t>LXPFA_FP_006_055</t>
  </si>
  <si>
    <t>LXPFA_FP_006_056</t>
  </si>
  <si>
    <t>LXPFA_FP_006_057</t>
  </si>
  <si>
    <t>LXPFA_FP_006_058</t>
  </si>
  <si>
    <t>LXPFA_FP_006_059</t>
  </si>
  <si>
    <t>LXPFA_FP_006_060</t>
  </si>
  <si>
    <t>LXPFA_FP_006_061</t>
  </si>
  <si>
    <t>LXPFA_FP_006_062</t>
  </si>
  <si>
    <t>LXPFA_FP_006_063</t>
  </si>
  <si>
    <t>LXPFA_FP_006_064</t>
  </si>
  <si>
    <t>LXPFA_FP_006_065</t>
  </si>
  <si>
    <t>LXPFA_FP_006_066</t>
  </si>
  <si>
    <t>LXPFA_FP_006_067</t>
  </si>
  <si>
    <t>LXPFA_FP_006_068</t>
  </si>
  <si>
    <t>LXPFA_FP_006_069</t>
  </si>
  <si>
    <t>LXPFA_FP_006_070</t>
  </si>
  <si>
    <t>LXPFA_FP_006_071</t>
  </si>
  <si>
    <t>LXPFA_FP_006_072</t>
  </si>
  <si>
    <t>LXPFA_FP_006_073</t>
  </si>
  <si>
    <t>LXPFA_FP_006_074</t>
  </si>
  <si>
    <t>LXPFA_FP_006_075</t>
  </si>
  <si>
    <t>LXPFA_FP_006_076</t>
  </si>
  <si>
    <t>LXPFA_FP_006_077</t>
  </si>
  <si>
    <t>LXPFA_FP_006_078</t>
  </si>
  <si>
    <t>LXPFA_FP_006_079</t>
  </si>
  <si>
    <t>LXPFA_FP_006_080</t>
  </si>
  <si>
    <t>LXPFA_FP_006_081</t>
  </si>
  <si>
    <t>LXPFA_FP_006_082</t>
  </si>
  <si>
    <t>LXPFA_FP_006_083</t>
  </si>
  <si>
    <t>LXPFA_FP_013_001</t>
  </si>
  <si>
    <t>LXPFA_FP_013_002</t>
  </si>
  <si>
    <t>LXPFA_FP_013_003</t>
  </si>
  <si>
    <t>LXPFA_FP_013_004</t>
  </si>
  <si>
    <t>LXPFA_FP_013_005</t>
  </si>
  <si>
    <t>LXPFA_FP_013_006</t>
  </si>
  <si>
    <t>LXPFA_FP_013_007</t>
  </si>
  <si>
    <t>LXPFA_FP_013_008</t>
  </si>
  <si>
    <t>LXPFA_FP_013_009</t>
  </si>
  <si>
    <t>LXPFA_FP_013_010</t>
  </si>
  <si>
    <t>LXPFA_FP_013_011</t>
  </si>
  <si>
    <t>LXPFA_FP_013_012</t>
  </si>
  <si>
    <t>LXPFA_FP_013_013</t>
  </si>
  <si>
    <t>LXPFA_FP_013_014</t>
  </si>
  <si>
    <t>LXPFA_FP_013_015</t>
  </si>
  <si>
    <t>LXPFA_FP_013_016</t>
  </si>
  <si>
    <t>LXPFA_FP_013_017</t>
  </si>
  <si>
    <t>LXPFA_FP_013_018</t>
  </si>
  <si>
    <t>LXPFA_FP_013_019</t>
  </si>
  <si>
    <t>LXPFA_FP_013_020</t>
  </si>
  <si>
    <t>LXPFA_FP_013_021</t>
  </si>
  <si>
    <t>LXPFA_FP_013_022</t>
  </si>
  <si>
    <t>LXPFA_FP_013_023</t>
  </si>
  <si>
    <t>LXPFA_FP_013_024</t>
  </si>
  <si>
    <t>LXPFA_FP_013_025</t>
  </si>
  <si>
    <t>LXPFA_FP_013_026</t>
  </si>
  <si>
    <t>LXPFA_FP_013_027</t>
  </si>
  <si>
    <t>LXPFA_FP_013_028</t>
  </si>
  <si>
    <t>LXPFA_FP_013_029</t>
  </si>
  <si>
    <t>LXPFA_FP_013_030</t>
  </si>
  <si>
    <t>LXPFA_FP_013_031</t>
  </si>
  <si>
    <t>LXPFA_FP_013_032</t>
  </si>
  <si>
    <t>LXPFA_FP_013_033</t>
  </si>
  <si>
    <t>LXPFA_FP_013_034</t>
  </si>
  <si>
    <t>LXPFA_FP_013_035</t>
  </si>
  <si>
    <t>LXPFA_FP_013_036</t>
  </si>
  <si>
    <t>LXPFA_FP_013_037</t>
  </si>
  <si>
    <t>LXPFA_FP_013_038</t>
  </si>
  <si>
    <t>LXPFA_FP_013_039</t>
  </si>
  <si>
    <t>LXPFA_FP_014_001</t>
  </si>
  <si>
    <t>LXPFA_FP_014_002</t>
  </si>
  <si>
    <t>LXPFA_FP_014_003</t>
  </si>
  <si>
    <t>LXPFA_FP_014_004</t>
  </si>
  <si>
    <t>LXPFA_FP_014_005</t>
  </si>
  <si>
    <t>LXPFA_FP_014_006</t>
  </si>
  <si>
    <t>LXPFA_FP_014_007</t>
  </si>
  <si>
    <t>LXPFA_FP_014_008</t>
  </si>
  <si>
    <t>LXPFA_FP_014_009</t>
  </si>
  <si>
    <t>LXPFA_FP_014_010</t>
  </si>
  <si>
    <t>LXPFA_FP_014_011</t>
  </si>
  <si>
    <t>LXPFA_FP_014_012</t>
  </si>
  <si>
    <t>LXPFA_FP_014_013</t>
  </si>
  <si>
    <t>LXPFA_FP_015_001</t>
  </si>
  <si>
    <t>LXPFA_FP_015_002</t>
  </si>
  <si>
    <t>LXPFA_FP_015_003</t>
  </si>
  <si>
    <t>LXPFA_FP_015_004</t>
  </si>
  <si>
    <t>LXPFA_FP_015_005</t>
  </si>
  <si>
    <t>LXPFA_FP_015_006</t>
  </si>
  <si>
    <t>LXPFA_FP_015_007</t>
  </si>
  <si>
    <t>LXPFA_FP_015_008</t>
  </si>
  <si>
    <t>LXPFA_FP_015_009</t>
  </si>
  <si>
    <t>LXPFA_FP_015_010</t>
  </si>
  <si>
    <t>LXPFA_FP_015_011</t>
  </si>
  <si>
    <t>LXPFA_FP_015_012</t>
  </si>
  <si>
    <t>LXPFA_FP_015_013</t>
  </si>
  <si>
    <t>LXPFA_FP_015_014</t>
  </si>
  <si>
    <t>LXPFA_FP_015_015</t>
  </si>
  <si>
    <t>LXPFA_FP_015_016</t>
  </si>
  <si>
    <t>LXPFA_FP_015_017</t>
  </si>
  <si>
    <t>LXPFA_FP_015_018</t>
  </si>
  <si>
    <t>LXPFA_FP_015_019</t>
  </si>
  <si>
    <t>LXPFA_FP_015_020</t>
  </si>
  <si>
    <t>LXPFA_FP_015_021</t>
  </si>
  <si>
    <t>LXPFA_FP_015_022</t>
  </si>
  <si>
    <t>LXPFA_FP_015_023</t>
  </si>
  <si>
    <t>LXPFA_FP_015_024</t>
  </si>
  <si>
    <t>LXPFA_FP_015_025</t>
  </si>
  <si>
    <t>LXPFA_FP_015_026</t>
  </si>
  <si>
    <t>LXPFA_FP_015_027</t>
  </si>
  <si>
    <t>LXPFA_FP_015_028</t>
  </si>
  <si>
    <t>LXPFA_FP_015_029</t>
  </si>
  <si>
    <t>LXPFA_FP_015_030</t>
  </si>
  <si>
    <t>LXPFA_FP_015_031</t>
  </si>
  <si>
    <t>LXPFA_FP_015_032</t>
  </si>
  <si>
    <t>LXPFA_FP_015_033</t>
  </si>
  <si>
    <t>LXPFA_FP_015_034</t>
  </si>
  <si>
    <t>LXPFA_FP_015_035</t>
  </si>
  <si>
    <t>LXPFA_FP_015_036</t>
  </si>
  <si>
    <t>LXPFA_FP_015_037</t>
  </si>
  <si>
    <t>LXPFA_FP_015_038</t>
  </si>
  <si>
    <t>LXPFA_FP_015_039</t>
  </si>
  <si>
    <t>LXPFA_FP_015_040</t>
  </si>
  <si>
    <t>LXPFA_FP_015_041</t>
  </si>
  <si>
    <t>LXPFA_FP_015_042</t>
  </si>
  <si>
    <t>LXPFA_FP_015_043</t>
  </si>
  <si>
    <t>LXPFA_FP_015_044</t>
  </si>
  <si>
    <t>LXPFA_FP_015_045</t>
  </si>
  <si>
    <t>LXPFA_FP_015_046</t>
  </si>
  <si>
    <t>LXPFA_FP_015_047</t>
  </si>
  <si>
    <t>LXPFA_FP_015_048</t>
  </si>
  <si>
    <t>LXPFA_FP_015_049</t>
  </si>
  <si>
    <t>LXPFA_FP_015_050</t>
  </si>
  <si>
    <t>LXPFA_FP_015_051</t>
  </si>
  <si>
    <t>LXPFA_FP_015_052</t>
  </si>
  <si>
    <t>LXPFA_FP_015_053</t>
  </si>
  <si>
    <t>LXPFA_FP_015_054</t>
  </si>
  <si>
    <t>LXPFA_FP_015_055</t>
  </si>
  <si>
    <t>LXPFA_FP_015_056</t>
  </si>
  <si>
    <t>LXPFA_FP_015_057</t>
  </si>
  <si>
    <t>LXPFA_FP_015_058</t>
  </si>
  <si>
    <t>LXPFA_FP_015_059</t>
  </si>
  <si>
    <t>LXPFA_FP_015_060</t>
  </si>
  <si>
    <t>LXPFA_FP_015_061</t>
  </si>
  <si>
    <t>LXPFA_FP_015_062</t>
  </si>
  <si>
    <t>LXPFA_FP_015_063</t>
  </si>
  <si>
    <t>LXPFA_FP_015_064</t>
  </si>
  <si>
    <t>LXPFA_FP_015_065</t>
  </si>
  <si>
    <t>LXPFA_FP_015_066</t>
  </si>
  <si>
    <t>LXPFA_FP_015_067</t>
  </si>
  <si>
    <t>LXPFA_FP_015_068</t>
  </si>
  <si>
    <t>LXPFA_FP_015_069</t>
  </si>
  <si>
    <t>LXPFA_FP_015_070</t>
  </si>
  <si>
    <t>LXPFA_FP_015_071</t>
  </si>
  <si>
    <t>LXPFA_FP_015_072</t>
  </si>
  <si>
    <t>LXPFA_FP_015_073</t>
  </si>
  <si>
    <t>LXPFA_FP_015_074</t>
  </si>
  <si>
    <t>LXPFA_FP_015_075</t>
  </si>
  <si>
    <t>LXPFA_FP_015_076</t>
  </si>
  <si>
    <t>LXPFA_FP_015_077</t>
  </si>
  <si>
    <t>LXPFA_FP_015_078</t>
  </si>
  <si>
    <t>LXPFA_FP_016_001</t>
  </si>
  <si>
    <t>LXPFA_FP_016_002</t>
  </si>
  <si>
    <t>LXPFA_FP_016_003</t>
  </si>
  <si>
    <t>LXPFA_FP_016_004</t>
  </si>
  <si>
    <t>LXPFA_FP_016_005</t>
  </si>
  <si>
    <t>LXPFA_FP_016_006</t>
  </si>
  <si>
    <t>LXPFA_FP_016_007</t>
  </si>
  <si>
    <t>LXPFA_FP_016_008</t>
  </si>
  <si>
    <t>LXPFA_FP_016_009</t>
  </si>
  <si>
    <t>LXPFA_FP_016_010</t>
  </si>
  <si>
    <t>LXPFA_FP_016_011</t>
  </si>
  <si>
    <t>LXPFA_FP_016_012</t>
  </si>
  <si>
    <t>LXPFA_FP_016_013</t>
  </si>
  <si>
    <t>LXPFA_FP_016_014</t>
  </si>
  <si>
    <t>LXPFA_FP_016_015</t>
  </si>
  <si>
    <t>LXPFA_FP_016_016</t>
  </si>
  <si>
    <t>LXPFA_FP_016_017</t>
  </si>
  <si>
    <t>LXPFA_FP_016_018</t>
  </si>
  <si>
    <t>LXPFA_FP_016_019</t>
  </si>
  <si>
    <t>LXPFA_FP_016_020</t>
  </si>
  <si>
    <t>LXPFA_FP_016_021</t>
  </si>
  <si>
    <t>LXPFA_FP_016_022</t>
  </si>
  <si>
    <t>LXPFA_FP_016_023</t>
  </si>
  <si>
    <t>LXPFA_FP_016_024</t>
  </si>
  <si>
    <t>LXPFA_FP_016_025</t>
  </si>
  <si>
    <t>LXPFA_FP_016_026</t>
  </si>
  <si>
    <t>LXPFA_FP_016_027</t>
  </si>
  <si>
    <t>LXPFA_FP_017_001</t>
  </si>
  <si>
    <t>LXPFA_FP_017_002</t>
  </si>
  <si>
    <t>LXPFA_FP_017_003</t>
  </si>
  <si>
    <t>LXPFA_FP_017_004</t>
  </si>
  <si>
    <t>LXPFA_FP_017_005</t>
  </si>
  <si>
    <t>LXPFA_FP_017_006</t>
  </si>
  <si>
    <t>LXPFA_FP_017_007</t>
  </si>
  <si>
    <t>LXPFA_FP_017_008</t>
  </si>
  <si>
    <t>LXPFA_FP_017_009</t>
  </si>
  <si>
    <t>LXPFA_FP_017_010</t>
  </si>
  <si>
    <t>LXPFA_FP_017_011</t>
  </si>
  <si>
    <t>LXPFA_FP_017_012</t>
  </si>
  <si>
    <t>LXPFA_FP_017_013</t>
  </si>
  <si>
    <t>LXPFA_FP_017_014</t>
  </si>
  <si>
    <t>LXPFA_FP_017_015</t>
  </si>
  <si>
    <t>LXPFA_FP_017_016</t>
  </si>
  <si>
    <t>LXPFA_FP_017_017</t>
  </si>
  <si>
    <t>LXPFA_FP_017_018</t>
  </si>
  <si>
    <t>LXPFA_FP_017_019</t>
  </si>
  <si>
    <t>LXPFA_FP_017_020</t>
  </si>
  <si>
    <t>LXPFA_FP_017_021</t>
  </si>
  <si>
    <t>LXPFA_FP_017_022</t>
  </si>
  <si>
    <t>LXPFA_FP_017_023</t>
  </si>
  <si>
    <t>LXPFA_FP_017_024</t>
  </si>
  <si>
    <t>LXPFA_FP_017_025</t>
  </si>
  <si>
    <t>LXPFA_FP_017_026</t>
  </si>
  <si>
    <t>LXPFA_FP_017_027</t>
  </si>
  <si>
    <t>LXPFA_FP_017_028</t>
  </si>
  <si>
    <t>LXPFA_FP_017_029</t>
  </si>
  <si>
    <t>LXPFA_FP_017_030</t>
  </si>
  <si>
    <t>LXPFA_FP_017_031</t>
  </si>
  <si>
    <t>LXPFA_FP_017_032</t>
  </si>
  <si>
    <t>LXPFA_FP_017_033</t>
  </si>
  <si>
    <t>LXPFA_FP_017_034</t>
  </si>
  <si>
    <t>LXPFA_FP_017_035</t>
  </si>
  <si>
    <t>LXPFA_FP_017_036</t>
  </si>
  <si>
    <t>LXPFA_FP_017_037</t>
  </si>
  <si>
    <t>LXPFA_FP_017_038</t>
  </si>
  <si>
    <t>LXPFA_FP_017_039</t>
  </si>
  <si>
    <t>LXPFA_FP_017_040</t>
  </si>
  <si>
    <t>LXPFA_FP_017_041</t>
  </si>
  <si>
    <t>LXPFA_FP_018_001</t>
  </si>
  <si>
    <t>LXPFA_FP_018_002</t>
  </si>
  <si>
    <t>LXPFA_FP_018_003</t>
  </si>
  <si>
    <t>LXPFA_FP_018_004</t>
  </si>
  <si>
    <t>LXPFA_FP_018_005</t>
  </si>
  <si>
    <t>LXPFA_FP_018_006</t>
  </si>
  <si>
    <t>LXPFA_FP_018_007</t>
  </si>
  <si>
    <t>LXPFA_FP_018_008</t>
  </si>
  <si>
    <t>LXPFA_FP_018_009</t>
  </si>
  <si>
    <t>LXPFA_FP_018_010</t>
  </si>
  <si>
    <t>LXPFA_FP_018_011</t>
  </si>
  <si>
    <t>LXPFA_FP_018_012</t>
  </si>
  <si>
    <t>LXPFA_FP_018_013</t>
  </si>
  <si>
    <t>LXPFA_FP_018_014</t>
  </si>
  <si>
    <t>LXPFA_FP_018_015</t>
  </si>
  <si>
    <t>LXPFA_FP_018_016</t>
  </si>
  <si>
    <t>LXPFA_FP_018_017</t>
  </si>
  <si>
    <t>LXPFA_FP_018_018</t>
  </si>
  <si>
    <t>LXPFA_FP_018_019</t>
  </si>
  <si>
    <t>LXPFA_FP_018_020</t>
  </si>
  <si>
    <t>LXPFA_FP_018_021</t>
  </si>
  <si>
    <t>LXPFA_FP_018_022</t>
  </si>
  <si>
    <t>LXPFA_FP_018_023</t>
  </si>
  <si>
    <t>LXPFA_FP_018_024</t>
  </si>
  <si>
    <t>LXPFA_FP_018_025</t>
  </si>
  <si>
    <t>LXPFA_FP_018_026</t>
  </si>
  <si>
    <t>LXPFA_FP_018_027</t>
  </si>
  <si>
    <t>LXPFA_FP_018_028</t>
  </si>
  <si>
    <t>LXPFA_FP_018_029</t>
  </si>
  <si>
    <t>LXPFA_FP_018_030</t>
  </si>
  <si>
    <t>LXPFA_FP_018_031</t>
  </si>
  <si>
    <t>LXPFA_FP_023_001</t>
  </si>
  <si>
    <t>LXPFA_FP_023_002</t>
  </si>
  <si>
    <t>LXPFA_FP_023_003</t>
  </si>
  <si>
    <t>LXPFA_FP_023_004</t>
  </si>
  <si>
    <t>LXPFA_FP_023_005</t>
  </si>
  <si>
    <t>LXPFA_FP_023_006</t>
  </si>
  <si>
    <t>LXPFA_FP_023_007</t>
  </si>
  <si>
    <t>LXPFA_FP_023_008</t>
  </si>
  <si>
    <t>LXPFA_FP_023_009</t>
  </si>
  <si>
    <t>LXPFA_FP_023_010</t>
  </si>
  <si>
    <t>LXPFA_FP_023_011</t>
  </si>
  <si>
    <t>LXPFA_FP_023_012</t>
  </si>
  <si>
    <t>LXPFA_FP_023_013</t>
  </si>
  <si>
    <t>LXPFA_FP_023_014</t>
  </si>
  <si>
    <t>LXPFA_FP_023_015</t>
  </si>
  <si>
    <t>LXPFA_FP_023_016</t>
  </si>
  <si>
    <t>LXPFA_FP_023_017</t>
  </si>
  <si>
    <t>LXPFA_FP_023_018</t>
  </si>
  <si>
    <t>LXPFA_FP_023_019</t>
  </si>
  <si>
    <t>LXPFA_FP_023_020</t>
  </si>
  <si>
    <t>LXPFA_FP_023_021</t>
  </si>
  <si>
    <t>LXPFA_FP_023_022</t>
  </si>
  <si>
    <t>LXPFA_FP_023_023</t>
  </si>
  <si>
    <t>LXPFA_FP_023_024</t>
  </si>
  <si>
    <t>LXPFA_FP_023_025</t>
  </si>
  <si>
    <t>LXPFA_FP_023_026</t>
  </si>
  <si>
    <t>LXPFA_FP_023_027</t>
  </si>
  <si>
    <t>LXPFA_FP_023_028</t>
  </si>
  <si>
    <t>LXPFA_FP_023_029</t>
  </si>
  <si>
    <t>LXPFA_FP_023_030</t>
  </si>
  <si>
    <t>LXPFA_FP_023_031</t>
  </si>
  <si>
    <t>LXPFA_FP_023_032</t>
  </si>
  <si>
    <t>LXPFA_FP_023_033</t>
  </si>
  <si>
    <t>LXPFA_FP_023_034</t>
  </si>
  <si>
    <t>LXPFA_FP_023_035</t>
  </si>
  <si>
    <t>LXPFA_FP_023_036</t>
  </si>
  <si>
    <t>LXPFA_FP_023_037</t>
  </si>
  <si>
    <t>LXPFA_FP_023_038</t>
  </si>
  <si>
    <t>LXPFA_FP_023_039</t>
  </si>
  <si>
    <t>LXPFA_FP_023_040</t>
  </si>
  <si>
    <t>LXPFA_FP_023_041</t>
  </si>
  <si>
    <t>LXPFA_FP_023_042</t>
  </si>
  <si>
    <t>LXPFA_FP_023_043</t>
  </si>
  <si>
    <t>LXPFA_FP_023_044</t>
  </si>
  <si>
    <t>LXPFA_FP_023_045</t>
  </si>
  <si>
    <t>LXPFA_FP_023_046</t>
  </si>
  <si>
    <t>LXPFA_FP_023_047</t>
  </si>
  <si>
    <t>LXPFA_FP_024_001</t>
  </si>
  <si>
    <t>LXPFA_FP_024_002</t>
  </si>
  <si>
    <t>LXPFA_FP_024_003</t>
  </si>
  <si>
    <t>LXPFA_FP_024_004</t>
  </si>
  <si>
    <t>LXPFA_FP_024_005</t>
  </si>
  <si>
    <t>LXPFA_FP_024_006</t>
  </si>
  <si>
    <t>LXPFA_FP_024_007</t>
  </si>
  <si>
    <t>LXPFA_FP_024_008</t>
  </si>
  <si>
    <t>LXPFA_FP_024_009</t>
  </si>
  <si>
    <t>LXPFA_FP_024_010</t>
  </si>
  <si>
    <t>LXPFA_FP_024_011</t>
  </si>
  <si>
    <t>LXPFA_FP_024_012</t>
  </si>
  <si>
    <t>LXPFA_FP_024_013</t>
  </si>
  <si>
    <t>LXPFA_FP_024_014</t>
  </si>
  <si>
    <t>LXPFA_FP_024_015</t>
  </si>
  <si>
    <t>LXPFA_FP_024_016</t>
  </si>
  <si>
    <t>LXPFA_FP_024_017</t>
  </si>
  <si>
    <t>LXPFA_FP_024_018</t>
  </si>
  <si>
    <t>LXPFA_FP_024_019</t>
  </si>
  <si>
    <t>LXPFA_FP_024_020</t>
  </si>
  <si>
    <t>LXPFA_FP_024_021</t>
  </si>
  <si>
    <t>LXPFA_FP_024_022</t>
  </si>
  <si>
    <t>LXPFA_FP_024_023</t>
  </si>
  <si>
    <t>LXPFA_FP_024_024</t>
  </si>
  <si>
    <t>LXPFA_FP_024_025</t>
  </si>
  <si>
    <t>LXPFA_FP_024_026</t>
  </si>
  <si>
    <t>LXPFA_FP_024_027</t>
  </si>
  <si>
    <t>LXPFA_FP_024_028</t>
  </si>
  <si>
    <t>LXPFA_FP_024_029</t>
  </si>
  <si>
    <t>LXPFA_FP_024_030</t>
  </si>
  <si>
    <t>LXPFA_FP_024_031</t>
  </si>
  <si>
    <t>LXPFA_FP_024_032</t>
  </si>
  <si>
    <t>LXPFA_FP_024_033</t>
  </si>
  <si>
    <t>LXPFA_FP_024_034</t>
  </si>
  <si>
    <t>LXPFA_FP_024_035</t>
  </si>
  <si>
    <t>LXPFA_FP_024_036</t>
  </si>
  <si>
    <t>LXPFA_FP_024_037</t>
  </si>
  <si>
    <t>LXPFA_FP_024_038</t>
  </si>
  <si>
    <t>LXPFA_FP_024_039</t>
  </si>
  <si>
    <t>LXPFA_FP_024_040</t>
  </si>
  <si>
    <t>LXPFA_FP_024_041</t>
  </si>
  <si>
    <t>LXPFA_FP_024_042</t>
  </si>
  <si>
    <t>LXPFA_FP_025_001</t>
  </si>
  <si>
    <t>LXPFA_FP_025_002</t>
  </si>
  <si>
    <t>LXPFA_FP_025_003</t>
  </si>
  <si>
    <t>LXPFA_FP_025_004</t>
  </si>
  <si>
    <t>LXPFA_FP_025_005</t>
  </si>
  <si>
    <t>LXPFA_FP_025_006</t>
  </si>
  <si>
    <t>LXPFA_FP_025_007</t>
  </si>
  <si>
    <t>LXPFA_FP_025_008</t>
  </si>
  <si>
    <t>LXPFA_FP_025_009</t>
  </si>
  <si>
    <t>LXPFA_FP_025_010</t>
  </si>
  <si>
    <t>LXPFA_FP_025_011</t>
  </si>
  <si>
    <t>LXPFA_FP_025_012</t>
  </si>
  <si>
    <t>LXPFA_FP_025_013</t>
  </si>
  <si>
    <t>LXPFA_FP_025_014</t>
  </si>
  <si>
    <t>LXPFA_FP_025_015</t>
  </si>
  <si>
    <t>LXPFA_FP_025_016</t>
  </si>
  <si>
    <t>LXPFA_FP_025_017</t>
  </si>
  <si>
    <t>LXPFA_FP_025_018</t>
  </si>
  <si>
    <t>LXPFA_FP_025_019</t>
  </si>
  <si>
    <t>LXPFA_FP_025_020</t>
  </si>
  <si>
    <t>LXPFA_FP_025_021</t>
  </si>
  <si>
    <t>LXPFA_FP_025_022</t>
  </si>
  <si>
    <t>LXPFA_FP_025_023</t>
  </si>
  <si>
    <t>LXPFA_FP_025_024</t>
  </si>
  <si>
    <t>LXPFA_FP_025_025</t>
  </si>
  <si>
    <t>LXPFA_FP_025_026</t>
  </si>
  <si>
    <t>LXPFA_FP_025_027</t>
  </si>
  <si>
    <t>LXPFA_FP_025_028</t>
  </si>
  <si>
    <t>LXPFA_FP_025_029</t>
  </si>
  <si>
    <t>LXPFA_FP_025_030</t>
  </si>
  <si>
    <t>LXPFA_FP_025_031</t>
  </si>
  <si>
    <t>LXPFA_FP_025_032</t>
  </si>
  <si>
    <t>LXPFA_FP_025_033</t>
  </si>
  <si>
    <t>LXPFA_FP_025_034</t>
  </si>
  <si>
    <t>LXPFA_FP_025_035</t>
  </si>
  <si>
    <t>LXPFA_FP_025_036</t>
  </si>
  <si>
    <t>LXPFA_FP_025_037</t>
  </si>
  <si>
    <t>LXPFA_FP_025_038</t>
  </si>
  <si>
    <t>LXPFA_FP_025_039</t>
  </si>
  <si>
    <t>LXPFA_FP_025_040</t>
  </si>
  <si>
    <t>LXPFA_FP_025_041</t>
  </si>
  <si>
    <t>LXPFA_FP_025_042</t>
  </si>
  <si>
    <t>LXPFA_FP_025_043</t>
  </si>
  <si>
    <t>LXPFA_FP_025_044</t>
  </si>
  <si>
    <t>LXPFA_FP_025_045</t>
  </si>
  <si>
    <t>LXPFA_FP_025_046</t>
  </si>
  <si>
    <t>LXPFA_FP_025_047</t>
  </si>
  <si>
    <t>LXPFA_FP_025_048</t>
  </si>
  <si>
    <t>LXPFA_FP_025_049</t>
  </si>
  <si>
    <t>LXPFA_FP_026_003</t>
  </si>
  <si>
    <t>LXPFA_FP_027_001</t>
  </si>
  <si>
    <t>LXPFA_FP_027_002</t>
  </si>
  <si>
    <t>LXPFA_FP_027_003</t>
  </si>
  <si>
    <t>LXPFA_FP_027_004</t>
  </si>
  <si>
    <t>LXPFA_FP_027_005</t>
  </si>
  <si>
    <t>LXPFA_FP_027_006</t>
  </si>
  <si>
    <t>LXPFA_FP_027_007</t>
  </si>
  <si>
    <t>LXPFA_FP_027_008</t>
  </si>
  <si>
    <t>LXPFA_FP_027_009</t>
  </si>
  <si>
    <t>LXPFA_FP_027_010</t>
  </si>
  <si>
    <t>LXPFA_FP_027_011</t>
  </si>
  <si>
    <t>LXPFA_FP_027_012</t>
  </si>
  <si>
    <t>LXPFA_FP_027_013</t>
  </si>
  <si>
    <t>LXPFA_FP_027_014</t>
  </si>
  <si>
    <t>LXPFA_FP_027_015</t>
  </si>
  <si>
    <t>LXPFA_FP_027_016</t>
  </si>
  <si>
    <t>LXPFA_FP_027_017</t>
  </si>
  <si>
    <t>LXPFA_FP_027_018</t>
  </si>
  <si>
    <t>LXPFA_FP_027_019</t>
  </si>
  <si>
    <t>LXPFA_FP_027_020</t>
  </si>
  <si>
    <t>LXPFA_FP_027_021</t>
  </si>
  <si>
    <t>LXPFA_FP_027_022</t>
  </si>
  <si>
    <t>LXPFA_FP_027_023</t>
  </si>
  <si>
    <t>LXPFA_FP_027_024</t>
  </si>
  <si>
    <t>LXPFA_FP_027_025</t>
  </si>
  <si>
    <t>LXPFA_FP_027_026</t>
  </si>
  <si>
    <t>LXPFA_FP_027_027</t>
  </si>
  <si>
    <t>LXPFA_FP_027_028</t>
  </si>
  <si>
    <t>LXPFA_FP_027_029</t>
  </si>
  <si>
    <t>LXPFA_FP_027_030</t>
  </si>
  <si>
    <t>LXPFA_FP_027_031</t>
  </si>
  <si>
    <t>LXPFA_FP_027_032</t>
  </si>
  <si>
    <t>LXPFA_FP_027_033</t>
  </si>
  <si>
    <t>LXPFA_FP_027_034</t>
  </si>
  <si>
    <t>LXPFA_FP_027_035</t>
  </si>
  <si>
    <t>LXPFA_FP_027_036</t>
  </si>
  <si>
    <t>LXPFA_FP_027_037</t>
  </si>
  <si>
    <t>LXPFA_FP_027_038</t>
  </si>
  <si>
    <t>LXPFA_FP_027_039</t>
  </si>
  <si>
    <t>LXPFA_FP_027_040</t>
  </si>
  <si>
    <t>LXPFA_FP_027_041</t>
  </si>
  <si>
    <t>LXPFA_FP_027_042</t>
  </si>
  <si>
    <t>LXPFA_FP_027_043</t>
  </si>
  <si>
    <t>LXPFA_FP_027_044</t>
  </si>
  <si>
    <t>LXPFA_FP_027_045</t>
  </si>
  <si>
    <t>LXPFA_FP_027_046</t>
  </si>
  <si>
    <t>LXPFA_FP_027_047</t>
  </si>
  <si>
    <t>LXPFA_FP_027_048</t>
  </si>
  <si>
    <t>LXPFA_FP_027_049</t>
  </si>
  <si>
    <t>LXPFA_FP_027_050</t>
  </si>
  <si>
    <t>LXPFA_FP_027_051</t>
  </si>
  <si>
    <t>LXPFA_FP_027_052</t>
  </si>
  <si>
    <t>LXPFA_FP_027_053</t>
  </si>
  <si>
    <t>LXPFA_FP_027_054</t>
  </si>
  <si>
    <t>LXPFA_FP_027_055</t>
  </si>
  <si>
    <t>LXPFA_FP_027_056</t>
  </si>
  <si>
    <t>LXPFA_FP_027_057</t>
  </si>
  <si>
    <t>LXPFA_FP_027_058</t>
  </si>
  <si>
    <t>LXPFA_FP_027_059</t>
  </si>
  <si>
    <t>LXPFA_FP_027_060</t>
  </si>
  <si>
    <t>LXPFA_FP_027_061</t>
  </si>
  <si>
    <t>LXPFA_FP_027_062</t>
  </si>
  <si>
    <t>LXPFA_FP_027_063</t>
  </si>
  <si>
    <t>LXPFA_FP_027_064</t>
  </si>
  <si>
    <t>LXPFA_FP_027_065</t>
  </si>
  <si>
    <t>LXPFA_FP_027_066</t>
  </si>
  <si>
    <t>LXPFA_FP_027_067</t>
  </si>
  <si>
    <t>LXPFA_FP_027_068</t>
  </si>
  <si>
    <t>LXPFA_FP_027_069</t>
  </si>
  <si>
    <t>LXPFA_FP_027_070</t>
  </si>
  <si>
    <t>LXPFA_FP_027_071</t>
  </si>
  <si>
    <t>LXPFA_FP_027_072</t>
  </si>
  <si>
    <t>LXPFA_FP_027_073</t>
  </si>
  <si>
    <t>LXPFA_FP_027_074</t>
  </si>
  <si>
    <t>LXPFA_FP_027_075</t>
  </si>
  <si>
    <t>LXPFA_FP_027_076</t>
  </si>
  <si>
    <t>LXPFA_FP_027_077</t>
  </si>
  <si>
    <t>LXPFA_FP_027_078</t>
  </si>
  <si>
    <t>LXPFA_FP_027_079</t>
  </si>
  <si>
    <t>LXPFA_FP_027_080</t>
  </si>
  <si>
    <t>LXPFA_FP_027_081</t>
  </si>
  <si>
    <t>LXPFA_FP_027_082</t>
  </si>
  <si>
    <t>LXPFA_FP_027_083</t>
  </si>
  <si>
    <t>LXPFA_FP_027_084</t>
  </si>
  <si>
    <t>LXPFA_FP_027_085</t>
  </si>
  <si>
    <t>LXPFA_FP_027_086</t>
  </si>
  <si>
    <t>LXPFA_FP_027_087</t>
  </si>
  <si>
    <t>LXPFA_FP_027_088</t>
  </si>
  <si>
    <t>LXPFA_FP_027_089</t>
  </si>
  <si>
    <t>LXPFA_FP_027_090</t>
  </si>
  <si>
    <t>LXPFA_FP_027_091</t>
  </si>
  <si>
    <t>LXPFA_FP_027_092</t>
  </si>
  <si>
    <t>LXPFA_FP_027_093</t>
  </si>
  <si>
    <t>LXPFA_FP_027_094</t>
  </si>
  <si>
    <t>LXPFA_FP_027_095</t>
  </si>
  <si>
    <t>LXPFA_FP_027_096</t>
  </si>
  <si>
    <t>LXPFA_FP_027_097</t>
  </si>
  <si>
    <t>LXPFA_FP_027_098</t>
  </si>
  <si>
    <t>LXPFA_FP_027_099</t>
  </si>
  <si>
    <t>LXPFA_FP_027_100</t>
  </si>
  <si>
    <t>LXPFA_FP_027_101</t>
  </si>
  <si>
    <t>LXPFA_FP_027_102</t>
  </si>
  <si>
    <t>LXPFA_FP_027_103</t>
  </si>
  <si>
    <t>LXPFA_FP_027_104</t>
  </si>
  <si>
    <t>LXPFA_FP_027_105</t>
  </si>
  <si>
    <t>LXPFA_FP_027_106</t>
  </si>
  <si>
    <t>LXPFA_FP_027_107</t>
  </si>
  <si>
    <t>LXPFA_FP_027_108</t>
  </si>
  <si>
    <t>LXPFA_FP_027_109</t>
  </si>
  <si>
    <t>LXPFA_FP_027_110</t>
  </si>
  <si>
    <t>LXPFA_FP_027_111</t>
  </si>
  <si>
    <t>LXPFA_FP_027_112</t>
  </si>
  <si>
    <t>LXPFA_FP_027_113</t>
  </si>
  <si>
    <t>LXPFA_FP_027_114</t>
  </si>
  <si>
    <t>LXPFA_FP_027_115</t>
  </si>
  <si>
    <t>LXPFA_FP_027_116</t>
  </si>
  <si>
    <t>LXPFA_FP_027_117</t>
  </si>
  <si>
    <t>LXPFA_FP_027_118</t>
  </si>
  <si>
    <t>LXPFA_FP_027_119</t>
  </si>
  <si>
    <t>LXPFA_FP_027_120</t>
  </si>
  <si>
    <t>LXPFA_FP_027_121</t>
  </si>
  <si>
    <t>LXPFA_FP_027_122</t>
  </si>
  <si>
    <t>LXPFA_FP_027_123</t>
  </si>
  <si>
    <t>LXPFA_FP_027_124</t>
  </si>
  <si>
    <t>LXPFA_FP_027_125</t>
  </si>
  <si>
    <t>LXPFA_FP_027_126</t>
  </si>
  <si>
    <t>LXPFA_FP_027_127</t>
  </si>
  <si>
    <t>LXPFA_FP_027_128</t>
  </si>
  <si>
    <t>LXPFA_FP_027_129</t>
  </si>
  <si>
    <t>LXPFA_FP_027_130</t>
  </si>
  <si>
    <t>LXPFA_FP_027_131</t>
  </si>
  <si>
    <t>LXPFA_FP_027_132</t>
  </si>
  <si>
    <t>LXPFA_FP_027_133</t>
  </si>
  <si>
    <t>LXPFA_FP_027_134</t>
  </si>
  <si>
    <t>LXPFA_FP_027_135</t>
  </si>
  <si>
    <t>LXPFA_FP_027_136</t>
  </si>
  <si>
    <t>LXPFA_FP_027_137</t>
  </si>
  <si>
    <t>LXPFA_FP_027_138</t>
  </si>
  <si>
    <t>LXPFA_FP_027_139</t>
  </si>
  <si>
    <t>LXPFA_FP_027_140</t>
  </si>
  <si>
    <t>LXPFA_FP_027_141</t>
  </si>
  <si>
    <t>LXPFA_FP_027_142</t>
  </si>
  <si>
    <t>LXPFA_FP_027_143</t>
  </si>
  <si>
    <t>LXPFA_FP_027_144</t>
  </si>
  <si>
    <t>LXPFA_FP_027_145</t>
  </si>
  <si>
    <t>LXPFA_FP_027_146</t>
  </si>
  <si>
    <t>LXPFA_FP_027_147</t>
  </si>
  <si>
    <t>LXPFA_FP_027_148</t>
  </si>
  <si>
    <t>LXPFA_FP_027_149</t>
  </si>
  <si>
    <t>LXPFA_FP_027_150</t>
  </si>
  <si>
    <t>LXPFA_FP_027_151</t>
  </si>
  <si>
    <t>LXPFA_FP_027_152</t>
  </si>
  <si>
    <t>LXPFA_FP_027_153</t>
  </si>
  <si>
    <t>LXPFA_FP_027_154</t>
  </si>
  <si>
    <t>LXPFA_FP_027_155</t>
  </si>
  <si>
    <t>LXPFA_FP_027_156</t>
  </si>
  <si>
    <t>LXPFA_FP_027_157</t>
  </si>
  <si>
    <t>LXPFA_FP_027_158</t>
  </si>
  <si>
    <t>LXPFA_FP_027_159</t>
  </si>
  <si>
    <t>LXPFA_FP_027_160</t>
  </si>
  <si>
    <t>LXPFA_FP_027_161</t>
  </si>
  <si>
    <t>LXPFA_FP_027_162</t>
  </si>
  <si>
    <t>LXPFA_FP_027_163</t>
  </si>
  <si>
    <t>LXPFA_FP_027_164</t>
  </si>
  <si>
    <t>LXPFA_FP_027_165</t>
  </si>
  <si>
    <t>LXPFA_FP_027_166</t>
  </si>
  <si>
    <t>LXPFA_FP_027_167</t>
  </si>
  <si>
    <t>LXPFA_FP_027_168</t>
  </si>
  <si>
    <t>LXPFA_FP_027_169</t>
  </si>
  <si>
    <t>LXPFA_FP_027_170</t>
  </si>
  <si>
    <t>LXPFA_FP_027_171</t>
  </si>
  <si>
    <t>LXPFA_FP_027_172</t>
  </si>
  <si>
    <t>LXPFA_FP_027_173</t>
  </si>
  <si>
    <t>LXPFA_FP_027_174</t>
  </si>
  <si>
    <t>LXPFA_FP_027_175</t>
  </si>
  <si>
    <t>LXPFA_FP_027_176</t>
  </si>
  <si>
    <t>LXPFA_FP_027_177</t>
  </si>
  <si>
    <t>LXPFA_FP_027_178</t>
  </si>
  <si>
    <t>LXPFA_FP_027_179</t>
  </si>
  <si>
    <t>LXPFA_FP_027_180</t>
  </si>
  <si>
    <t>LXPFA_FP_027_181</t>
  </si>
  <si>
    <t>LXPFA_FP_027_182</t>
  </si>
  <si>
    <t>LXPFA_FP_027_183</t>
  </si>
  <si>
    <t>LXPFA_FP_027_184</t>
  </si>
  <si>
    <t>LXPFA_FP_027_185</t>
  </si>
  <si>
    <t>LXPFA_FP_027_186</t>
  </si>
  <si>
    <t>LXPFA_FP_027_187</t>
  </si>
  <si>
    <t>LXPFA_FP_027_188</t>
  </si>
  <si>
    <t>LXPFA_FP_027_189</t>
  </si>
  <si>
    <t>LXPFA_FP_027_190</t>
  </si>
  <si>
    <t>LXPFA_FP_027_191</t>
  </si>
  <si>
    <t>LXPFA_FP_027_192</t>
  </si>
  <si>
    <t>LXPFA_FP_027_193</t>
  </si>
  <si>
    <t>LXPFA_FP_027_194</t>
  </si>
  <si>
    <t>LXPFA_FP_027_195</t>
  </si>
  <si>
    <t>LXPFA_FP_027_196</t>
  </si>
  <si>
    <t>LXPFA_FP_027_197</t>
  </si>
  <si>
    <t>LXPFA_FP_027_198</t>
  </si>
  <si>
    <t>LXPFA_FP_027_199</t>
  </si>
  <si>
    <t>LXPFA_FP_027_200</t>
  </si>
  <si>
    <t>LXPFA_FP_027_201</t>
  </si>
  <si>
    <t>LXPFA_FP_027_202</t>
  </si>
  <si>
    <t>LXPFA_FP_027_203</t>
  </si>
  <si>
    <t>LXPFA_FP_027_204</t>
  </si>
  <si>
    <t>LXPFA_FP_027_205</t>
  </si>
  <si>
    <t>LXPFA_FP_027_206</t>
  </si>
  <si>
    <t>LXPFA_FP_027_207</t>
  </si>
  <si>
    <t>LXPFA_FP_027_208</t>
  </si>
  <si>
    <t>LXPFA_FP_027_209</t>
  </si>
  <si>
    <t>LXPFA_FP_027_210</t>
  </si>
  <si>
    <t>LXPFA_FP_027_211</t>
  </si>
  <si>
    <t>LXPFA_FP_027_212</t>
  </si>
  <si>
    <t>LXPFA_FP_027_213</t>
  </si>
  <si>
    <t>LXPFA_FP_027_214</t>
  </si>
  <si>
    <t>LXPFA_FP_027_215</t>
  </si>
  <si>
    <t>LXPFA_FP_027_216</t>
  </si>
  <si>
    <t>LXPFA_FP_027_217</t>
  </si>
  <si>
    <t>LXPFA_FP_027_218</t>
  </si>
  <si>
    <t>LXPFA_FP_027_219</t>
  </si>
  <si>
    <t>LXPFA_FP_027_220</t>
  </si>
  <si>
    <t>LXPFA_FP_027_221</t>
  </si>
  <si>
    <t>LXPFA_FP_027_222</t>
  </si>
  <si>
    <t>LXPFA_FP_027_223</t>
  </si>
  <si>
    <t>LXPFA_FP_027_224</t>
  </si>
  <si>
    <t>LXPFA_FP_027_225</t>
  </si>
  <si>
    <t>LXPFA_FP_027_226</t>
  </si>
  <si>
    <t>LXPFA_FP_027_227</t>
  </si>
  <si>
    <t>LXPFA_FP_027_228</t>
  </si>
  <si>
    <t>LXPFA_FP_027_229</t>
  </si>
  <si>
    <t>LXPFA_FP_027_230</t>
  </si>
  <si>
    <t>LXPFA_FP_027_231</t>
  </si>
  <si>
    <t>LXPFA_FP_027_232</t>
  </si>
  <si>
    <t>LXPFA_FP_027_233</t>
  </si>
  <si>
    <t>LXPFA_FP_027_234</t>
  </si>
  <si>
    <t>LXPFA_FP_027_235</t>
  </si>
  <si>
    <t>LXPFA_FP_027_236</t>
  </si>
  <si>
    <t>LXPFA_FP_027_237</t>
  </si>
  <si>
    <t>LXPFA_FP_027_238</t>
  </si>
  <si>
    <t>LXPFA_FP_027_239</t>
  </si>
  <si>
    <t>LXPFA_FP_027_240</t>
  </si>
  <si>
    <t>LXPFA_FP_027_241</t>
  </si>
  <si>
    <t>LXPFA_FP_027_242</t>
  </si>
  <si>
    <t>LXPFA_FP_027_243</t>
  </si>
  <si>
    <t>LXPFA_FP_027_244</t>
  </si>
  <si>
    <t>LXPFA_FP_027_245</t>
  </si>
  <si>
    <t>LXPFA_FP_027_246</t>
  </si>
  <si>
    <t>LXPFA_FP_027_247</t>
  </si>
  <si>
    <t>LXPFA_FP_027_248</t>
  </si>
  <si>
    <t>LXPFA_FP_027_249</t>
  </si>
  <si>
    <t>LXPFA_FP_027_250</t>
  </si>
  <si>
    <t>LXPFA_FP_027_251</t>
  </si>
  <si>
    <t>LXPFA_FP_027_252</t>
  </si>
  <si>
    <t>LXPFA_FP_027_253</t>
  </si>
  <si>
    <t>LXPFA_FP_027_254</t>
  </si>
  <si>
    <t>LXPFA_FP_027_255</t>
  </si>
  <si>
    <t>LXPFA_FP_027_256</t>
  </si>
  <si>
    <t>LXPFA_FP_027_257</t>
  </si>
  <si>
    <t>LXPFA_FP_027_258</t>
  </si>
  <si>
    <t>LXPFA_FP_027_259</t>
  </si>
  <si>
    <t>LXPFA_FP_027_260</t>
  </si>
  <si>
    <t>LXPFA_FP_027_261</t>
  </si>
  <si>
    <t>LXPFA_FP_027_262</t>
  </si>
  <si>
    <t>LXPFA_FP_027_263</t>
  </si>
  <si>
    <t>LXPFA_FP_027_264</t>
  </si>
  <si>
    <t>LXPFA_FP_027_265</t>
  </si>
  <si>
    <t>LXPFA_FP_027_266</t>
  </si>
  <si>
    <t>LXPFA_FP_027_267</t>
  </si>
  <si>
    <t>LXPFA_FP_027_268</t>
  </si>
  <si>
    <t>LXPFA_FP_027_269</t>
  </si>
  <si>
    <t>LXPFA_FP_027_270</t>
  </si>
  <si>
    <t>LXPFA_FP_027_271</t>
  </si>
  <si>
    <t>LXPFA_FP_027_272</t>
  </si>
  <si>
    <t>LXPFA_FP_027_273</t>
  </si>
  <si>
    <t>LXPFA_FP_027_274</t>
  </si>
  <si>
    <t>LXPFA_FP_027_275</t>
  </si>
  <si>
    <t>LXPFA_FP_027_276</t>
  </si>
  <si>
    <t>LXPFA_FP_027_277</t>
  </si>
  <si>
    <t>LXPFA_FP_027_278</t>
  </si>
  <si>
    <t>LXPFA_FP_027_279</t>
  </si>
  <si>
    <t>LXPFA_FP_004_001</t>
  </si>
  <si>
    <t>LXPFA_FP_004_002</t>
  </si>
  <si>
    <t>LXPFA_FP_004_003</t>
  </si>
  <si>
    <t>LXPFA_FP_004_004</t>
  </si>
  <si>
    <t>LXPFA_FP_004_005</t>
  </si>
  <si>
    <t>LXPFA_FP_004_006</t>
  </si>
  <si>
    <t>LXPFA_FP_004_007</t>
  </si>
  <si>
    <t>LXPFA_FP_004_008</t>
  </si>
  <si>
    <t>LXPFA_FP_004_009</t>
  </si>
  <si>
    <t>LXPFA_FP_004_010</t>
  </si>
  <si>
    <t>LXPFA_FP_004_011</t>
  </si>
  <si>
    <t>LXPFA_FP_004_012</t>
  </si>
  <si>
    <t>LXPFA_FP_004_013</t>
  </si>
  <si>
    <t>LXPFA_FP_004_014</t>
  </si>
  <si>
    <t>LXPFA_FP_004_015</t>
  </si>
  <si>
    <t>LXPFA_FP_004_016</t>
  </si>
  <si>
    <t>LXPFA_FP_004_017</t>
  </si>
  <si>
    <t>LXPFA_FP_004_018</t>
  </si>
  <si>
    <t>LXPFA_FP_004_019</t>
  </si>
  <si>
    <t>LXPFA_FP_004_020</t>
  </si>
  <si>
    <t>LXPFA_FP_004_021</t>
  </si>
  <si>
    <t>LXPFA_FP_004_022</t>
  </si>
  <si>
    <t>LXPFA_FP_004_023</t>
  </si>
  <si>
    <t>LXPFA_FP_004_024</t>
  </si>
  <si>
    <t>LXPFA_FP_004_025</t>
  </si>
  <si>
    <t>LXPFA_FP_004_026</t>
  </si>
  <si>
    <t>LXPFA_FP_004_027</t>
  </si>
  <si>
    <t>LXPFA_FP_004_028</t>
  </si>
  <si>
    <t>LXPFA_FP_004_029</t>
  </si>
  <si>
    <t>LXPFA_FP_004_030</t>
  </si>
  <si>
    <t>LXPFA_FP_004_031</t>
  </si>
  <si>
    <t>LXPFA_FP_004_032</t>
  </si>
  <si>
    <t>LXPFA_FP_004_033</t>
  </si>
  <si>
    <t>LXPFA_FP_004_034</t>
  </si>
  <si>
    <t>LXPFA_FP_004_035</t>
  </si>
  <si>
    <t>LXPFA_FP_004_036</t>
  </si>
  <si>
    <t>LXPFA_FP_004_037</t>
  </si>
  <si>
    <t>LXPFA_FP_004_038</t>
  </si>
  <si>
    <t>LXPFA_FP_004_039</t>
  </si>
  <si>
    <t>LXPFA_FP_004_040</t>
  </si>
  <si>
    <t>LXPFA_FP_004_041</t>
  </si>
  <si>
    <t>LXPFA_FP_004_042</t>
  </si>
  <si>
    <t>LXPFA_FP_004_043</t>
  </si>
  <si>
    <t>LXPFA_FP_004_044</t>
  </si>
  <si>
    <t>LXPFA_FP_004_045</t>
  </si>
  <si>
    <t>LXPFA_FP_004_046</t>
  </si>
  <si>
    <t>LXPFA_FP_004_047</t>
  </si>
  <si>
    <t>LXPFA_FP_004_048</t>
  </si>
  <si>
    <t>LXPFA_FP_004_049</t>
  </si>
  <si>
    <t>LXPFA_FP_004_050</t>
  </si>
  <si>
    <t>LXPFA_FP_004_051</t>
  </si>
  <si>
    <t>LXPFA_FP_004_052</t>
  </si>
  <si>
    <t>LXPFA_FP_004_053</t>
  </si>
  <si>
    <t>LXPFA_FP_004_054</t>
  </si>
  <si>
    <t>LXPFA_FP_004_055</t>
  </si>
  <si>
    <t>LXPFA_FP_004_056</t>
  </si>
  <si>
    <t>LXPFA_FP_004_057</t>
  </si>
  <si>
    <t>LXPFA_FP_004_058</t>
  </si>
  <si>
    <t>LXPFA_FP_005_001</t>
  </si>
  <si>
    <t>LXPFA_FP_005_002</t>
  </si>
  <si>
    <t>LXPFA_FP_005_003</t>
  </si>
  <si>
    <t>LXPFA_FP_005_004</t>
  </si>
  <si>
    <t>LXPFA_FP_005_005</t>
  </si>
  <si>
    <t>LXPFA_FP_005_006</t>
  </si>
  <si>
    <t>LXPFA_FP_005_007</t>
  </si>
  <si>
    <t>LXPFA_FP_005_008</t>
  </si>
  <si>
    <t>LXPFA_FP_005_009</t>
  </si>
  <si>
    <t>LXPFA_FP_005_010</t>
  </si>
  <si>
    <t>LXPFA_FP_005_011</t>
  </si>
  <si>
    <t>LXPFA_FP_005_012</t>
  </si>
  <si>
    <t>LXPFA_FP_005_013</t>
  </si>
  <si>
    <t>LXPFA_FP_005_014</t>
  </si>
  <si>
    <t>LXPFA_FP_005_015</t>
  </si>
  <si>
    <t>LXPFA_FP_005_016</t>
  </si>
  <si>
    <t>LXPFA_FP_005_017</t>
  </si>
  <si>
    <t>LXPFA_FP_005_018</t>
  </si>
  <si>
    <t>LXPFA_FP_005_019</t>
  </si>
  <si>
    <t>LXPFA_FP_005_020</t>
  </si>
  <si>
    <t>LXPFA_FP_005_021</t>
  </si>
  <si>
    <t>LXPFA_FP_005_022</t>
  </si>
  <si>
    <t>LXPFA_FP_005_023</t>
  </si>
  <si>
    <t>LXPFA_FP_005_024</t>
  </si>
  <si>
    <t>LXPFA_FP_005_025</t>
  </si>
  <si>
    <t>LXPFA_FP_007_001</t>
  </si>
  <si>
    <t>LXPFA_FP_007_002</t>
  </si>
  <si>
    <t>LXPFA_FP_007_003</t>
  </si>
  <si>
    <t>LXPFA_FP_007_004</t>
  </si>
  <si>
    <t>LXPFA_FP_007_005</t>
  </si>
  <si>
    <t>LXPFA_FP_007_006</t>
  </si>
  <si>
    <t>LXPFA_FP_007_007</t>
  </si>
  <si>
    <t>LXPFA_FP_007_008</t>
  </si>
  <si>
    <t>LXPFA_FP_007_009</t>
  </si>
  <si>
    <t>LXPFA_FP_007_010</t>
  </si>
  <si>
    <t>LXPFA_FP_007_011</t>
  </si>
  <si>
    <t>LXPFA_FP_007_012</t>
  </si>
  <si>
    <t>LXPFA_FP_007_013</t>
  </si>
  <si>
    <t>LXPFA_FP_007_014</t>
  </si>
  <si>
    <t>LXPFA_FP_007_015</t>
  </si>
  <si>
    <t>LXPFA_FP_007_016</t>
  </si>
  <si>
    <t>LXPFA_FP_007_017</t>
  </si>
  <si>
    <t>LXPFA_FP_007_018</t>
  </si>
  <si>
    <t>LXPFA_FP_007_019</t>
  </si>
  <si>
    <t>LXPFA_FP_007_020</t>
  </si>
  <si>
    <t>LXPFA_FP_007_021</t>
  </si>
  <si>
    <t>LXPFA_FP_007_022</t>
  </si>
  <si>
    <t>LXPFA_FP_007_023</t>
  </si>
  <si>
    <t>LXPFA_FP_007_024</t>
  </si>
  <si>
    <t>LXPFA_FP_007_025</t>
  </si>
  <si>
    <t>LXPFA_FP_007_026</t>
  </si>
  <si>
    <t>LXPFA_FP_007_027</t>
  </si>
  <si>
    <t>LXPFA_FP_007_028</t>
  </si>
  <si>
    <t>LXPFA_FP_007_029</t>
  </si>
  <si>
    <t>LXPFA_FP_007_030</t>
  </si>
  <si>
    <t>LXPFA_FP_007_031</t>
  </si>
  <si>
    <t>LXPFA_FP_007_032</t>
  </si>
  <si>
    <t>LXPFA_FP_007_033</t>
  </si>
  <si>
    <t>LXPFA_FP_007_034</t>
  </si>
  <si>
    <t>LXPFA_FP_007_035</t>
  </si>
  <si>
    <t>LXPFA_FP_007_036</t>
  </si>
  <si>
    <t>LXPFA_FP_007_037</t>
  </si>
  <si>
    <t>LXPFA_FP_007_038</t>
  </si>
  <si>
    <t>LXPFA_FP_007_039</t>
  </si>
  <si>
    <t>LXPFA_FP_007_040</t>
  </si>
  <si>
    <t>LXPFA_FP_007_041</t>
  </si>
  <si>
    <t>LXPFA_FP_007_042</t>
  </si>
  <si>
    <t>LXPFA_FP_007_043</t>
  </si>
  <si>
    <t>LXPFA_FP_007_044</t>
  </si>
  <si>
    <t>LXPFA_FP_007_045</t>
  </si>
  <si>
    <t>LXPFA_FP_007_046</t>
  </si>
  <si>
    <t>LXPFA_FP_007_047</t>
  </si>
  <si>
    <t>LXPFA_FP_007_048</t>
  </si>
  <si>
    <t>LXPFA_FP_007_049</t>
  </si>
  <si>
    <t>LXPFA_FP_007_050</t>
  </si>
  <si>
    <t>LXPFA_FP_007_051</t>
  </si>
  <si>
    <t>LXPFA_FP_019_001</t>
  </si>
  <si>
    <t>LXPFA_FP_019_002</t>
  </si>
  <si>
    <t>LXPFA_FP_019_003</t>
  </si>
  <si>
    <t>LXPFA_FP_019_004</t>
  </si>
  <si>
    <t>LXPFA_FP_019_005</t>
  </si>
  <si>
    <t>LXPFA_FP_019_006</t>
  </si>
  <si>
    <t>LXPFA_FP_019_007</t>
  </si>
  <si>
    <t>LXPFA_FP_019_008</t>
  </si>
  <si>
    <t>LXPFA_FP_019_009</t>
  </si>
  <si>
    <t>LXPFA_FP_019_010</t>
  </si>
  <si>
    <t>LXPFA_FP_019_011</t>
  </si>
  <si>
    <t>LXPFA_FP_019_012</t>
  </si>
  <si>
    <t>LXPFA_FP_019_013</t>
  </si>
  <si>
    <t>LXPFA_FP_019_014</t>
  </si>
  <si>
    <t>LXPFA_FP_019_015</t>
  </si>
  <si>
    <t>LXPFA_FP_019_016</t>
  </si>
  <si>
    <t>LXPFA_FP_019_017</t>
  </si>
  <si>
    <t>LXPFA_FP_019_018</t>
  </si>
  <si>
    <t>LXPFA_FP_019_019</t>
  </si>
  <si>
    <t>LXPFA_FP_019_020</t>
  </si>
  <si>
    <t>LXPFA_FP_019_021</t>
  </si>
  <si>
    <t>LXPFA_FP_019_022</t>
  </si>
  <si>
    <t>LXPFA_FP_019_023</t>
  </si>
  <si>
    <t>LXPFA_FP_019_024</t>
  </si>
  <si>
    <t>LXPFA_FP_019_025</t>
  </si>
  <si>
    <t>LXPFA_FP_019_026</t>
  </si>
  <si>
    <t>LXPFA_FP_019_027</t>
  </si>
  <si>
    <t>LXPFA_FP_019_028</t>
  </si>
  <si>
    <t>LXPFA_FP_019_029</t>
  </si>
  <si>
    <t>LXPFA_FP_019_030</t>
  </si>
  <si>
    <t>LXPFA_FP_019_031</t>
  </si>
  <si>
    <t>LXPFA_FP_019_032</t>
  </si>
  <si>
    <t>LXPFA_FP_019_033</t>
  </si>
  <si>
    <t>LXPFA_FP_019_034</t>
  </si>
  <si>
    <t>LXPFA_FP_019_035</t>
  </si>
  <si>
    <t>LXPFA_FP_019_036</t>
  </si>
  <si>
    <t>LXPFA_FP_019_037</t>
  </si>
  <si>
    <t>LXPFA_FP_019_038</t>
  </si>
  <si>
    <t>LXPFA_FP_019_039</t>
  </si>
  <si>
    <t>LXPFA_FP_019_040</t>
  </si>
  <si>
    <t>LXPFA_FP_019_041</t>
  </si>
  <si>
    <t>LXPFA_FP_019_042</t>
  </si>
  <si>
    <t>LXPFA_FP_019_043</t>
  </si>
  <si>
    <t>LXPFA_FP_019_044</t>
  </si>
  <si>
    <t>LXPFA_FP_019_045</t>
  </si>
  <si>
    <t>LXPFA_FP_019_046</t>
  </si>
  <si>
    <t>LXPFA_FP_019_047</t>
  </si>
  <si>
    <t>LXPFA_FP_019_048</t>
  </si>
  <si>
    <t>LXPFA_FP_019_049</t>
  </si>
  <si>
    <t>LXPFA_FP_019_050</t>
  </si>
  <si>
    <t>LXPFA_FP_019_051</t>
  </si>
  <si>
    <t>LXPFA_FP_019_052</t>
  </si>
  <si>
    <t>LXPFA_FP_019_053</t>
  </si>
  <si>
    <t>LXPFA_FP_019_054</t>
  </si>
  <si>
    <t>LXPFA_FP_019_055</t>
  </si>
  <si>
    <t>LXPFA_FP_019_056</t>
  </si>
  <si>
    <t>LXPFA_FP_019_057</t>
  </si>
  <si>
    <t>LXPFA_FP_019_058</t>
  </si>
  <si>
    <t>LXPFA_FP_019_059</t>
  </si>
  <si>
    <t>LXPFA_FP_019_060</t>
  </si>
  <si>
    <t>LXPFA_FP_019_061</t>
  </si>
  <si>
    <t>LXPFA_FP_019_062</t>
  </si>
  <si>
    <t>LXPFA_FP_019_063</t>
  </si>
  <si>
    <t>LXPFA_FP_019_064</t>
  </si>
  <si>
    <t>LXPFA_FP_019_065</t>
  </si>
  <si>
    <t>LXPFA_FP_019_066</t>
  </si>
  <si>
    <t>LXPFA_FP_019_067</t>
  </si>
  <si>
    <t>LXPFA_FP_019_068</t>
  </si>
  <si>
    <t>LXPFA_FP_019_069</t>
  </si>
  <si>
    <t>LXPFA_FP_019_070</t>
  </si>
  <si>
    <t>LXPFA_FP_019_071</t>
  </si>
  <si>
    <t>LXPFA_FP_019_072</t>
  </si>
  <si>
    <t>LXPFA_FP_019_073</t>
  </si>
  <si>
    <t>LXPFA_FP_019_074</t>
  </si>
  <si>
    <t>LXPFA_FP_019_075</t>
  </si>
  <si>
    <t>LXPFA_FP_019_076</t>
  </si>
  <si>
    <t>LXPFA_FP_019_077</t>
  </si>
  <si>
    <t>LXPFA_FP_019_078</t>
  </si>
  <si>
    <t>LXPFA_FP_019_079</t>
  </si>
  <si>
    <t>LXPFA_FP_019_080</t>
  </si>
  <si>
    <t>LXPFA_FP_020_001</t>
  </si>
  <si>
    <t>LXPFA_FP_020_002</t>
  </si>
  <si>
    <t>LXPFA_FP_020_003</t>
  </si>
  <si>
    <t>LXPFA_FP_020_004</t>
  </si>
  <si>
    <t>LXPFA_FP_020_005</t>
  </si>
  <si>
    <t>LXPFA_FP_020_006</t>
  </si>
  <si>
    <t>LXPFA_FP_020_007</t>
  </si>
  <si>
    <t>LXPFA_FP_020_008</t>
  </si>
  <si>
    <t>LXPFA_FP_020_009</t>
  </si>
  <si>
    <t>LXPFA_FP_020_010</t>
  </si>
  <si>
    <t>LXPFA_FP_020_011</t>
  </si>
  <si>
    <t>LXPFA_FP_020_012</t>
  </si>
  <si>
    <t>LXPFA_FP_020_013</t>
  </si>
  <si>
    <t>LXPFA_FP_021_001</t>
  </si>
  <si>
    <t>LXPFA_FP_021_002</t>
  </si>
  <si>
    <t>LXPFA_FP_021_003</t>
  </si>
  <si>
    <t>LXPFA_FP_021_004</t>
  </si>
  <si>
    <t>LXPFA_FP_021_005</t>
  </si>
  <si>
    <t>LXPFA_FP_021_006</t>
  </si>
  <si>
    <t>LXPFA_FP_021_007</t>
  </si>
  <si>
    <t>LXPFA_FP_021_008</t>
  </si>
  <si>
    <t>LXPFA_FP_021_009</t>
  </si>
  <si>
    <t>LXPFA_FP_021_010</t>
  </si>
  <si>
    <t>LXPFA_FP_021_011</t>
  </si>
  <si>
    <t>LXPFA_FP_021_012</t>
  </si>
  <si>
    <t>LXPFA_FP_022_001</t>
  </si>
  <si>
    <t>LXPFA_FP_022_002</t>
  </si>
  <si>
    <t>LXPFA_FP_022_003</t>
  </si>
  <si>
    <t>LXPFA_FP_022_004</t>
  </si>
  <si>
    <t>LXPFA_FP_022_005</t>
  </si>
  <si>
    <t>LXPFA_FP_022_006</t>
  </si>
  <si>
    <t>LXPFA_FP_022_007</t>
  </si>
  <si>
    <t>LXPFA_FP_022_008</t>
  </si>
  <si>
    <t>LXPFA_FP_022_009</t>
  </si>
  <si>
    <t>LXPFA_FP_022_010</t>
  </si>
  <si>
    <t>LXPFA_FP_022_011</t>
  </si>
  <si>
    <t>LXPFA_FP_022_012</t>
  </si>
  <si>
    <t>LXPFA_FP_022_013</t>
  </si>
  <si>
    <t>LXPFA_FP_022_014</t>
  </si>
  <si>
    <t>LXPFA_FP_022_015</t>
  </si>
  <si>
    <t>LXPFA_FP_022_016</t>
  </si>
  <si>
    <t>LXPFA_FP_022_017</t>
  </si>
  <si>
    <t>LXPFA_FP_022_018</t>
  </si>
  <si>
    <t>LXPFA_FP_022_019</t>
  </si>
  <si>
    <t>LXPFA_FP_022_020</t>
  </si>
  <si>
    <t>LXPFA_FP_022_021</t>
  </si>
  <si>
    <t>LXPFA_FP_022_022</t>
  </si>
  <si>
    <t>LXPFA_FP_022_023</t>
  </si>
  <si>
    <t>LXPFA_FP_022_024</t>
  </si>
  <si>
    <t>LXPFA_FP_022_025</t>
  </si>
  <si>
    <t>LXPFA_FP_022_026</t>
  </si>
  <si>
    <t>LXPFA_FP_022_027</t>
  </si>
  <si>
    <t>LXPFA_FP_022_028</t>
  </si>
  <si>
    <t>LXPFA_FP_022_029</t>
  </si>
  <si>
    <t>LXPFA_FP_022_030</t>
  </si>
  <si>
    <t>LXPFA_FP_022_031</t>
  </si>
  <si>
    <t>LXPFA_FP_022_032</t>
  </si>
  <si>
    <t>LXPFA_FP_022_033</t>
  </si>
  <si>
    <t>LXPFA_FP_022_034</t>
  </si>
  <si>
    <t>LXPFA_FP_022_035</t>
  </si>
  <si>
    <t>LXPFA_FP_022_036</t>
  </si>
  <si>
    <t>LXPFA_FP_022_037</t>
  </si>
  <si>
    <t>LXPFA_FP_022_038</t>
  </si>
  <si>
    <t>LXPFA_FP_022_039</t>
  </si>
  <si>
    <t>LXPFA_FP_022_040</t>
  </si>
  <si>
    <t>LXPFA_FP_022_041</t>
  </si>
  <si>
    <t>LXPFA_FP_022_042</t>
  </si>
  <si>
    <t>LXPFA_FP_022_043</t>
  </si>
  <si>
    <t>LXPFA_FP_022_044</t>
  </si>
  <si>
    <t>LXPFA_FP_022_045</t>
  </si>
  <si>
    <t>LXPFA_FP_022_046</t>
  </si>
  <si>
    <t>LXPFA_FP_022_047</t>
  </si>
  <si>
    <t>LXPFA_FP_022_048</t>
  </si>
  <si>
    <t>LXPFA_FP_022_049</t>
  </si>
  <si>
    <t>LXPFA_FP_022_050</t>
  </si>
  <si>
    <t>LXPFA_FP_022_051</t>
  </si>
  <si>
    <t>LXPFA_FP_022_052</t>
  </si>
  <si>
    <t>LXPFA_FP_022_053</t>
  </si>
  <si>
    <t>LXPFA_FP_022_054</t>
  </si>
  <si>
    <t>LXPFA_FP_022_055</t>
  </si>
  <si>
    <t>LXPFA_FP_022_056</t>
  </si>
  <si>
    <t>LXPFA_FP_022_057</t>
  </si>
  <si>
    <t>LXPFA_FP_022_058</t>
  </si>
  <si>
    <t>LXPFA_FP_022_059</t>
  </si>
  <si>
    <t>LXPFA_FP_022_060</t>
  </si>
  <si>
    <t>LXPFA_FP_026_001</t>
  </si>
  <si>
    <t>LXPFA_FP_026_002</t>
  </si>
  <si>
    <t>LXPFA_FP_026_004</t>
  </si>
  <si>
    <t>SFR-001</t>
  </si>
  <si>
    <t>1. LX플랫폼의 데이터의 흐름, 데이터 통합 관리 및 운영 프로세스 고려한 데이터 아키텍쳐 설계</t>
  </si>
  <si>
    <t>Ⅲ.1.1 LX플랫폼 통합 아키텍처 구성</t>
  </si>
  <si>
    <t>- 국토정보 기존 플랫폼 ASIS 데이터 프로세스 작성
- DT 기존 플랫폼 ASIS 데이터 프로세스 작성 
- 각 플랫폼 DB 스키마 비교 분석 - 공통사항 확인
- 통합 및 고유 DB 스키마 분리 설계</t>
  </si>
  <si>
    <t>상</t>
  </si>
  <si>
    <t>2. LX 플랫폼 기능 그룹 및 분류 등이 고려된 어플리케이션 아키텍처 재설계 및 반영
- 어플리케이션 아키텍처 재설계</t>
  </si>
  <si>
    <r>
      <t>-</t>
    </r>
    <r>
      <rPr>
        <sz val="11"/>
        <color theme="1"/>
        <rFont val="맑은 고딕"/>
        <family val="2"/>
        <charset val="129"/>
        <scheme val="minor"/>
      </rPr>
      <t xml:space="preserve"> 기능별, 그룹별 분류 기준을 협의하고 해당 기준에 따른  아키텍쳐 설계
 </t>
    </r>
    <r>
      <rPr>
        <sz val="11"/>
        <color theme="1"/>
        <rFont val="맑은 고딕"/>
        <family val="2"/>
        <charset val="129"/>
        <scheme val="minor"/>
      </rPr>
      <t>.</t>
    </r>
    <r>
      <rPr>
        <sz val="11"/>
        <color theme="1"/>
        <rFont val="맑은 고딕"/>
        <family val="2"/>
        <charset val="129"/>
        <scheme val="minor"/>
      </rPr>
      <t xml:space="preserve">각 플랫폼의 기능 내역 나열
 </t>
    </r>
    <r>
      <rPr>
        <sz val="11"/>
        <color theme="1"/>
        <rFont val="맑은 고딕"/>
        <family val="2"/>
        <charset val="129"/>
        <scheme val="minor"/>
      </rPr>
      <t>.</t>
    </r>
    <r>
      <rPr>
        <sz val="11"/>
        <color theme="1"/>
        <rFont val="맑은 고딕"/>
        <family val="2"/>
        <charset val="129"/>
        <scheme val="minor"/>
      </rPr>
      <t xml:space="preserve">각 기능 들을 분류하기 위한 분류 기준 작성
 </t>
    </r>
    <r>
      <rPr>
        <sz val="11"/>
        <color theme="1"/>
        <rFont val="맑은 고딕"/>
        <family val="2"/>
        <charset val="129"/>
        <scheme val="minor"/>
      </rPr>
      <t>.</t>
    </r>
    <r>
      <rPr>
        <sz val="11"/>
        <color theme="1"/>
        <rFont val="맑은 고딕"/>
        <family val="2"/>
        <charset val="129"/>
        <scheme val="minor"/>
      </rPr>
      <t>분류 기준에 따른 그룹항목 작성</t>
    </r>
  </si>
  <si>
    <t>3. 사용자 그룹별 업무적 역할 구분, 운영자의 역할 등이 반영된 업무처리 아키텍처 재설계
- 업무 처리 아키텍처 재설계</t>
  </si>
  <si>
    <t>4. 추가 인프라, 구축 및 상용솔루션 반영 
- 인프라 아키텍처 재설계</t>
  </si>
  <si>
    <t>5. 통합 EA 아키텍처 설계 및 재구성
- DA, TA, AA, SA, BA 등을 고려한 통합 EA 아키텍처 설계</t>
  </si>
  <si>
    <r>
      <rPr>
        <sz val="11"/>
        <color theme="1"/>
        <rFont val="맑은 고딕"/>
        <family val="2"/>
        <charset val="129"/>
        <scheme val="minor"/>
      </rPr>
      <t>- 국토플랫폼과 DT 플랫폼의 아키텍쳐 ASIS 구성 확인
 . 각 플랫폼의 동일 영역별 아키텍쳐 비교확인
 . 공통, 통합 요소 확인 및 개선 아키텍쳐 설계</t>
    </r>
  </si>
  <si>
    <t>일반망 서비스의 접근을 위한 아키텍처 반영
- 포털 및 서비스, 샌드박스, PaaS, DevOps(개발환경) 등 접근 서버 고려</t>
  </si>
  <si>
    <t>- 일반망 서비스 제공을 위한 아키텍처 설계 반영</t>
  </si>
  <si>
    <t>일반망 서비스의 접근을 위한 아키텍처 반영
- 사용자의 Access point를 최소한으로 네트워크 아키텍처 설계</t>
  </si>
  <si>
    <t>- Client Side 서비스 제공이아닌 Back-end Side 서비스 제공</t>
  </si>
  <si>
    <t>1. 모든 기능은 PaaS를 활용한 RestAPI 및 Javascript API 조합으로 개발을 우선적으로 적용하며 불가한 경우 협의 후 다른 방안으로 개발
- PaaS 활용 RestAPI 개발
- PaaS 활용 Javascript API 개발
- PaaS 활용 서비스 개발</t>
  </si>
  <si>
    <t>- 각 플랫폼의 기능 분석
 . 서비스, 분석 등의 프로세스를 구성하는 단위 기능 목록 작성
 . 각 단위 기능 API 제공 방안 구성 설계
 . UI 요소, Backend Process 요소 구분 - 컴포넌트, RestAPI 분류</t>
  </si>
  <si>
    <t>2. API 형식으로 개발되는 모든 기능（Rest API, Javascript API 등)은 API문서를 산출물에 포함하여 제공
- API문서 제공</t>
  </si>
  <si>
    <t>- API 문서 제공</t>
  </si>
  <si>
    <t>3. 개발 시 기 구축되어있는 기능 및 솔루션을 최대한 활용하며 예외 사항 발생 시 발주처와 협의
- 기 구축된 기능 및 솔루션 활용 개발</t>
  </si>
  <si>
    <t>- 국토정보 기존 구축 플랫폼의 기능 목록 정의
- 국토정보 기존 구축 플랫폼의 API 내역 리스트업
- DT 플랫폼 기능 비교 - 재활용 가능 API 내역 추출</t>
  </si>
  <si>
    <t>중</t>
  </si>
  <si>
    <r>
      <t>L</t>
    </r>
    <r>
      <rPr>
        <sz val="11"/>
        <color theme="1"/>
        <rFont val="맑은 고딕"/>
        <family val="2"/>
        <charset val="129"/>
        <scheme val="minor"/>
      </rPr>
      <t>X플랫폼 내부 아키텍쳐 재설계 우선 수행 및 스마트 충북 플랫폼 아키텍처 전환 지원</t>
    </r>
  </si>
  <si>
    <t>기술협상2022.12.26</t>
  </si>
  <si>
    <t>김종철</t>
  </si>
  <si>
    <t>통합아키텍처 구성에 따른 기능 재배치
- 공통으로 활용할 수 있는 기능 도출 및 반영</t>
  </si>
  <si>
    <t>1. 기존 기능의 분배, 플랫폼별 특화기능 및 공통기능 도출
- 기존 기능 분배
- 플랫폼별 특화기능 도출
- 플랫폼별 공통기능 도출</t>
  </si>
  <si>
    <t>15~16</t>
  </si>
  <si>
    <t>8~10</t>
  </si>
  <si>
    <t>Ⅲ.1.2 통합아키텍처 구성에 따른 기능 재배치
Ⅲ.1.2 LX플랫폼 통합 아키텍처 구성</t>
  </si>
  <si>
    <t>- 기존 국토정보 플랫폼 기능목록 리스트업
- 기존 DT 플랫폼 기능목록 리스트업
- 유사기능목록 추출 - 파라미터, 결과정보 비교 확인
- 공통기능 사용가능 목록 분류
- 공통 모듈 아키텍쳐 설계</t>
  </si>
  <si>
    <t>2. 양 플랫폼 간 UI/UX 기획,설계 진행 후 플랫폼 디자인 개편
- 양 플랫폼 UI/UX 기획,설계 
- 플랫폼 디자인 개편</t>
  </si>
  <si>
    <t>- 양플랫폼의 UI 및 사용자 프로세스 비교 분석 및 분류
 공통요소와 해당플랫폼 만의 고유요소를 분류
 일관적인 UI/UX를 통한 고유요소 분리 기획, 설계</t>
  </si>
  <si>
    <t>통합 개발환경 구축
- LX플랫폼 프레임워크 구성 및 고도화</t>
  </si>
  <si>
    <t>1. LX플랫폼 데이터 서비스(2D ) 개발 프레임워크 구성
- 개발환경은 공통 프레임워크，주요 기능 템플릿，화면 디자인, 기능.데이터.지도 서비스 API, 샘플 소스 코드 등으로 구성
- 개발환경의 세부구성은 제안사에서 상세방안 제시 후 검토</t>
  </si>
  <si>
    <t>17~18</t>
  </si>
  <si>
    <t>(SFR-004)통합 개발환경 구축_국토정보플랫폼통합</t>
  </si>
  <si>
    <t>Ⅲ.1.4 통합 개발환경 구축</t>
  </si>
  <si>
    <t>- 플랫폼 Base 개발 환경 제공
  . 공통프레임워크, 기능 라이브러리, 데이터 서비스 API, 지도 서비스 API
  . 화면디자인, 샘플소스코드 등 가이드</t>
  </si>
  <si>
    <t>통합 개발환경 구축
- 개발/운영환경 CI/CD 구성 및 적용 프로세스 개선</t>
  </si>
  <si>
    <t>1. 지자체별 사용자 맞춤형 포털 구성을 고려한 서비스 추가 테스트 및 적용 환경을 구성
- 서비스 추가 테스트 및 적용 환경 구성</t>
  </si>
  <si>
    <t>- 지자체 서비스의 독립적인 운영이 가능한 형태 개발
  . 플랫폼 베이스와 지자체 서비스의 상호 의존성 최소화
  . 플랫폼 탑재시에도 기존 기능, 프로세스에 영향 최소화
  . 지자체 서비스의 기본 정보 등록 만으로 플랫폼 위에서 운영 기능</t>
  </si>
  <si>
    <t>LX플랫폼 개발자 지원 서비스 개발
  · 공지사항 목록 조회, 상세정보 조회 등 조회 기능을 제공
  · 자료실 목록 조회, 상세 조회 등 자료실 조회 기능을 제공
  · FAQ 목록 조회, 상세 조회 등 FAQ 조회 기능을 제공
  · 질의응답 목록 조회, 상세 조회, 등록, 수정, 삭제 등 질의응답 관리기능을 제공</t>
  </si>
  <si>
    <t>(SFR-004)통합 개발환경 구축</t>
  </si>
  <si>
    <t>Ⅲ. 1.4 통합 개발환경 구축</t>
  </si>
  <si>
    <t>- LX 플랫폼 개발자 지원 페이지 작성
 . 공지사항, 자료실, FAQ, 질의 응답 운영 페이지 작성
  (조회기능, 업로드기능, CRUD 기능)</t>
  </si>
  <si>
    <t xml:space="preserve">  · 개발 지원 샘플 및 정보 제공
   - LX플랫폼 프레임워크 지원 및 가이드 제공
   - 위젯(샘플 소스 정보, 목록/상세 보기, 실행, 결과보기, 자동완성)
   - 지도 Javascript API 정보 및 샘플(목록보기/실행/결과보기)</t>
  </si>
  <si>
    <t>- 프레임워크 제공
 . UX, UI Frontend 컴포넌트 지원 - 샘플코드, 사용 가이드
 . 단위기능 API 지원 - 샘플코드, 사용 가이드
 . Backend 프로세스 API 지원 - 사용 가이드</t>
  </si>
  <si>
    <t xml:space="preserve">  · 클라우드 통합 운영관리 연동 구성
  · 사용자 계정과 연동한 로그인 체계</t>
  </si>
  <si>
    <t>- LXDT_FN_SFR_003_014 에서 구성한 통합개발환경
- 개발환경 담당자와 협의필요</t>
  </si>
  <si>
    <t>개발자 지원 서비스 관리 기능
  · 각 플랫폼의 프레임워크 및 라이브러리, 소스 관리 기능</t>
  </si>
  <si>
    <t>- 개발자 지원 중 프레임워크 및 라이브러리 등 CI/CD 관련 협의 필요</t>
  </si>
  <si>
    <t>개발자 지원 서비스 관리 기능(인프라)
 · 사용자 권한 및 사용 스토리지 볼륨 제한 기능
 · 인프라 자원 신청·승인 기능</t>
  </si>
  <si>
    <t>- 개발환경에 제공할 인프라 자원의 할당 방식 논의 필요
- 사용자 권한 및 스토리지 볼륨제한은 사용자 정보연동이 필요함</t>
  </si>
  <si>
    <t>발주처와 협의하여 개발환경 운영방안 수립( 개발.운영환경 동기화 등) 및 지원</t>
  </si>
  <si>
    <t>기술협상_22.12.26</t>
  </si>
  <si>
    <t>박청</t>
  </si>
  <si>
    <t>체계적인 개발지원환경 구현을 위한 버전별 라이브러리 및 소스 관리체계 구현</t>
  </si>
  <si>
    <t>지도와 연관된 BI를 포함한 서비스 제작도구 고도화
  · BI를 통해 차트, 그리드, 지도연계, 지도핸들링에 따른 동기화 처리
  · 모든 서비스는 URL 발행 가능하도록 구성
※ BI는 기 도입된 BI를 활용</t>
  </si>
  <si>
    <t>18~19</t>
  </si>
  <si>
    <t>(SFR-006) 서비스 제작 도구 개발</t>
  </si>
  <si>
    <t>Ⅲ. 1.6 서비스 제작 도구 개발</t>
  </si>
  <si>
    <t>- BI 와 지도 간 상호 데이터 교환 및 공유, 통신 방안에 대한 기능 작성
 . 지도 이벤트 발생 정보를 BI에 전달, 데이터 공유</t>
  </si>
  <si>
    <t>지도와 연관된 BI를 포함한 서비스 제작도구 고도화
   · 각 파트별(차트, 그리드, 지도 등) 개별 핸들링이 가능하도록 구성
※ BI는 기 도입된 BI를 활용</t>
  </si>
  <si>
    <t>지도와 연관된 BI를 포함한 서비스 제작도구 고도화
  · 데이터베이스의 접근 및 사용자에 따른 권한별 접근이 가능하도록 구성
  · 사용자의 개별 PC에 저장된 파일단위 데이터의 추가 처리(BI확인필요)
※ BI는 기 도입된 BI를 활용</t>
  </si>
  <si>
    <t>- BI 를 통한 사용자 데이터(파일) 업로드 기능은 협의 필요
 . 사용자 BI 템플릿 작성
 . BI 템플릿과 지도 간 데이터 공유 테이블 작성</t>
  </si>
  <si>
    <t>서비스 제작 도구 개발_구축된 서비스 모델의 등록 및 관리 기능 구현(관리자페이지)</t>
  </si>
  <si>
    <t>구축된 서비스 모델의 등록 및 관리 기능 구현(관리자페이지)
  · 서비스 등록 기능 개발
  · 서비스 테스트 기능 개발
  · 서비스 승인 기능 개발
  · 서비스의 관리가 가능하도록 관리시스템 기능 개발</t>
  </si>
  <si>
    <t>- 사용자서비스 제작을 위한 단위 모듈군 작성
- 사용자 제작 서비스 표출 전용 지도 화면 (별도 페이지 or 컴포넌트)
- 사용자서비스 제작을 위한 관리자 화면 구성
 . 단위모듈 블록형태 조합
 . 각 단위 모듈간 파라미터, 결과정보 정의
 . 제작된 서비스에 대한 정보 생성 (서비스명, 용도, etc) 저장
- 제작된 서비스에 대한 승인 여부 설정 (승인후 서비스 목록, 승인전 서비스 목록 표출, 확인 및 승인 절차)</t>
  </si>
  <si>
    <t>구축된 서비스 모델의 등록 및 관리 기능 구현(관리자페이지)
  · 발행된 서비스의 목록 관리 기능 구현</t>
  </si>
  <si>
    <t>(SFR-006) 서비스 제작 도구 개발_국토정보플랫폼통합</t>
  </si>
  <si>
    <t>- 사용자 제작 서비스 목록 관리 기능 작성</t>
  </si>
  <si>
    <t>구축된 서비스 모델의 등록 및 관리 기능 구현(관리자페이지)
  · 타 서비스에서 URL 호출 처리가 가능하도록 구성</t>
  </si>
  <si>
    <t>- 별도 협의 필요</t>
  </si>
  <si>
    <t>구축된 서비스 모델의 등록 및 관리 기능 구현(관리자페이지)
  · 등록된 서비스는 사용자별 공유가 가능하도록 공유 관리 기능 구현</t>
  </si>
  <si>
    <t>- 권한별 사용자 서비스 사용 가능여부 설정 - 관리자 기능 추가
 . 등록된 서비스 정보 DB 테이블 구성
 . 사용자 권한 별 사용가능 서비스 관계 DB 테이블 구성 관리
 . 사용자 권한 별 사용가능 서비스 설정 페이지 작성</t>
  </si>
  <si>
    <t>산출물</t>
    <phoneticPr fontId="0" type="noConversion"/>
  </si>
  <si>
    <t>표준용어정의서, 도메인정의서, 코드정의서</t>
    <phoneticPr fontId="0" type="noConversion"/>
  </si>
  <si>
    <t>데이터베이스설계서, 데이터 아키텍처 구조도
데이터 요구사항 명세서
논리데이터모델다이어그램
엔티티정의서
애트리뷰트정의서
물리데이터모델다이어그램
테이블정의서
컬럼정의서</t>
    <phoneticPr fontId="0" type="noConversion"/>
  </si>
  <si>
    <t>인수테스트 계획서/결과서</t>
    <phoneticPr fontId="0" type="noConversion"/>
  </si>
  <si>
    <t>단위테스트 계획서/결과서</t>
    <phoneticPr fontId="0" type="noConversion"/>
  </si>
  <si>
    <t>기술적용 계획표/결과표</t>
    <phoneticPr fontId="0" type="noConversion"/>
  </si>
  <si>
    <t>위험관리계획서</t>
    <phoneticPr fontId="0" type="noConversion"/>
  </si>
  <si>
    <t>검수요청서(검수계획서 포함)</t>
  </si>
  <si>
    <t>- 툴팁 기능을 활용한 도움말 기능 제공
- 사용자 친화적, 직관적, 일관적인 화면구성 제공</t>
    <phoneticPr fontId="0" type="noConversion"/>
  </si>
  <si>
    <t>노동선
정기찬</t>
    <phoneticPr fontId="0" type="noConversion"/>
  </si>
  <si>
    <t>김태겸
윤종화</t>
    <phoneticPr fontId="0" type="noConversion"/>
  </si>
  <si>
    <t>김태겸
심정환
윤종화
윤성한</t>
    <phoneticPr fontId="0" type="noConversion"/>
  </si>
  <si>
    <t>심정환</t>
    <phoneticPr fontId="0" type="noConversion"/>
  </si>
  <si>
    <t>노동선
김정훈</t>
    <phoneticPr fontId="0" type="noConversion"/>
  </si>
  <si>
    <t>김재근</t>
    <phoneticPr fontId="0" type="noConversion"/>
  </si>
  <si>
    <t>김태겸</t>
    <phoneticPr fontId="0" type="noConversion"/>
  </si>
  <si>
    <t>김태겸
김재근</t>
    <phoneticPr fontId="0" type="noConversion"/>
  </si>
  <si>
    <t>심정환
전지광</t>
    <phoneticPr fontId="0" type="noConversion"/>
  </si>
  <si>
    <t>LXPFA_SFR_003_IN_001</t>
    <phoneticPr fontId="15" type="noConversion"/>
  </si>
  <si>
    <t>클라우드 통합 운영관리 포털 고도화_내부망 및 외부망 통합 관리 시스템 구축</t>
    <phoneticPr fontId="15" type="noConversion"/>
  </si>
  <si>
    <t>(SFR-003)운영관리 포털 연동
- 내부망,외부망 괸리</t>
    <phoneticPr fontId="15" type="noConversion"/>
  </si>
  <si>
    <t>클라우드 통합 운영관리 포털 고도화_
통합 관리 시스템 행정망 적용</t>
    <phoneticPr fontId="15" type="noConversion"/>
  </si>
  <si>
    <t>(SFR-003)행정망 관리
- 행정망 VM 관리</t>
    <phoneticPr fontId="15" type="noConversion"/>
  </si>
  <si>
    <t>클라우드 통합 운영관리 포털 고도화_IaaS, PaaS 자원 통합 관리</t>
    <phoneticPr fontId="15" type="noConversion"/>
  </si>
  <si>
    <t>(SFR-003)인프라 자원관리
- IaaS, PaaS 관리</t>
    <phoneticPr fontId="15" type="noConversion"/>
  </si>
  <si>
    <t>클라우드 통합 운영관리 포털 고도화_VM 모니터링 스크립트 자동화</t>
    <phoneticPr fontId="15" type="noConversion"/>
  </si>
  <si>
    <t xml:space="preserve">(SFR-003)운영관리 포털 기능
- 자동실행 스크립트 관리
</t>
    <phoneticPr fontId="15" type="noConversion"/>
  </si>
  <si>
    <t>클라우드 통합 운영관리 포털 고도화_외부기관 인프라 모니터링 및 계정관리</t>
    <phoneticPr fontId="15" type="noConversion"/>
  </si>
  <si>
    <t>(SFR-003)사용자맞춤형포털 권한 관리 및 수요기관 모니터링 페이지 개발
- 그룹, 역할, 사용자별 관리
- 수요기관 별 할당된 리소스 관리</t>
    <phoneticPr fontId="15" type="noConversion"/>
  </si>
  <si>
    <t>클라우드 통합 운영관리 포털 고도화_Container 및 PaaS 형상관리</t>
    <phoneticPr fontId="15" type="noConversion"/>
  </si>
  <si>
    <t>클라우드 통합 운영관리 포털 고도화_필요 프레임워크 및 라이브러리 설정</t>
    <phoneticPr fontId="15" type="noConversion"/>
  </si>
  <si>
    <t>클라우드 통합 운영관리 포털 고도화_네트워크 구성 설정 기능 고도화</t>
    <phoneticPr fontId="15" type="noConversion"/>
  </si>
  <si>
    <t>(SFR-003) 네트워크 구성설정 고도화
- 보안 관리 기능</t>
    <phoneticPr fontId="15" type="noConversion"/>
  </si>
  <si>
    <t>클라우드 통합 운영관리 포털 고도화_VM 로드밸런싱 관리기능</t>
    <phoneticPr fontId="15" type="noConversion"/>
  </si>
  <si>
    <t>(SFR-003) 네트워크 관리기능 고도화
- VM 로드밸런싱 관리 기능</t>
    <phoneticPr fontId="15" type="noConversion"/>
  </si>
  <si>
    <t>클라우드 통합 운영관리 포털 고도화_스토리지 장비 모니터링</t>
    <phoneticPr fontId="15" type="noConversion"/>
  </si>
  <si>
    <t>(SFR-003) 스토리지 모니터링 및 관리
- 스토리지 볼륨 관리 기능</t>
    <phoneticPr fontId="15" type="noConversion"/>
  </si>
  <si>
    <t>클라우드 통합 운영관리 포털 고도화_사용자 맞춤형 포털 생성 자동화 기능 구현</t>
    <phoneticPr fontId="15" type="noConversion"/>
  </si>
  <si>
    <t>(SFR-003) 사용자맞춤형포털 생성 프로세스 고도화
- 포털 생성을 위한 요소 관리</t>
    <phoneticPr fontId="15" type="noConversion"/>
  </si>
  <si>
    <t>클라우드 통합 운영관리 포털 고도화_사용자 맞춤형 포털 DBMS 관리</t>
    <phoneticPr fontId="15" type="noConversion"/>
  </si>
  <si>
    <t>클라우드 통합 운영관리 포털 고도화_운영중인 VM 파악 및 이관</t>
    <phoneticPr fontId="15" type="noConversion"/>
  </si>
  <si>
    <t>클라우드 통합 운영관리 포털 고도화_실험사업팜의 통합개발환경 구성 전환</t>
    <phoneticPr fontId="15" type="noConversion"/>
  </si>
  <si>
    <t>클라우드 통합 운영관리 포털 고도화_GPU서버 구성 및 통합 관리 시스템 연동</t>
    <phoneticPr fontId="15" type="noConversion"/>
  </si>
  <si>
    <t>김정훈</t>
    <phoneticPr fontId="15" type="noConversion"/>
  </si>
  <si>
    <t>김태겸</t>
    <phoneticPr fontId="15" type="noConversion"/>
  </si>
  <si>
    <t>LXPFA_SFR_006_2D_002</t>
  </si>
  <si>
    <t>LXPFA_SFR_006_2D_003</t>
  </si>
  <si>
    <t>LXPFA_SFR_006_2D_004</t>
  </si>
  <si>
    <t>LXPFA_SFR_006_2D_005</t>
  </si>
  <si>
    <t>LXPFA_SFR_013_2D_002</t>
  </si>
  <si>
    <t>LXPFA_SFR_013_2D_003</t>
  </si>
  <si>
    <t>LXPFA_SFR_013_2D_004</t>
  </si>
  <si>
    <t>LXPFA_SFR_013_2D_005</t>
  </si>
  <si>
    <t>LXPFA_SFR_013_2D_006</t>
  </si>
  <si>
    <t>LXPFA_SFR_013_2D_007</t>
  </si>
  <si>
    <t>LXPFA_SFR_013_2D_010</t>
  </si>
  <si>
    <t>LXPFA_SFR_014_2D_002</t>
  </si>
  <si>
    <t>LXPFA_SFR_014_2D_003</t>
  </si>
  <si>
    <t>LXPFA_SFR_014_2D_004</t>
  </si>
  <si>
    <t>LXPFA_SFR_014_2D_005</t>
  </si>
  <si>
    <t>LXPFA_SFR_014_2D_006</t>
  </si>
  <si>
    <t>LXPFA_SFR_014_2D_007</t>
  </si>
  <si>
    <t>LXPFA_SFR_014_2D_008</t>
  </si>
  <si>
    <t>LXPFA_SFR_014_2D_009</t>
  </si>
  <si>
    <t>LXPFA_SFR_014_2D_010</t>
  </si>
  <si>
    <t>LXPFA_SFR_014_2D_011</t>
  </si>
  <si>
    <t>LXPFA_SFR_014_2D_012</t>
  </si>
  <si>
    <t>LXPFA_SFR_014_2D_013</t>
  </si>
  <si>
    <t>LXPFA_SFR_014_2D_014</t>
  </si>
  <si>
    <t>LXPFA_SFR_014_2D_015</t>
  </si>
  <si>
    <t>LXPFA_SFR_014_2D_016</t>
  </si>
  <si>
    <t>LXPFA_SFR_014_2D_017</t>
  </si>
  <si>
    <t>LXPFA_SFR_015_2D_002</t>
  </si>
  <si>
    <t>LXPFA_SFR_015_2D_003</t>
  </si>
  <si>
    <t>LXPFA_SFR_015_2D_004</t>
  </si>
  <si>
    <t>LXPFA_SFR_015_2D_005</t>
  </si>
  <si>
    <t>LXPFA_SFR_015_2D_006</t>
  </si>
  <si>
    <t>LXPFA_SFR_015_2D_007</t>
  </si>
  <si>
    <t>LXPFA_SFR_015_2D_008</t>
  </si>
  <si>
    <t>LXPFA_SFR_015_2D_010</t>
  </si>
  <si>
    <t>LXPFA_SFR_015_2D_011</t>
  </si>
  <si>
    <t>LXPFA_SFR_015_2D_012</t>
  </si>
  <si>
    <t>LXPFA_SFR_015_2D_013</t>
  </si>
  <si>
    <t>LXPFA_SFR_015_2D_014</t>
  </si>
  <si>
    <t>LXPFA_SFR_015_2D_015</t>
  </si>
  <si>
    <t>LXPFA_SFR_015_2D_016</t>
  </si>
  <si>
    <t>LXPFA_SFR_015_2D_017</t>
  </si>
  <si>
    <t>LXPFA_SFR_016_2D_002</t>
  </si>
  <si>
    <t>LXPFA_SFR_016_2D_003</t>
  </si>
  <si>
    <t>LXPFA_SFR_016_2D_004</t>
  </si>
  <si>
    <t>LXPFA_SFR_016_2D_005</t>
  </si>
  <si>
    <t>LXPFA_SFR_016_2D_006</t>
  </si>
  <si>
    <t>LXPFA_SFR_016_2D_007</t>
  </si>
  <si>
    <t>LXPFA_SFR_016_2D_008</t>
  </si>
  <si>
    <t>LXPFA_SFR_016_2D_009</t>
  </si>
  <si>
    <t>LXPFA_SFR_017_2D_002</t>
  </si>
  <si>
    <t>LXPFA_SFR_017_2D_003</t>
  </si>
  <si>
    <t>LXPFA_SFR_017_2D_004</t>
  </si>
  <si>
    <t>LXPFA_SFR_017_2D_005</t>
  </si>
  <si>
    <t>LXPFA_SFR_017_2D_006</t>
  </si>
  <si>
    <t>LXPFA_SFR_017_2D_007</t>
  </si>
  <si>
    <t>LXPFA_SFR_018_2D_002</t>
  </si>
  <si>
    <t>LXPFA_SFR_018_2D_003</t>
  </si>
  <si>
    <t>LXPFA_SFR_023_2D_002</t>
  </si>
  <si>
    <t>LXPFA_SFR_023_2D_003</t>
  </si>
  <si>
    <t>LXPFA_SFR_023_2D_004</t>
  </si>
  <si>
    <t>LXPFA_SFR_023_2D_005</t>
  </si>
  <si>
    <t>LXPFA_SFR_023_2D_006</t>
  </si>
  <si>
    <t>LXPFA_SFR_023_2D_007</t>
  </si>
  <si>
    <t>LXPFA_SFR_023_2D_008</t>
  </si>
  <si>
    <t>LXPFA_SFR_024_2D_002</t>
  </si>
  <si>
    <t>LXPFA_SFR_024_2D_003</t>
  </si>
  <si>
    <t>LXPFA_SFR_024_2D_004</t>
  </si>
  <si>
    <t>LXPFA_SFR_024_2D_005</t>
  </si>
  <si>
    <t>LXPFA_SFR_024_2D_006</t>
  </si>
  <si>
    <t>디지털 시장실 고도화
- 실시간 정보 연계 및 시각화 고도화</t>
    <phoneticPr fontId="15" type="noConversion"/>
  </si>
  <si>
    <t>LXPFA_SFR_024_2D_007</t>
  </si>
  <si>
    <t>LXPFA_SFR_024_2D_008</t>
  </si>
  <si>
    <t>LXPFA_SFR_024_2D_009</t>
  </si>
  <si>
    <t>LXPFA_SFR_025_2D_002</t>
  </si>
  <si>
    <t>LXPFA_SFR_027_2D_002</t>
  </si>
  <si>
    <t>LXPFA_SFR_027_2D_003</t>
  </si>
  <si>
    <t>해당 요구사항은 비기능 요구사항(일정관리)으로 판단하여 기능에서 제외하여 관리</t>
    <phoneticPr fontId="15" type="noConversion"/>
  </si>
  <si>
    <t>LXPFA_SFR_027_2D_004</t>
  </si>
  <si>
    <t xml:space="preserve">개발환경 파트 </t>
    <phoneticPr fontId="15" type="noConversion"/>
  </si>
  <si>
    <t>심정환</t>
  </si>
  <si>
    <t>■ API의 신규/변경 건에 대한 버전 관리 기능.
 - 신규 생성시 버전 할당 후 수정시 마다 버전Update</t>
    <phoneticPr fontId="15" type="noConversion"/>
  </si>
  <si>
    <t>가이드제어 
가이드 GUI툴 관리</t>
    <phoneticPr fontId="15" type="noConversion"/>
  </si>
  <si>
    <t>■ 헬스 체크 헬스 체크 저장</t>
    <phoneticPr fontId="15" type="noConversion"/>
  </si>
  <si>
    <t>■ 헬스 체크 갱신 및  헬스 체크 리스트 조회</t>
    <phoneticPr fontId="15" type="noConversion"/>
  </si>
  <si>
    <t xml:space="preserve"> 사용 BI TOOL 확인 후 Data 연계 API 제공 </t>
    <phoneticPr fontId="0" type="noConversion"/>
  </si>
  <si>
    <t>심민섭</t>
    <phoneticPr fontId="15" type="noConversion"/>
  </si>
  <si>
    <r>
      <rPr>
        <sz val="11"/>
        <rFont val="Segoe UI Symbol"/>
        <family val="3"/>
      </rPr>
      <t xml:space="preserve">■  </t>
    </r>
    <r>
      <rPr>
        <sz val="11"/>
        <rFont val="맑은 고딕"/>
        <family val="3"/>
        <charset val="129"/>
      </rPr>
      <t>분석</t>
    </r>
    <r>
      <rPr>
        <sz val="11"/>
        <rFont val="Calibri"/>
        <family val="3"/>
      </rPr>
      <t xml:space="preserve"> </t>
    </r>
    <r>
      <rPr>
        <sz val="11"/>
        <rFont val="맑은 고딕"/>
        <family val="3"/>
        <charset val="129"/>
      </rPr>
      <t>할</t>
    </r>
    <r>
      <rPr>
        <sz val="11"/>
        <rFont val="Calibri"/>
        <family val="3"/>
      </rPr>
      <t xml:space="preserve"> </t>
    </r>
    <r>
      <rPr>
        <sz val="11"/>
        <rFont val="맑은 고딕"/>
        <family val="3"/>
        <charset val="129"/>
      </rPr>
      <t>데이터가</t>
    </r>
    <r>
      <rPr>
        <sz val="11"/>
        <rFont val="Calibri"/>
        <family val="3"/>
      </rPr>
      <t xml:space="preserve"> </t>
    </r>
    <r>
      <rPr>
        <sz val="11"/>
        <rFont val="맑은 고딕"/>
        <family val="3"/>
        <charset val="129"/>
      </rPr>
      <t>충분히</t>
    </r>
    <r>
      <rPr>
        <sz val="11"/>
        <rFont val="Calibri"/>
        <family val="3"/>
      </rPr>
      <t xml:space="preserve"> </t>
    </r>
    <r>
      <rPr>
        <sz val="11"/>
        <rFont val="맑은 고딕"/>
        <family val="3"/>
        <charset val="129"/>
      </rPr>
      <t>있어야함</t>
    </r>
    <r>
      <rPr>
        <sz val="11"/>
        <rFont val="Calibri"/>
        <family val="3"/>
      </rPr>
      <t xml:space="preserve"> -
  -  </t>
    </r>
    <r>
      <rPr>
        <sz val="11"/>
        <rFont val="맑은 고딕"/>
        <family val="3"/>
        <charset val="129"/>
      </rPr>
      <t>단순히</t>
    </r>
    <r>
      <rPr>
        <sz val="11"/>
        <rFont val="Calibri"/>
        <family val="3"/>
      </rPr>
      <t xml:space="preserve"> 3D </t>
    </r>
    <r>
      <rPr>
        <sz val="11"/>
        <rFont val="맑은 고딕"/>
        <family val="3"/>
        <charset val="129"/>
      </rPr>
      <t>데이터만</t>
    </r>
    <r>
      <rPr>
        <sz val="11"/>
        <rFont val="Calibri"/>
        <family val="3"/>
      </rPr>
      <t xml:space="preserve"> </t>
    </r>
    <r>
      <rPr>
        <sz val="11"/>
        <rFont val="맑은 고딕"/>
        <family val="3"/>
        <charset val="129"/>
      </rPr>
      <t>많으면</t>
    </r>
    <r>
      <rPr>
        <sz val="11"/>
        <rFont val="Calibri"/>
        <family val="3"/>
      </rPr>
      <t xml:space="preserve"> </t>
    </r>
    <r>
      <rPr>
        <sz val="11"/>
        <rFont val="맑은 고딕"/>
        <family val="3"/>
        <charset val="129"/>
      </rPr>
      <t>되는게</t>
    </r>
    <r>
      <rPr>
        <sz val="11"/>
        <rFont val="Calibri"/>
        <family val="3"/>
      </rPr>
      <t xml:space="preserve"> </t>
    </r>
    <r>
      <rPr>
        <sz val="11"/>
        <rFont val="맑은 고딕"/>
        <family val="3"/>
        <charset val="129"/>
      </rPr>
      <t xml:space="preserve">아니라,
    </t>
    </r>
    <r>
      <rPr>
        <sz val="11"/>
        <rFont val="Calibri"/>
        <family val="3"/>
      </rPr>
      <t xml:space="preserve">3D </t>
    </r>
    <r>
      <rPr>
        <sz val="11"/>
        <rFont val="맑은 고딕"/>
        <family val="3"/>
        <charset val="129"/>
      </rPr>
      <t>데이터</t>
    </r>
    <r>
      <rPr>
        <sz val="11"/>
        <rFont val="Calibri"/>
        <family val="3"/>
      </rPr>
      <t xml:space="preserve"> </t>
    </r>
    <r>
      <rPr>
        <sz val="11"/>
        <rFont val="맑은 고딕"/>
        <family val="3"/>
        <charset val="129"/>
      </rPr>
      <t>하나마다</t>
    </r>
    <r>
      <rPr>
        <sz val="11"/>
        <rFont val="Calibri"/>
        <family val="3"/>
      </rPr>
      <t xml:space="preserve"> </t>
    </r>
    <r>
      <rPr>
        <sz val="11"/>
        <rFont val="맑은 고딕"/>
        <family val="3"/>
        <charset val="129"/>
      </rPr>
      <t>분석할</t>
    </r>
    <r>
      <rPr>
        <sz val="11"/>
        <rFont val="Calibri"/>
        <family val="3"/>
      </rPr>
      <t xml:space="preserve"> </t>
    </r>
    <r>
      <rPr>
        <sz val="11"/>
        <rFont val="맑은 고딕"/>
        <family val="3"/>
        <charset val="129"/>
      </rPr>
      <t>대상에</t>
    </r>
    <r>
      <rPr>
        <sz val="11"/>
        <rFont val="Calibri"/>
        <family val="3"/>
      </rPr>
      <t xml:space="preserve"> </t>
    </r>
    <r>
      <rPr>
        <sz val="11"/>
        <rFont val="맑은 고딕"/>
        <family val="3"/>
        <charset val="129"/>
      </rPr>
      <t>대한</t>
    </r>
    <r>
      <rPr>
        <sz val="11"/>
        <rFont val="Calibri"/>
        <family val="3"/>
      </rPr>
      <t xml:space="preserve"> </t>
    </r>
    <r>
      <rPr>
        <sz val="11"/>
        <rFont val="맑은 고딕"/>
        <family val="3"/>
        <charset val="129"/>
      </rPr>
      <t xml:space="preserve">결과파일
    </t>
    </r>
    <r>
      <rPr>
        <sz val="11"/>
        <rFont val="Calibri"/>
        <family val="3"/>
      </rPr>
      <t>(</t>
    </r>
    <r>
      <rPr>
        <sz val="11"/>
        <rFont val="맑은 고딕"/>
        <family val="3"/>
        <charset val="129"/>
      </rPr>
      <t>레이블링</t>
    </r>
    <r>
      <rPr>
        <sz val="11"/>
        <rFont val="Calibri"/>
        <family val="3"/>
      </rPr>
      <t>)</t>
    </r>
    <r>
      <rPr>
        <sz val="11"/>
        <rFont val="맑은 고딕"/>
        <family val="3"/>
        <charset val="129"/>
      </rPr>
      <t>이</t>
    </r>
    <r>
      <rPr>
        <sz val="11"/>
        <rFont val="Calibri"/>
        <family val="3"/>
      </rPr>
      <t xml:space="preserve"> </t>
    </r>
    <r>
      <rPr>
        <sz val="11"/>
        <rFont val="맑은 고딕"/>
        <family val="3"/>
        <charset val="129"/>
      </rPr>
      <t>필요함</t>
    </r>
    <r>
      <rPr>
        <sz val="11"/>
        <rFont val="Calibri"/>
        <family val="3"/>
      </rPr>
      <t xml:space="preserve">(ex. 2D </t>
    </r>
    <r>
      <rPr>
        <sz val="11"/>
        <rFont val="맑은 고딕"/>
        <family val="3"/>
        <charset val="129"/>
      </rPr>
      <t>이미지에서</t>
    </r>
    <r>
      <rPr>
        <sz val="11"/>
        <rFont val="Calibri"/>
        <family val="3"/>
      </rPr>
      <t xml:space="preserve"> </t>
    </r>
    <r>
      <rPr>
        <sz val="11"/>
        <rFont val="맑은 고딕"/>
        <family val="3"/>
        <charset val="129"/>
      </rPr>
      <t>집의</t>
    </r>
    <r>
      <rPr>
        <sz val="11"/>
        <rFont val="Calibri"/>
        <family val="3"/>
      </rPr>
      <t xml:space="preserve"> </t>
    </r>
    <r>
      <rPr>
        <sz val="11"/>
        <rFont val="맑은 고딕"/>
        <family val="3"/>
        <charset val="129"/>
      </rPr>
      <t>좌표</t>
    </r>
    <r>
      <rPr>
        <sz val="11"/>
        <rFont val="Calibri"/>
        <family val="3"/>
      </rPr>
      <t xml:space="preserve">)
</t>
    </r>
    <r>
      <rPr>
        <sz val="11"/>
        <rFont val="Segoe UI Symbol"/>
        <family val="3"/>
      </rPr>
      <t xml:space="preserve">■ </t>
    </r>
    <r>
      <rPr>
        <sz val="11"/>
        <rFont val="Calibri"/>
        <family val="3"/>
      </rPr>
      <t xml:space="preserve">AI </t>
    </r>
    <r>
      <rPr>
        <sz val="11"/>
        <rFont val="맑은 고딕"/>
        <family val="3"/>
        <charset val="129"/>
      </rPr>
      <t>모델 만들 자원 부족 
  - 2D 이미지도 AI 모델 만들기에 RAM이 부족함
    3D 이미지는 현 상태에서는 구현이 어려움</t>
    </r>
    <r>
      <rPr>
        <sz val="11"/>
        <rFont val="Calibri"/>
        <family val="3"/>
      </rPr>
      <t xml:space="preserve">
</t>
    </r>
    <r>
      <rPr>
        <sz val="11"/>
        <rFont val="Segoe UI Symbol"/>
        <family val="3"/>
      </rPr>
      <t>■</t>
    </r>
    <r>
      <rPr>
        <sz val="11"/>
        <rFont val="Calibri"/>
        <family val="3"/>
      </rPr>
      <t xml:space="preserve"> </t>
    </r>
    <r>
      <rPr>
        <sz val="11"/>
        <rFont val="맑은 고딕"/>
        <family val="3"/>
        <charset val="129"/>
      </rPr>
      <t>모델</t>
    </r>
    <r>
      <rPr>
        <sz val="11"/>
        <rFont val="Calibri"/>
        <family val="3"/>
      </rPr>
      <t xml:space="preserve"> </t>
    </r>
    <r>
      <rPr>
        <sz val="11"/>
        <rFont val="맑은 고딕"/>
        <family val="3"/>
        <charset val="129"/>
      </rPr>
      <t>개발이</t>
    </r>
    <r>
      <rPr>
        <sz val="11"/>
        <rFont val="Calibri"/>
        <family val="3"/>
      </rPr>
      <t xml:space="preserve"> </t>
    </r>
    <r>
      <rPr>
        <sz val="11"/>
        <rFont val="맑은 고딕"/>
        <family val="3"/>
        <charset val="129"/>
      </rPr>
      <t>아닌</t>
    </r>
    <r>
      <rPr>
        <sz val="11"/>
        <rFont val="Calibri"/>
        <family val="3"/>
      </rPr>
      <t xml:space="preserve"> </t>
    </r>
    <r>
      <rPr>
        <sz val="11"/>
        <rFont val="맑은 고딕"/>
        <family val="3"/>
        <charset val="129"/>
      </rPr>
      <t>데이터</t>
    </r>
    <r>
      <rPr>
        <sz val="11"/>
        <rFont val="Calibri"/>
        <family val="3"/>
      </rPr>
      <t xml:space="preserve"> </t>
    </r>
    <r>
      <rPr>
        <sz val="11"/>
        <rFont val="맑은 고딕"/>
        <family val="3"/>
        <charset val="129"/>
      </rPr>
      <t>구성</t>
    </r>
    <r>
      <rPr>
        <sz val="11"/>
        <rFont val="Calibri"/>
        <family val="3"/>
      </rPr>
      <t xml:space="preserve">
- </t>
    </r>
    <r>
      <rPr>
        <sz val="11"/>
        <rFont val="맑은 고딕"/>
        <family val="3"/>
        <charset val="129"/>
      </rPr>
      <t>데이터</t>
    </r>
    <r>
      <rPr>
        <sz val="11"/>
        <rFont val="Calibri"/>
        <family val="3"/>
      </rPr>
      <t xml:space="preserve"> </t>
    </r>
    <r>
      <rPr>
        <sz val="11"/>
        <rFont val="맑은 고딕"/>
        <family val="3"/>
        <charset val="129"/>
      </rPr>
      <t>구성에</t>
    </r>
    <r>
      <rPr>
        <sz val="11"/>
        <rFont val="Calibri"/>
        <family val="3"/>
      </rPr>
      <t xml:space="preserve"> </t>
    </r>
    <r>
      <rPr>
        <sz val="11"/>
        <rFont val="맑은 고딕"/>
        <family val="3"/>
        <charset val="129"/>
      </rPr>
      <t>집중하자면</t>
    </r>
    <r>
      <rPr>
        <sz val="11"/>
        <rFont val="Calibri"/>
        <family val="3"/>
      </rPr>
      <t xml:space="preserve"> </t>
    </r>
    <r>
      <rPr>
        <sz val="11"/>
        <rFont val="맑은 고딕"/>
        <family val="3"/>
        <charset val="129"/>
      </rPr>
      <t>업로드</t>
    </r>
    <r>
      <rPr>
        <sz val="11"/>
        <rFont val="Calibri"/>
        <family val="3"/>
      </rPr>
      <t xml:space="preserve"> </t>
    </r>
    <r>
      <rPr>
        <sz val="11"/>
        <rFont val="맑은 고딕"/>
        <family val="3"/>
        <charset val="129"/>
      </rPr>
      <t>대상</t>
    </r>
    <r>
      <rPr>
        <sz val="11"/>
        <rFont val="Calibri"/>
        <family val="3"/>
      </rPr>
      <t xml:space="preserve"> </t>
    </r>
    <r>
      <rPr>
        <sz val="11"/>
        <rFont val="맑은 고딕"/>
        <family val="3"/>
        <charset val="129"/>
      </rPr>
      <t>포맷</t>
    </r>
    <r>
      <rPr>
        <sz val="11"/>
        <rFont val="Calibri"/>
        <family val="3"/>
      </rPr>
      <t xml:space="preserve">, </t>
    </r>
    <r>
      <rPr>
        <sz val="11"/>
        <rFont val="맑은 고딕"/>
        <family val="3"/>
        <charset val="129"/>
      </rPr>
      <t>업로드</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 xml:space="preserve">필요한
 </t>
    </r>
    <r>
      <rPr>
        <sz val="11"/>
        <rFont val="Calibri"/>
        <family val="3"/>
      </rPr>
      <t xml:space="preserve"> </t>
    </r>
    <r>
      <rPr>
        <sz val="11"/>
        <rFont val="맑은 고딕"/>
        <family val="3"/>
        <charset val="129"/>
      </rPr>
      <t>다른</t>
    </r>
    <r>
      <rPr>
        <sz val="11"/>
        <rFont val="Calibri"/>
        <family val="3"/>
      </rPr>
      <t xml:space="preserve"> </t>
    </r>
    <r>
      <rPr>
        <sz val="11"/>
        <rFont val="맑은 고딕"/>
        <family val="3"/>
        <charset val="129"/>
      </rPr>
      <t>정보</t>
    </r>
    <r>
      <rPr>
        <sz val="11"/>
        <rFont val="Calibri"/>
        <family val="3"/>
      </rPr>
      <t>(</t>
    </r>
    <r>
      <rPr>
        <sz val="11"/>
        <rFont val="맑은 고딕"/>
        <family val="3"/>
        <charset val="129"/>
      </rPr>
      <t>예</t>
    </r>
    <r>
      <rPr>
        <sz val="11"/>
        <rFont val="Calibri"/>
        <family val="3"/>
      </rPr>
      <t xml:space="preserve">, </t>
    </r>
    <r>
      <rPr>
        <sz val="11"/>
        <rFont val="맑은 고딕"/>
        <family val="3"/>
        <charset val="129"/>
      </rPr>
      <t>데이터</t>
    </r>
    <r>
      <rPr>
        <sz val="11"/>
        <rFont val="Calibri"/>
        <family val="3"/>
      </rPr>
      <t xml:space="preserve"> </t>
    </r>
    <r>
      <rPr>
        <sz val="11"/>
        <rFont val="맑은 고딕"/>
        <family val="3"/>
        <charset val="129"/>
      </rPr>
      <t>취득</t>
    </r>
    <r>
      <rPr>
        <sz val="11"/>
        <rFont val="Calibri"/>
        <family val="3"/>
      </rPr>
      <t xml:space="preserve"> </t>
    </r>
    <r>
      <rPr>
        <sz val="11"/>
        <rFont val="맑은 고딕"/>
        <family val="3"/>
        <charset val="129"/>
      </rPr>
      <t>연도</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어떤</t>
    </r>
    <r>
      <rPr>
        <sz val="11"/>
        <rFont val="Calibri"/>
        <family val="3"/>
      </rPr>
      <t xml:space="preserve"> </t>
    </r>
    <r>
      <rPr>
        <sz val="11"/>
        <rFont val="맑은 고딕"/>
        <family val="3"/>
        <charset val="129"/>
      </rPr>
      <t>것이</t>
    </r>
    <r>
      <rPr>
        <sz val="11"/>
        <rFont val="Calibri"/>
        <family val="3"/>
      </rPr>
      <t xml:space="preserve"> </t>
    </r>
    <r>
      <rPr>
        <sz val="11"/>
        <rFont val="맑은 고딕"/>
        <family val="3"/>
        <charset val="129"/>
      </rPr>
      <t>있는지</t>
    </r>
    <r>
      <rPr>
        <sz val="11"/>
        <rFont val="Calibri"/>
        <family val="3"/>
      </rPr>
      <t xml:space="preserve"> </t>
    </r>
    <r>
      <rPr>
        <sz val="11"/>
        <rFont val="맑은 고딕"/>
        <family val="3"/>
        <charset val="129"/>
      </rPr>
      <t>명확히</t>
    </r>
    <r>
      <rPr>
        <sz val="11"/>
        <rFont val="Calibri"/>
        <family val="3"/>
      </rPr>
      <t xml:space="preserve"> 
  </t>
    </r>
    <r>
      <rPr>
        <sz val="11"/>
        <rFont val="맑은 고딕"/>
        <family val="3"/>
        <charset val="129"/>
      </rPr>
      <t>해야함</t>
    </r>
    <r>
      <rPr>
        <sz val="11"/>
        <rFont val="Calibri"/>
        <family val="3"/>
      </rPr>
      <t xml:space="preserve">
- </t>
    </r>
    <r>
      <rPr>
        <sz val="11"/>
        <rFont val="맑은 고딕"/>
        <family val="3"/>
        <charset val="129"/>
      </rPr>
      <t>기존</t>
    </r>
    <r>
      <rPr>
        <sz val="11"/>
        <rFont val="Calibri"/>
        <family val="3"/>
      </rPr>
      <t xml:space="preserve"> </t>
    </r>
    <r>
      <rPr>
        <sz val="11"/>
        <rFont val="맑은 고딕"/>
        <family val="3"/>
        <charset val="129"/>
      </rPr>
      <t>데이터</t>
    </r>
    <r>
      <rPr>
        <sz val="11"/>
        <rFont val="Calibri"/>
        <family val="3"/>
      </rPr>
      <t xml:space="preserve"> </t>
    </r>
    <r>
      <rPr>
        <sz val="11"/>
        <rFont val="맑은 고딕"/>
        <family val="3"/>
        <charset val="129"/>
      </rPr>
      <t>업로드</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데이터</t>
    </r>
    <r>
      <rPr>
        <sz val="11"/>
        <rFont val="Calibri"/>
        <family val="3"/>
      </rPr>
      <t xml:space="preserve"> </t>
    </r>
    <r>
      <rPr>
        <sz val="11"/>
        <rFont val="맑은 고딕"/>
        <family val="3"/>
        <charset val="129"/>
      </rPr>
      <t>저장</t>
    </r>
    <r>
      <rPr>
        <sz val="11"/>
        <rFont val="Calibri"/>
        <family val="3"/>
      </rPr>
      <t xml:space="preserve"> </t>
    </r>
    <r>
      <rPr>
        <sz val="11"/>
        <rFont val="맑은 고딕"/>
        <family val="3"/>
        <charset val="129"/>
      </rPr>
      <t>용량</t>
    </r>
    <r>
      <rPr>
        <sz val="11"/>
        <rFont val="Calibri"/>
        <family val="3"/>
      </rPr>
      <t xml:space="preserve"> </t>
    </r>
    <r>
      <rPr>
        <sz val="11"/>
        <rFont val="맑은 고딕"/>
        <family val="3"/>
        <charset val="129"/>
      </rPr>
      <t>확보</t>
    </r>
    <r>
      <rPr>
        <sz val="11"/>
        <rFont val="Calibri"/>
        <family val="3"/>
      </rPr>
      <t xml:space="preserve"> </t>
    </r>
    <r>
      <rPr>
        <sz val="11"/>
        <rFont val="맑은 고딕"/>
        <family val="3"/>
        <charset val="129"/>
      </rPr>
      <t>필요</t>
    </r>
    <phoneticPr fontId="15" type="noConversion"/>
  </si>
  <si>
    <t>■ 현재 샌드박스는 파이썬 기반 모델이 작동하도록 구성
   - 다양한 이기종 프로그램 중 파이썬 기반이 아닌 경우
    샌드박스 백그라운드부터 작업을 해야하는 상황
  - 원하는 프로그램 목록 Listup 이후 샌드박스에서 추가적으로 
    지원 가능한 언어인지 확인 후에 지원 가능한 프로그램 목록
    Listup이 가능할 것
■ 단, 별도의 Web Framework 로 작동하는 프로그램인 경우
    파이썬 언어에 종속되지 않음
 - 하지만 WEB Framework 지원 가능한 프로그램인지 확인 필요</t>
    <phoneticPr fontId="15" type="noConversion"/>
  </si>
  <si>
    <t xml:space="preserve">
■ 통합플랫폼의 정의부터 필요
■ 통합플랫폼에서 지원하는 서비스가 어떤 것인지, 
    어떤 결과가 도출되는지 등 정의가 필요
■ 샌드박스 결과 항목 중 어떠한 결과를 어떠한 방법으로 
   시각화하길 원하는지 항목 및 가시화 요구사항 정의가 필요</t>
    <phoneticPr fontId="15" type="noConversion"/>
  </si>
  <si>
    <t>■ 명확하게 어떤 컬럼의 값 전체면 가능하겠지만, 
    문자열 전체에서 가명처리 할 부분을 찾거나, 
    이미지에서 보안처리할 영역을 자동으로 지정하는건 어려움
■ '서울시 송파구 삼전동 xxx는 송파구 소유의 토지이며 
    홍길동이 대여중이다.' 라는 데이터에서 가명처리를 하려면
    '홍길동'을 특별히 추출해낼 방법이 없음. 
    이 때는 가명처리 어려움
■ 테이블 형태로 정의되었다면 처리 가능
   ('주소' 컬럼, '소유자' 컬럼, '대여자' 컬럼 
  -&gt; (ex. {'주소':삼전동 xxx, '소유자':'송파구', '대여자': '홍길동'} )
■ 가명처리, 보안처리 등은 어떤 시점에서 실행되는가
■  어떤 결과에서 어떤 항목을 가명 / 보안처리 하길 원하는지
     기능 정의가 필요</t>
    <phoneticPr fontId="15" type="noConversion"/>
  </si>
  <si>
    <r>
      <t>■</t>
    </r>
    <r>
      <rPr>
        <sz val="11"/>
        <rFont val="Calibri"/>
        <family val="3"/>
      </rPr>
      <t xml:space="preserve"> </t>
    </r>
    <r>
      <rPr>
        <sz val="11"/>
        <rFont val="맑은 고딕"/>
        <family val="3"/>
        <charset val="129"/>
      </rPr>
      <t>일반</t>
    </r>
    <r>
      <rPr>
        <sz val="11"/>
        <rFont val="Calibri"/>
        <family val="3"/>
      </rPr>
      <t xml:space="preserve"> / </t>
    </r>
    <r>
      <rPr>
        <sz val="11"/>
        <rFont val="맑은 고딕"/>
        <family val="3"/>
        <charset val="129"/>
      </rPr>
      <t>전문가</t>
    </r>
    <r>
      <rPr>
        <sz val="11"/>
        <rFont val="Calibri"/>
        <family val="3"/>
      </rPr>
      <t xml:space="preserve"> </t>
    </r>
    <r>
      <rPr>
        <sz val="11"/>
        <rFont val="맑은 고딕"/>
        <family val="3"/>
        <charset val="129"/>
      </rPr>
      <t>별</t>
    </r>
    <r>
      <rPr>
        <sz val="11"/>
        <rFont val="Calibri"/>
        <family val="3"/>
      </rPr>
      <t xml:space="preserve"> </t>
    </r>
    <r>
      <rPr>
        <sz val="11"/>
        <rFont val="맑은 고딕"/>
        <family val="3"/>
        <charset val="129"/>
      </rPr>
      <t>접근</t>
    </r>
    <r>
      <rPr>
        <sz val="11"/>
        <rFont val="Calibri"/>
        <family val="3"/>
      </rPr>
      <t xml:space="preserve"> </t>
    </r>
    <r>
      <rPr>
        <sz val="11"/>
        <rFont val="맑은 고딕"/>
        <family val="3"/>
        <charset val="129"/>
      </rPr>
      <t>가능한</t>
    </r>
    <r>
      <rPr>
        <sz val="11"/>
        <rFont val="Calibri"/>
        <family val="3"/>
      </rPr>
      <t xml:space="preserve"> </t>
    </r>
    <r>
      <rPr>
        <sz val="11"/>
        <rFont val="맑은 고딕"/>
        <family val="3"/>
        <charset val="129"/>
      </rPr>
      <t>레포팅</t>
    </r>
    <r>
      <rPr>
        <sz val="11"/>
        <rFont val="Calibri"/>
        <family val="3"/>
      </rPr>
      <t xml:space="preserve"> </t>
    </r>
    <r>
      <rPr>
        <sz val="11"/>
        <rFont val="맑은 고딕"/>
        <family val="3"/>
        <charset val="129"/>
      </rPr>
      <t>항목</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다른지</t>
    </r>
    <r>
      <rPr>
        <sz val="11"/>
        <rFont val="Calibri"/>
        <family val="3"/>
      </rPr>
      <t xml:space="preserve">
</t>
    </r>
    <r>
      <rPr>
        <sz val="11"/>
        <rFont val="맑은 고딕"/>
        <family val="3"/>
        <charset val="129"/>
      </rPr>
      <t>■</t>
    </r>
    <r>
      <rPr>
        <sz val="11"/>
        <rFont val="Calibri"/>
        <family val="3"/>
      </rPr>
      <t xml:space="preserve">  </t>
    </r>
    <r>
      <rPr>
        <sz val="11"/>
        <rFont val="맑은 고딕"/>
        <family val="3"/>
        <charset val="129"/>
      </rPr>
      <t>각</t>
    </r>
    <r>
      <rPr>
        <sz val="11"/>
        <rFont val="Calibri"/>
        <family val="3"/>
      </rPr>
      <t xml:space="preserve"> </t>
    </r>
    <r>
      <rPr>
        <sz val="11"/>
        <rFont val="맑은 고딕"/>
        <family val="3"/>
        <charset val="129"/>
      </rPr>
      <t>접근</t>
    </r>
    <r>
      <rPr>
        <sz val="11"/>
        <rFont val="Calibri"/>
        <family val="3"/>
      </rPr>
      <t xml:space="preserve"> </t>
    </r>
    <r>
      <rPr>
        <sz val="11"/>
        <rFont val="맑은 고딕"/>
        <family val="3"/>
        <charset val="129"/>
      </rPr>
      <t>권한</t>
    </r>
    <r>
      <rPr>
        <sz val="11"/>
        <rFont val="Calibri"/>
        <family val="3"/>
      </rPr>
      <t xml:space="preserve"> </t>
    </r>
    <r>
      <rPr>
        <sz val="11"/>
        <rFont val="맑은 고딕"/>
        <family val="3"/>
        <charset val="129"/>
      </rPr>
      <t>별</t>
    </r>
    <r>
      <rPr>
        <sz val="11"/>
        <rFont val="Calibri"/>
        <family val="3"/>
      </rPr>
      <t xml:space="preserve"> </t>
    </r>
    <r>
      <rPr>
        <sz val="11"/>
        <rFont val="맑은 고딕"/>
        <family val="3"/>
        <charset val="129"/>
      </rPr>
      <t>필요한</t>
    </r>
    <r>
      <rPr>
        <sz val="11"/>
        <rFont val="Calibri"/>
        <family val="3"/>
      </rPr>
      <t xml:space="preserve"> </t>
    </r>
    <r>
      <rPr>
        <sz val="11"/>
        <rFont val="맑은 고딕"/>
        <family val="3"/>
        <charset val="129"/>
      </rPr>
      <t>레포팅</t>
    </r>
    <r>
      <rPr>
        <sz val="11"/>
        <rFont val="Calibri"/>
        <family val="3"/>
      </rPr>
      <t xml:space="preserve"> </t>
    </r>
    <r>
      <rPr>
        <sz val="11"/>
        <rFont val="맑은 고딕"/>
        <family val="3"/>
        <charset val="129"/>
      </rPr>
      <t>항목이</t>
    </r>
    <r>
      <rPr>
        <sz val="11"/>
        <rFont val="Calibri"/>
        <family val="3"/>
      </rPr>
      <t xml:space="preserve"> </t>
    </r>
    <r>
      <rPr>
        <sz val="11"/>
        <rFont val="맑은 고딕"/>
        <family val="3"/>
        <charset val="129"/>
      </rPr>
      <t>무엇인지</t>
    </r>
    <r>
      <rPr>
        <sz val="11"/>
        <rFont val="Calibri"/>
        <family val="3"/>
      </rPr>
      <t xml:space="preserve"> </t>
    </r>
    <r>
      <rPr>
        <sz val="11"/>
        <rFont val="맑은 고딕"/>
        <family val="3"/>
        <charset val="129"/>
      </rPr>
      <t>정의</t>
    </r>
    <r>
      <rPr>
        <sz val="11"/>
        <rFont val="Calibri"/>
        <family val="3"/>
      </rPr>
      <t xml:space="preserve"> </t>
    </r>
    <r>
      <rPr>
        <sz val="11"/>
        <rFont val="맑은 고딕"/>
        <family val="3"/>
        <charset val="129"/>
      </rPr>
      <t>필요</t>
    </r>
    <r>
      <rPr>
        <sz val="11"/>
        <rFont val="Calibri"/>
        <family val="3"/>
      </rPr>
      <t xml:space="preserve">
</t>
    </r>
    <r>
      <rPr>
        <sz val="11"/>
        <rFont val="맑은 고딕"/>
        <family val="3"/>
        <charset val="129"/>
      </rPr>
      <t>■</t>
    </r>
    <r>
      <rPr>
        <sz val="11"/>
        <rFont val="Calibri"/>
        <family val="3"/>
      </rPr>
      <t xml:space="preserve">  </t>
    </r>
    <r>
      <rPr>
        <sz val="11"/>
        <rFont val="맑은 고딕"/>
        <family val="3"/>
        <charset val="129"/>
      </rPr>
      <t>최종</t>
    </r>
    <r>
      <rPr>
        <sz val="11"/>
        <rFont val="Calibri"/>
        <family val="3"/>
      </rPr>
      <t xml:space="preserve"> </t>
    </r>
    <r>
      <rPr>
        <sz val="11"/>
        <rFont val="맑은 고딕"/>
        <family val="3"/>
        <charset val="129"/>
      </rPr>
      <t>레포팅은</t>
    </r>
    <r>
      <rPr>
        <sz val="11"/>
        <rFont val="Calibri"/>
        <family val="3"/>
      </rPr>
      <t xml:space="preserve"> </t>
    </r>
    <r>
      <rPr>
        <sz val="11"/>
        <rFont val="맑은 고딕"/>
        <family val="3"/>
        <charset val="129"/>
      </rPr>
      <t>언제</t>
    </r>
    <r>
      <rPr>
        <sz val="11"/>
        <rFont val="Calibri"/>
        <family val="3"/>
      </rPr>
      <t xml:space="preserve"> / </t>
    </r>
    <r>
      <rPr>
        <sz val="11"/>
        <rFont val="맑은 고딕"/>
        <family val="3"/>
        <charset val="129"/>
      </rPr>
      <t>어디서</t>
    </r>
    <r>
      <rPr>
        <sz val="11"/>
        <rFont val="Calibri"/>
        <family val="3"/>
      </rPr>
      <t xml:space="preserve"> </t>
    </r>
    <r>
      <rPr>
        <sz val="11"/>
        <rFont val="맑은 고딕"/>
        <family val="3"/>
        <charset val="129"/>
      </rPr>
      <t>실행하게</t>
    </r>
    <r>
      <rPr>
        <sz val="11"/>
        <rFont val="Calibri"/>
        <family val="3"/>
      </rPr>
      <t xml:space="preserve"> </t>
    </r>
    <r>
      <rPr>
        <sz val="11"/>
        <rFont val="맑은 고딕"/>
        <family val="3"/>
        <charset val="129"/>
      </rPr>
      <t>될건지</t>
    </r>
    <r>
      <rPr>
        <sz val="11"/>
        <rFont val="Calibri"/>
        <family val="3"/>
      </rPr>
      <t xml:space="preserve"> </t>
    </r>
    <r>
      <rPr>
        <sz val="11"/>
        <rFont val="맑은 고딕"/>
        <family val="3"/>
        <charset val="129"/>
      </rPr>
      <t>기능</t>
    </r>
    <r>
      <rPr>
        <sz val="11"/>
        <rFont val="Calibri"/>
        <family val="3"/>
      </rPr>
      <t xml:space="preserve"> </t>
    </r>
    <r>
      <rPr>
        <sz val="11"/>
        <rFont val="맑은 고딕"/>
        <family val="3"/>
        <charset val="129"/>
      </rPr>
      <t>정의도</t>
    </r>
    <r>
      <rPr>
        <sz val="11"/>
        <rFont val="Calibri"/>
        <family val="3"/>
      </rPr>
      <t xml:space="preserve"> </t>
    </r>
    <r>
      <rPr>
        <sz val="11"/>
        <rFont val="맑은 고딕"/>
        <family val="3"/>
        <charset val="129"/>
      </rPr>
      <t>필요</t>
    </r>
    <phoneticPr fontId="15" type="noConversion"/>
  </si>
  <si>
    <t>■ 구축된 DATA 에 대한 데이터 연계 API만 제공 가능</t>
    <phoneticPr fontId="15" type="noConversion"/>
  </si>
  <si>
    <t xml:space="preserve">■ 회원이나 관리자 계정 기능 필요
■ 신청부터 반출까지 프로세스가 명확해야 함
■ 각 프로세스 별 기능이 명확히 정의할 필요가 있음
  - (예) 시스템 상 반출이 어떤 기능을 요구하는지 </t>
    <phoneticPr fontId="15" type="noConversion"/>
  </si>
  <si>
    <t>■ 각 계정 권한 별 자원 할당 등 접근 가능한  기능 목록 
    Listup 필요</t>
    <phoneticPr fontId="15" type="noConversion"/>
  </si>
  <si>
    <t>■ 제공 시점 및 제공 형태</t>
    <phoneticPr fontId="15" type="noConversion"/>
  </si>
  <si>
    <t>■  기존에 없던 기능으로 명확한 협의 필요</t>
    <phoneticPr fontId="15" type="noConversion"/>
  </si>
  <si>
    <r>
      <t>■</t>
    </r>
    <r>
      <rPr>
        <sz val="11"/>
        <rFont val="Calibri"/>
        <family val="3"/>
      </rPr>
      <t xml:space="preserve"> </t>
    </r>
    <r>
      <rPr>
        <sz val="11"/>
        <rFont val="맑은 고딕"/>
        <family val="3"/>
        <charset val="129"/>
      </rPr>
      <t xml:space="preserve"> 기존에 아예 없던 기능이라 명확한 협의 필요..
■ 사용 이력 기능에 대해 충분한 논의가 필요</t>
    </r>
    <phoneticPr fontId="15" type="noConversion"/>
  </si>
  <si>
    <r>
      <rPr>
        <b/>
        <sz val="11"/>
        <rFont val="맑은 고딕"/>
        <family val="3"/>
        <charset val="129"/>
      </rPr>
      <t xml:space="preserve">■ </t>
    </r>
    <r>
      <rPr>
        <sz val="11"/>
        <rFont val="맑은 고딕"/>
        <family val="3"/>
        <charset val="129"/>
      </rPr>
      <t xml:space="preserve">회원 및 관리자 기능 
</t>
    </r>
    <r>
      <rPr>
        <b/>
        <sz val="11"/>
        <rFont val="맑은 고딕"/>
        <family val="3"/>
        <charset val="129"/>
      </rPr>
      <t xml:space="preserve">■ </t>
    </r>
    <r>
      <rPr>
        <sz val="11"/>
        <rFont val="맑은 고딕"/>
        <family val="3"/>
        <charset val="129"/>
      </rPr>
      <t>일반 / 관리자 / 전문가 등 사용자 구분 및 접근 권한 등을 
   명확히 해야함
■ 회원 가입 등이 필요한 경우 필수적으로 입력해야하는
   항목이 무엇인지도 명확히 해야함</t>
    </r>
    <phoneticPr fontId="15" type="noConversion"/>
  </si>
  <si>
    <t>심민섭
심정환
노동선</t>
    <phoneticPr fontId="15" type="noConversion"/>
  </si>
  <si>
    <t>3차원 모델 저작 기능 개발
  · 지형 정보(DEM, DSM) 편집 및 저장 기능 구현</t>
    <phoneticPr fontId="15" type="noConversion"/>
  </si>
  <si>
    <t>(SFR-008)3D 데이터 모델러 기능 고도화</t>
    <phoneticPr fontId="15" type="noConversion"/>
  </si>
  <si>
    <t>김성철</t>
    <phoneticPr fontId="15" type="noConversion"/>
  </si>
  <si>
    <t>LXPFA_SFR_008_3D_003</t>
    <phoneticPr fontId="15" type="noConversion"/>
  </si>
  <si>
    <t xml:space="preserve">3차원 모델 Texture 편집 기능 구현
  · 실사 Texture 이외에 패턴 Texture로 변경 적용 기능 구현
</t>
    <phoneticPr fontId="15" type="noConversion"/>
  </si>
  <si>
    <t xml:space="preserve"> - 기존 모델 텍스처 체인지 기능(cs상  적용 권장)</t>
    <phoneticPr fontId="0" type="noConversion"/>
  </si>
  <si>
    <t>3dtiles 텍스처 속성 변경 처리 불가, 대체안 확인중</t>
    <phoneticPr fontId="15" type="noConversion"/>
  </si>
  <si>
    <t xml:space="preserve"> - 기존 모델 텍스처 체인지 기능(cs상  적용 권장) 기능 검토 확인 필요</t>
    <phoneticPr fontId="0" type="noConversion"/>
  </si>
  <si>
    <t>4dtiles 텍스처 속성 변경 처리 불가, 대체안 확인중</t>
  </si>
  <si>
    <t>보류</t>
    <phoneticPr fontId="0" type="noConversion"/>
  </si>
  <si>
    <t>객체 모델 갱신기능 고도화
  · 단일 또는 소규모 3차원 객체 모델 갱신 최적화 방안 제시(최적의 3D 타일 갱신 방안)
  · 소규모 3차원 모델 갱신 기능 구현</t>
    <phoneticPr fontId="15" type="noConversion"/>
  </si>
  <si>
    <t>- 분해/조립을 위한 세분화가 가능한 3D 객체 데이터 정의
- 언리얼엔진을 통한 3D 객체 분해/조립 애니메이션 웹 기능  젖구현
- 객체별 이동방향, 이동량, 순서 등을 사용자가 조정하는 기능
- 애니메이션 저장 및 객체와 연동하여 연혁 관리</t>
    <phoneticPr fontId="15" type="noConversion"/>
  </si>
  <si>
    <t>현단계 3d snap 기능 기술적인 한계 있음. 대체 방안 또는 대체 기능 방안 진행중</t>
    <phoneticPr fontId="15" type="noConversion"/>
  </si>
  <si>
    <t>현단계 4d snap 기능 기술적인 한계 있음. 대체 방안 또는 대체 기능 방안 진행중</t>
  </si>
  <si>
    <t>현단계 5d snap 기능 기술적인 한계 있음. 대체 방안 또는 대체 기능 방안 진행중</t>
  </si>
  <si>
    <t>윤종화</t>
    <phoneticPr fontId="15" type="noConversion"/>
  </si>
  <si>
    <r>
      <rPr>
        <strike/>
        <sz val="11"/>
        <rFont val="맑은 고딕"/>
        <family val="3"/>
        <charset val="129"/>
        <scheme val="minor"/>
      </rPr>
      <t>1. 건물 실내외 화재 발화지점 선택 및 확산에 대한 변수 설정
- 화재 발화지점 선택 기능
- 화재 확산에 대한 변수 설정</t>
    </r>
    <r>
      <rPr>
        <sz val="11"/>
        <rFont val="맑은 고딕"/>
        <family val="3"/>
        <charset val="129"/>
        <scheme val="minor"/>
      </rPr>
      <t xml:space="preserve">
'소음 공해 시뮬레이션: 
- 소음소스 점으로 소음 공해 시뮬레이션 구현</t>
    </r>
    <phoneticPr fontId="15" type="noConversion"/>
  </si>
  <si>
    <t xml:space="preserve">LXPFA_FP_010_001
LXPFA_FP_010_002
LXPFA_FP_010_009
</t>
  </si>
  <si>
    <t>아마르</t>
    <phoneticPr fontId="15" type="noConversion"/>
  </si>
  <si>
    <t>변경</t>
    <phoneticPr fontId="15" type="noConversion"/>
  </si>
  <si>
    <t xml:space="preserve"> LXPFA_3D_회의록(LX플랫폼 3D 시뮬레이션 요구사항 회의)_20230517_v01.hwp</t>
    <phoneticPr fontId="15" type="noConversion"/>
  </si>
  <si>
    <t xml:space="preserve">LXPFA_FP_010_003
LXPFA_FP_010_004
</t>
  </si>
  <si>
    <r>
      <t xml:space="preserve">3. (건물실외)바람길 시뮬레이션과 융합하여 지형 및 건물을 고려한 실외 연기확산 시뮬레이션 구현
- 바람길 시뮬레이션 융합
- 지형 반영 연기 확산 시뮬레이션
- 건물 반영 연기 확산 시뮬레이션
</t>
    </r>
    <r>
      <rPr>
        <sz val="11"/>
        <rFont val="맑은 고딕"/>
        <family val="3"/>
        <charset val="129"/>
        <scheme val="minor"/>
      </rPr>
      <t>'소음 공해 시뮬레이션: 
-  LOD1 건물의 높이를 고려해 3D환경에서 소음공해 시뮬레이션</t>
    </r>
    <phoneticPr fontId="15" type="noConversion"/>
  </si>
  <si>
    <t xml:space="preserve">LXPFA_FP_010_005
LXPFA_FP_010_006
</t>
  </si>
  <si>
    <r>
      <t xml:space="preserve">4. 건물 실내외 연동을 통한 시뮬레이션 구현
- 건물 실내외 연동 시뮬레이션 구현
</t>
    </r>
    <r>
      <rPr>
        <sz val="11"/>
        <rFont val="맑은 고딕"/>
        <family val="3"/>
        <charset val="129"/>
        <scheme val="minor"/>
      </rPr>
      <t>'소음 공해 시뮬레이션: 
- 사용자가 입력한 방음벽을 고려한 소음 시뮬레이션</t>
    </r>
    <phoneticPr fontId="15" type="noConversion"/>
  </si>
  <si>
    <t>LXPFA_FP_010_007
LXPFA_FP_010_008</t>
  </si>
  <si>
    <r>
      <t xml:space="preserve">5. 시물레이션 시간 및 속도 조절 기능 구현
- 시물레이션 시간 조절 기능
- 시물레이션 속도 조절 기능
</t>
    </r>
    <r>
      <rPr>
        <sz val="11"/>
        <rFont val="맑은 고딕"/>
        <family val="3"/>
        <charset val="129"/>
        <scheme val="minor"/>
      </rPr>
      <t>'소음 공해 시뮬레이션: 
- 아파트 등 단지별  소음공해 시뮬레이션</t>
    </r>
    <phoneticPr fontId="15" type="noConversion"/>
  </si>
  <si>
    <t xml:space="preserve">
LXPFA_FP_010_009
</t>
  </si>
  <si>
    <t xml:space="preserve">LXPFA_FP_010_010
</t>
    <phoneticPr fontId="15" type="noConversion"/>
  </si>
  <si>
    <t xml:space="preserve">1) 
- 지형 원점 부터 5~10미터 등 단위 설정 시뮬레이션 가능. 분석 고도 추가해서 총 5개 고도에서 시뮬레이션 구현 (그런데 cesium에서 받아드릴수 있는 메쉬 수를 넘기면 결과가 프론트에서 안보여지는 문제 있어 최대 개수를 태스트 해야함)
- 풍향 및 풍속 둘다 구형 가능
</t>
  </si>
  <si>
    <t xml:space="preserve">LXPFA_FP_010_011
LXPFA_FP_010_012
LXPFA_FP_010_013
</t>
    <phoneticPr fontId="15" type="noConversion"/>
  </si>
  <si>
    <t>2)
- 건물에 주는 바람 영향 시뮬레이션 가능
- 시설물에 주는바람 영향 시뮬레이션 불가능</t>
  </si>
  <si>
    <t>1. 하천 제방 등 하천 범람을 방지하기 위해 설치된 시설물과 지형 정보를 고려한 하천 범람 시뮬레이션을 구현하고，시뮬레이션 결과는 유동적 흐름으로 시각화
- 설치 시설물 고려 시뮬레이션 구현
- 지형 정보 고려 시뮬레이션 구현
- 시뮬레이션 결과 유동적 가시화</t>
  </si>
  <si>
    <t>LXPFA_FP_010_014
LXPFA_FP_010_015</t>
    <phoneticPr fontId="15" type="noConversion"/>
  </si>
  <si>
    <t>소프트웨어별 구현 방향 검토 중
 - HEC-RAS (오픈소스) 소프트웨어로 기능 구현이 가능한지 검토중 
- 테스트할 샘플 데이터 필요
- 상세 기능 협의중</t>
    <phoneticPr fontId="15" type="noConversion"/>
  </si>
  <si>
    <t xml:space="preserve">LXPFA_FP_010_015
LXPFA_FP_010_016
</t>
    <phoneticPr fontId="15" type="noConversion"/>
  </si>
  <si>
    <t>(SFR-011) 3차원 모델링 자동화 기능 개선</t>
  </si>
  <si>
    <t xml:space="preserve">LXPFA_FP_011_001
LXPFA_FP_011_002
LXPFA_FP_011_003
LXPFA_FP_011_004
LXPFA_FP_011_005
LXPFA_FP_011_006
LXPFA_FP_011_007
LXPFA_FP_011_008
LXPFA_FP_011_009
LXPFA_FP_011_010
LXPFA_FP_011_011
</t>
    <phoneticPr fontId="15" type="noConversion"/>
  </si>
  <si>
    <t xml:space="preserve">1) 
- dxf 도면에서 건축물 대지 레이어 받아 배치 가능 
- 도면에 맞게 건물 방향 설정 기능 구형 가능
- 선택된 대지 안에 건축물 위치와 방향이 맞게 자동으로 내보내기 기눙 구현
</t>
  </si>
  <si>
    <t xml:space="preserve">LXPFA_FP_011_004
LXPFA_FP_011_005
</t>
    <phoneticPr fontId="15" type="noConversion"/>
  </si>
  <si>
    <t>2) 
- 소화전 시설물은 구현 가능</t>
  </si>
  <si>
    <t xml:space="preserve">LXPFA_FP_011_003
LXPFA_FP_011_004
LXPFA_FP_011_005
</t>
    <phoneticPr fontId="15" type="noConversion"/>
  </si>
  <si>
    <t xml:space="preserve">
3)
- 메뉴얼에 곡면 외벽 레이어 따로 만들어 곡면 현태로 건물 구축
- 복잡도가 높은 건물 경사 외벽은 구현 불가능하지만 간단한 건물은 구축 가능성 높음으로 테스트 구축 필요. 
– 연결 브릿지 알고리즘 개발
- 박공 지붕 알고리즘 개발, 단 한 건축물에 지붕 현태가 다양하게 다르게 들어온 건물을 구축 불가.
</t>
    <phoneticPr fontId="15" type="noConversion"/>
  </si>
  <si>
    <t xml:space="preserve">LXPFA_FP_011_012
LXPFA_FP_011_013
</t>
    <phoneticPr fontId="15" type="noConversion"/>
  </si>
  <si>
    <t xml:space="preserve">4)
- 건축물 실이름 호실 속성값 dxf에서 받고 건물 결과파일에 입력 알고리즘 구축
- 화면에서 실내모델 속성 편집은 온품이랑 확인 필요
- 화면에서 시설물 속성 입력은 dxf 파일에서 text으로 입력 받는 알고리즘 구축
- 화면에서 시설물 속성 편집 가능여푸 온품이랑 확인 필요
</t>
    <phoneticPr fontId="15" type="noConversion"/>
  </si>
  <si>
    <t>1. 기초자료 정제（정류장 생성, 도로 생성, 노선구간 구분점 생성）
- 정류장 생성
- 도로 생성
- 노선구간 구분점 생성</t>
  </si>
  <si>
    <t>(SFR-012) 플러그인 개발</t>
  </si>
  <si>
    <t xml:space="preserve">LXPFA_FP_012_001
</t>
    <phoneticPr fontId="15" type="noConversion"/>
  </si>
  <si>
    <t xml:space="preserve">LXPFA_FP_012_002
LXPFA_FP_012_003
LXPFA_FP_012_005
LXPFA_FP_012_006
LXPFA_FP_012_007
</t>
    <phoneticPr fontId="15" type="noConversion"/>
  </si>
  <si>
    <t xml:space="preserve">LXPFA_FP_012_004
LXPFA_FP_012_008
LXPFA_FP_012_009
</t>
    <phoneticPr fontId="15" type="noConversion"/>
  </si>
  <si>
    <t xml:space="preserve">LXPFA_FP_012_010
LXPFA_FP_012_011
LXPFA_FP_012_012
LXPFA_FP_012_013
</t>
    <phoneticPr fontId="15" type="noConversion"/>
  </si>
  <si>
    <t xml:space="preserve">LXPFA_FP_012_014
LXPFA_FP_012_015
</t>
    <phoneticPr fontId="15" type="noConversion"/>
  </si>
  <si>
    <t xml:space="preserve">LXPFA_FP_012_016
LXPFA_FP_012_017
LXPFA_FP_012_018
LXPFA_FP_012_019
</t>
    <phoneticPr fontId="15" type="noConversion"/>
  </si>
  <si>
    <t xml:space="preserve">LXPFA_FP_012_020
LXPFA_FP_012_021
</t>
    <phoneticPr fontId="15" type="noConversion"/>
  </si>
  <si>
    <t xml:space="preserve">LXPFA_FP_012_022
LXPFA_FP_012_023
LXPFA_FP_012_024
</t>
    <phoneticPr fontId="15" type="noConversion"/>
  </si>
  <si>
    <t xml:space="preserve">LXPFA_FP_012_027
LXPFA_FP_012_028
LXPFA_FP_012_029
</t>
    <phoneticPr fontId="15" type="noConversion"/>
  </si>
  <si>
    <t xml:space="preserve">LXPFA_FP_012_030
</t>
    <phoneticPr fontId="15" type="noConversion"/>
  </si>
  <si>
    <t>김태겸,
윤종화</t>
    <phoneticPr fontId="15" type="noConversion"/>
  </si>
  <si>
    <t xml:space="preserve"> 기 구축된 및 업데이트 될 디지털 트윈국토 서비스 대상 지자체 특화 서비스 적용가능하게 개발(서비스 호환성 유지할것)</t>
    <phoneticPr fontId="15" type="noConversion"/>
  </si>
  <si>
    <t>해당없음</t>
    <phoneticPr fontId="15" type="noConversion"/>
  </si>
  <si>
    <t>기술협삽_22.12.26</t>
    <phoneticPr fontId="15" type="noConversion"/>
  </si>
  <si>
    <t>박청</t>
    <phoneticPr fontId="15" type="noConversion"/>
  </si>
  <si>
    <t>LX 플랫폼 통합 아키텍처 구성
- 데이터 아키텍쳐 설계</t>
    <phoneticPr fontId="0" type="noConversion"/>
  </si>
  <si>
    <t>LX 플랫폼 통합 아키텍처 구성
- 어플리케이션 아키텍쳐 재설계</t>
    <phoneticPr fontId="0" type="noConversion"/>
  </si>
  <si>
    <t>LX 플랫폼 통합 아키텍처 구성
- 업무처리 아키텍쳐 재설계</t>
    <phoneticPr fontId="0" type="noConversion"/>
  </si>
  <si>
    <t>LX 플랫폼 통합 아키텍처 구성
- 인프라 아키텍쳐 재설계</t>
    <phoneticPr fontId="0" type="noConversion"/>
  </si>
  <si>
    <t>LX 플랫폼 통합 아키텍처 구성
-일반망 서비스의 접근을 위한 아키텍처 반영</t>
    <phoneticPr fontId="0" type="noConversion"/>
  </si>
  <si>
    <t>LX 플랫폼 통합 아키텍처 구성
- PaaS 활용을 통한 개발</t>
    <phoneticPr fontId="0" type="noConversion"/>
  </si>
  <si>
    <t>LX 플랫폼 통합 아키텍처 구성
- API 산출물 제공</t>
    <phoneticPr fontId="0" type="noConversion"/>
  </si>
  <si>
    <t xml:space="preserve">LX 플랫폼 통합 아키텍처 구성
- 기 구축된 솔루션 활용
</t>
    <phoneticPr fontId="0" type="noConversion"/>
  </si>
  <si>
    <t>통합아키텍처 구성에 따른 기능 재배치
- 플랫폼 통합 UI/UX 디자인 설게</t>
    <phoneticPr fontId="0" type="noConversion"/>
  </si>
  <si>
    <t>통합 개발환경 구축_LX플랫폼 개발자 지원 서비스 개발
- 기본기능 개발</t>
    <phoneticPr fontId="0" type="noConversion"/>
  </si>
  <si>
    <t>통합 개발환경 구축_LX플랫폼 개발자 지원 서비스 개발
- 개발 지원 샘플 및 정보 제공</t>
    <phoneticPr fontId="0" type="noConversion"/>
  </si>
  <si>
    <t>통합 개발환경 구축_LX플랫폼 개발자 지원 서비스 개발
- 연동기능 개발</t>
    <phoneticPr fontId="0" type="noConversion"/>
  </si>
  <si>
    <t>통합 개발환경 구축_개발자 지원 서비스 관리 기능
- 소스관리기능 개발</t>
    <phoneticPr fontId="0" type="noConversion"/>
  </si>
  <si>
    <t>통합 개발환경 구축_개발자 지원 서비스 관리 기능
- 인프라 관리기능 개발</t>
    <phoneticPr fontId="0" type="noConversion"/>
  </si>
  <si>
    <t>서비스 제작 도구 개발_지도 연관 BI포함  서비스 제작도구 고도화
- 지도연계 기능 개발</t>
    <phoneticPr fontId="0" type="noConversion"/>
  </si>
  <si>
    <t>서비스 제작 도구 개발_지도 연관 BI포함  서비스 제작도구 고도화
- 차트, 지도 등 개발 핸들링 기능 개발</t>
    <phoneticPr fontId="0" type="noConversion"/>
  </si>
  <si>
    <t>서비스 제작 도구 개발_지도 연관 BI포함  서비스 제작도구 고도화
- 데이터베이스 접근 기능 개발</t>
    <phoneticPr fontId="0" type="noConversion"/>
  </si>
  <si>
    <t>서비스 제작 도구 개발_구축된 서비스 모델의 등록 및 관리 기능 구현(관리자페이지)
- 목록관리 기능 개발</t>
    <phoneticPr fontId="0" type="noConversion"/>
  </si>
  <si>
    <t>서비스 제작 도구 개발_구축된 서비스 모델의 등록 및 관리 기능 구현(관리자페이지)
- 타 서비스 연계 기능 개발</t>
    <phoneticPr fontId="0" type="noConversion"/>
  </si>
  <si>
    <t>서비스 제작 도구 개발_구축된 서비스 모델의 등록 및 관리 기능 구현(관리자페이지)
- 공유 관리 기능 개발</t>
    <phoneticPr fontId="0" type="noConversion"/>
  </si>
  <si>
    <t>LXPFA_FP_006_001
LXPFA_FP_006_002
LXPFA_FP_006_003
LXPFA_FP_006_004
LXPFA_FP_006_005
LXPFA_FP_006_006
LXPFA_FP_006_007
LXPFA_FP_006_008
LXPFA_FP_006_009
LXPFA_FP_006_010</t>
    <phoneticPr fontId="15" type="noConversion"/>
  </si>
  <si>
    <t>(SFR-016) LX플랫폼(데이터서비스)기능 개발 및 고도화</t>
    <phoneticPr fontId="15" type="noConversion"/>
  </si>
  <si>
    <t>LXPFA_FP_016_025
LXPFA_FP_016_026
LXPFA_FP_016_027</t>
    <phoneticPr fontId="15" type="noConversion"/>
  </si>
  <si>
    <t>(SFR-023)입지분석(L.Value)기반 부동산가치평가 서비스</t>
  </si>
  <si>
    <t>(SFR-005)API 통합관리</t>
    <phoneticPr fontId="15" type="noConversion"/>
  </si>
  <si>
    <t>(SFR-007)샌드박스 기능 고도화</t>
    <phoneticPr fontId="15" type="noConversion"/>
  </si>
  <si>
    <t>(SFR-019)데이터 관리시스템 고도화</t>
    <phoneticPr fontId="15" type="noConversion"/>
  </si>
  <si>
    <t>(SFR-020)데이터 Agent 성능 고도화</t>
    <phoneticPr fontId="15" type="noConversion"/>
  </si>
  <si>
    <t>(SFR-022)IoT 관리체계 구축</t>
    <phoneticPr fontId="15" type="noConversion"/>
  </si>
  <si>
    <t>사업수행계획서
 제안서</t>
    <phoneticPr fontId="0" type="noConversion"/>
  </si>
  <si>
    <t>○ 계약일부터 준공일까지 유지관리 인력 : 월 1인 * 4개월 = 4 M/M 인력 지원하겠음</t>
    <phoneticPr fontId="0" type="noConversion"/>
  </si>
  <si>
    <t>하자보수계획서</t>
    <phoneticPr fontId="0" type="noConversion"/>
  </si>
  <si>
    <t>○ 유지관리 조직 및 인력
      - 투입 인력 정보 및 경력 증빙 자료 제출과 보안서약서 제출
      - 인력 교체 시 동급 이상 인력을 승인받은 후 15일내에 교체
         10일이내 인수인계 기간 후 LX 승인을 득함
      - 전산·정보시스템의 운영 상태를 점검하고 각종 대장 및 일지를 기록하여 확인
      - 투입 인력의 고의 또는 과실로 업무 태만 시 수행사가 책임을 짐
      - 투입 인력의 불가피한 사정으로 업무 수행이 어려울 경우 동급 이상 인력으로
        투입함</t>
    <phoneticPr fontId="0" type="noConversion"/>
  </si>
  <si>
    <t>하자보수계획서
정기점검결과서
수시점검결과서</t>
    <phoneticPr fontId="0" type="noConversion"/>
  </si>
  <si>
    <r>
      <t xml:space="preserve">○ LX플랫폼-데이터 및 가시화서비스 유지관리 내역
     - 프로그램 수정, 데이터 분류코드의 변경, 데이터베이스의 변경 등에 따른 보수
     - 웹 접근성, 웹 표준 개발 가이드라인 준수
     - 인프라 자원에 대한 OS 및 SW에 대한 최신 패치 및 업그레이드 수행
     - 플랫폼의 공간정보 가시화 속도 개선
    </t>
    </r>
    <r>
      <rPr>
        <sz val="11"/>
        <color theme="1"/>
        <rFont val="나눔고딕"/>
        <family val="3"/>
        <charset val="129"/>
      </rPr>
      <t xml:space="preserve"> - 전산센터 이전 시 시스템 이관 지원</t>
    </r>
    <r>
      <rPr>
        <sz val="11"/>
        <rFont val="나눔고딕"/>
        <family val="3"/>
        <charset val="129"/>
      </rPr>
      <t xml:space="preserve">
     - LX플랫폼 상시 점검인력 상주(1인 이상, LX공간정보혁신센터)
     - 클라우드 및 데이터 관리체계, 서비스 운영지원</t>
    </r>
    <phoneticPr fontId="0" type="noConversion"/>
  </si>
  <si>
    <t>○ LX플랫폼-데이터 및 가시화서비스 유지관리 정책
      - 인프라 자원 및 응용 소프트웨어 유지관리 수행함
      - 월 1회 이상 협의회 실시
      - 일일점검, 월간보고서 제출
      - SW형상관리
      - 지원 요청은 1일 처리를 기준, 5일 이상 미처리 경우 중기 미해결 과제
        1개월 이상 미처리 시 장기 미해결 과제로 분리하여 수시로 관리</t>
    <phoneticPr fontId="0" type="noConversion"/>
  </si>
  <si>
    <t>○ LX플랫폼-데이터 및 가시화서비스
      - 인프라 자원 및 응용 소프트웨어 유지관리 수행함</t>
    <phoneticPr fontId="0" type="noConversion"/>
  </si>
  <si>
    <t>○ 하자보수계획서 일상 하자보수 지원 시간과 장애 발생 시 야간/휴일 지원 계획을 제시함</t>
    <phoneticPr fontId="0" type="noConversion"/>
  </si>
  <si>
    <t>○ 하자보수계획서에 시스템의 안정성 및 신뢰성 확보와 장애시간을 최소화하기 위한 하자보수계획을 제시함.</t>
    <phoneticPr fontId="0" type="noConversion"/>
  </si>
  <si>
    <t>○ 검수 완료일로 부터 12개월간 하자보수를 책임짐</t>
    <phoneticPr fontId="0" type="noConversion"/>
  </si>
  <si>
    <t>교육계획서
교육결과서</t>
    <phoneticPr fontId="0" type="noConversion"/>
  </si>
  <si>
    <t>○ 교육계획에 시스템의 운영, 감시 및 보안, 비상복구 방법 등 시스템 구성방법 및 장애 대처 방법, 기타 운영에 관한 사항 등 시스템 운영 직원의 자체 유지관리 능력 배양을 위한 기술 이전 계획을 제시함</t>
    <phoneticPr fontId="0" type="noConversion"/>
  </si>
  <si>
    <t>○ 교육 일정, 장소, 내용, 교재 등 기타 제반사항은 LX 담당자와 상세 내용 협의함</t>
    <phoneticPr fontId="0" type="noConversion"/>
  </si>
  <si>
    <t>○ LX담당자 협의하여 교육 과정 추가 개설</t>
    <phoneticPr fontId="0" type="noConversion"/>
  </si>
  <si>
    <t>○ 교육에 따른 교재, 장소 등 소요경비는 수행사가 지원함</t>
    <phoneticPr fontId="0" type="noConversion"/>
  </si>
  <si>
    <t>○ 교육지원 방안
      - 교육 대상 : LX 관리자, 사용자
      - 교육 일정 : 시스템 개발 완료 후 LX 담당자와 일정 협의
      - 교육 내용 : LX플랫폼 아키텍처, 인프라, 3D/2D/데이터
      - 교육 장소 : LX 담당자와 일정 협의</t>
    <phoneticPr fontId="0" type="noConversion"/>
  </si>
  <si>
    <t>산출물관리대장(테일러링)
회의록</t>
    <phoneticPr fontId="0" type="noConversion"/>
  </si>
  <si>
    <t>○ 단계 별 산출물 리스트를 기반으로 LX와 산출물 작성 내역을 협의하여 관리함</t>
    <phoneticPr fontId="0" type="noConversion"/>
  </si>
  <si>
    <t>산출내역서
FP내역서</t>
    <phoneticPr fontId="0" type="noConversion"/>
  </si>
  <si>
    <t>○ 분석/설계/구현/테스트/시스템전환 후 FP를 정통법으로 산정 후 제출하겠음</t>
    <phoneticPr fontId="0" type="noConversion"/>
  </si>
  <si>
    <t>산출물관리대장(테일러링)</t>
    <phoneticPr fontId="0" type="noConversion"/>
  </si>
  <si>
    <t xml:space="preserve">○ 사업 수행 단계별로 해당 산출물을 적시에 보고 및 제출
      - 분석/설계 단계, 구현 및 단위테스트(3단계 스트린트), 통합/인수테스트, 시범운영, 시스템전환 등 사업 전 단계 산출물을 </t>
    <phoneticPr fontId="0" type="noConversion"/>
  </si>
  <si>
    <t>○ 검수요청서에 정보자원통합시스템(IRIS)에 최종 산출물 등록 여부를 검수 항목에 포함</t>
    <phoneticPr fontId="0" type="noConversion"/>
  </si>
  <si>
    <t>○ 수행사는 요구사항·인력·공정·이슈·산출물 관리 등 사업수행 과정의 각종 산출물을 공사 정보자원통합시스템(IRIS)에 등록하고 보고하겠음</t>
    <phoneticPr fontId="0" type="noConversion"/>
  </si>
  <si>
    <t>용역수행업체는 요구사항·인력·공정·이슈·산출물 관리 등 사업수행 과정의 각종 산출물을 공사 정보자원통합시스템(IRIS)에 등록하고 보고</t>
    <phoneticPr fontId="0" type="noConversion"/>
  </si>
  <si>
    <t>○ 검수시행
      - 최종 납품된 산출물 상태에서 기술검사 결과와 업무수행성 검사 수행하며 기존 계획과 일치하지 않는 경우 지체 없이 보완 후 재검사를 받겠음</t>
    <phoneticPr fontId="0" type="noConversion"/>
  </si>
  <si>
    <t>○ 검수요청서에 제안요청서, 제안서, 사업수행계획서, 사용자 요구 분석서를 통합한 요구내용 적용 여부, 적합 여부를 확인할 수 있는 체크리스트 및 상호 필요한 준비사항, 요소별 산출물을 명시하여 제출하겠음</t>
    <phoneticPr fontId="0" type="noConversion"/>
  </si>
  <si>
    <t>○ 검수 조건
      - 검수 요청 및 검수계획서에 따라 시작하고 완료 통보 문서로 종료
      - 계획서는 일정계획, 구축 및 검사 담당자, 검수대상 산출물 제시하겠음
      - 구축완료 후 프로젝트 진행 과정 중에 생산된 중간단계 자료와 이력관리 DB, 최종 산출물 목록은 누락 없이 제출하겠음</t>
    <phoneticPr fontId="0" type="noConversion"/>
  </si>
  <si>
    <t>제안서
사업수행계획서</t>
    <phoneticPr fontId="0" type="noConversion"/>
  </si>
  <si>
    <t>○ 수행사가 사업 진행 동안 사용할 도구는 저작권법 등 발주자와 소프트웨어 관리 규정을 준수하고, 불법 소프트웨어 사용과 관련하여 발생하는 문제에 대해서는 수행사가 모든 책임을 짐</t>
    <phoneticPr fontId="0" type="noConversion"/>
  </si>
  <si>
    <t>아키텍처설계서
총괄테스트계획서</t>
    <phoneticPr fontId="0" type="noConversion"/>
  </si>
  <si>
    <t>○ 개발/테스트 환경 구축
      - 개발/테스트 H/W 당산 프로젝트 사무실내 구축
      - 개발/테스트 S/W 당산 프로젝트 사무실내 구축</t>
    <phoneticPr fontId="0" type="noConversion"/>
  </si>
  <si>
    <t>○ 위험/이슈 보고 체계
      - 위험관리계획서에 위험/이슈 관리 방안 제시
      - 긴급 사항 발생 시 LX전주 본사와 화상회의</t>
    <phoneticPr fontId="0" type="noConversion"/>
  </si>
  <si>
    <t>○ 위험관리계획서에 방안제시함
      - 위험/이슈 관리,  보고체계, 추적 방안 제시</t>
    <phoneticPr fontId="0" type="noConversion"/>
  </si>
  <si>
    <t>총괄테스트계획서
성능테스트결과서</t>
  </si>
  <si>
    <t>○ 성능관리
      - 개발/단위테스트 완료 후 성능테스트 대상 시스템의 성능을 진단 후 목표 성능에 미달할 경우 원인 분석하여 조치하며, 불가항력적인 사유로 인하여 사업 기간내 조치가 어려울 경우 LX와 협의함</t>
    <phoneticPr fontId="0" type="noConversion"/>
  </si>
  <si>
    <t>데이터이관계획서
데이터이관결과서</t>
    <phoneticPr fontId="0" type="noConversion"/>
  </si>
  <si>
    <t>○ 데이터 누락 방지 계획 수립
      - 표준 데이터 이관 계획 수립
          · 데이터 이관 대상 DB 및 이관 유형 결정
          · 이관 방식 결정(툴, 매뉴얼) 등
      - 이관 계획 및 실행
      - 테스트 및 검증
      - Cut-Over</t>
    <phoneticPr fontId="0" type="noConversion"/>
  </si>
  <si>
    <t>○ 위험관리계획서에 진척/위험/변경사항의 관리 방안 및 지속적으로 문제를 파악 관리할 수 있는 방안 기술</t>
    <phoneticPr fontId="0" type="noConversion"/>
  </si>
  <si>
    <t>○ 위험관리계획서에보안, 일정지연, 품질저하에 따르는 예산초과 등 리스크 발생을 사전 예방하고 발생 시 사후 대처방안 기술</t>
    <phoneticPr fontId="0" type="noConversion"/>
  </si>
  <si>
    <t>요구사항정의서
요구사항 명세서
요구사항추적표
회의록</t>
    <phoneticPr fontId="0" type="noConversion"/>
  </si>
  <si>
    <t xml:space="preserve">○ 요구사항 기능/비기능 분석하여 구현방안 도출 후 LX 담당자와 설문/인터뷰 수행 및 관련 기술 회의 실시 </t>
    <phoneticPr fontId="0" type="noConversion"/>
  </si>
  <si>
    <t>요구사항정의서
요구사항 명세서
요구사항추적표</t>
    <phoneticPr fontId="0" type="noConversion"/>
  </si>
  <si>
    <t>○ 요구사항정의서/명세서에 기능/비기능 요구사항을 빠짐없이 관리하고 분석, 설계
     시험단계 등 개발 전 단계의 관련 산출물에 반영 여부를 확인할 수 있도록 요구사항추적
     표로 관리함</t>
    <phoneticPr fontId="0" type="noConversion"/>
  </si>
  <si>
    <t>주간보고서
월간보고서</t>
    <phoneticPr fontId="0" type="noConversion"/>
  </si>
  <si>
    <t>○ 프로젝트 일정 보고
      - 매주 목요일 주간보고
         :  공정 및 진행 상황, 업무 추진상 문제점 및 대안방안 보고
      - 매월 마지막주 월간보고
         :  공정 및 진행 상황, 업무 추진상 문제점 및 대안방안 보고</t>
    <phoneticPr fontId="0" type="noConversion"/>
  </si>
  <si>
    <t>착수계
사업수행계획서
착수보고서
중간보고서
최종보고서</t>
    <phoneticPr fontId="0" type="noConversion"/>
  </si>
  <si>
    <t xml:space="preserve">○착수/중간/최종 보고
     - 착수보고 : 계약일 14일이내에 착수보고 완료함.
     - 중간보고 : LX와 일정 협의하여 중간 보고
     - 최종보고 : 구현/테스트/시스템전환 후 LX와 일정 협의하여 최종 보고 </t>
    <phoneticPr fontId="0" type="noConversion"/>
  </si>
  <si>
    <t>WBS
제안서</t>
    <phoneticPr fontId="0" type="noConversion"/>
  </si>
  <si>
    <t>○ 일정관리
      - .WBS를 통해 기능/비기능 요구사항 사업관리/개발/아키텍처/인프라 등 업무에 개별
        Task로 일정 관리
'○ 진척/위험/변경관리 방안
      - 제안서, 사업수행계획서에 진척/위험/변경관리 방안 제시함</t>
    <phoneticPr fontId="0" type="noConversion"/>
  </si>
  <si>
    <t>총괄테스트계획서</t>
    <phoneticPr fontId="0" type="noConversion"/>
  </si>
  <si>
    <t>○ 개발/테스트를 위한 장비 및 소프트웨어 환경을 LX 승인하에 구축하였으며, 프로그램 소스의 형상관리는 GIT으로 문서자료는 SVN으로 구축함</t>
    <phoneticPr fontId="0" type="noConversion"/>
  </si>
  <si>
    <t>주간보고서
월간보고서
수시보고서
변경관리대장
WBS</t>
    <phoneticPr fontId="0" type="noConversion"/>
  </si>
  <si>
    <t>○ 보고체계
      - 주간보고 : 주별 목표관리, 진도관리, 변경관리, 성과관리 등 관리 및 보고
      - 월간보고 : 월별 목표관리, 진도관리, 변경관리, 성과관리 등 관리 및 보고
      - 수시보고 : 목표관리, 진도관리, 변경관리, 성과관리에 긴급 사항 발생 시 보고
      - WBS : 목표관리, 진도관리, 변경관리, 성과관리를 기능/비기능 및 업무별로 진척관리</t>
    <phoneticPr fontId="0" type="noConversion"/>
  </si>
  <si>
    <t>사업수행계획서
제안서</t>
    <phoneticPr fontId="0" type="noConversion"/>
  </si>
  <si>
    <t>○ '원시자료를 이용하여 사업을 수행하고자 할 때에는 지적소유권(저작권) 여부를 확인하고 사용하고, 고의 또는 과실로 이를 위반시 수행사가 책임을 짐</t>
    <phoneticPr fontId="0" type="noConversion"/>
  </si>
  <si>
    <t>○ 제안서, 사업수행계획서에 사업 관리를 위한 분석 및 설계 도구, 개발도구와 사업관리 기법을 제시함</t>
    <phoneticPr fontId="0" type="noConversion"/>
  </si>
  <si>
    <t>사업수행계획서
WBS</t>
    <phoneticPr fontId="0" type="noConversion"/>
  </si>
  <si>
    <t>○ 전체 및 세부 추진 일정 계획
      - 사업수행계획서 기 제출 완료
      - WBS에 사업관리/아키텍처/인프라/3D고도화/ 2D고도화/데이터/비기능 업무 별 상세 Task로 분류하여 추진 일정 계획 수립함</t>
    <phoneticPr fontId="0" type="noConversion"/>
  </si>
  <si>
    <t>○ 제안서, 사업수행계획서에 위험관리, 품질관리, 일정관리, 자원관리, 형상관리 등 프로젝트 관리 방법론을 통한 체계적인 사업 관리 방안을 제시함.</t>
    <phoneticPr fontId="0" type="noConversion"/>
  </si>
  <si>
    <t>요구/설계/구현 단계별 감리 시정조치 산출물</t>
    <phoneticPr fontId="0" type="noConversion"/>
  </si>
  <si>
    <t>○ 요구/설계/구현 등 단계 별 감리 후 시정조치 반영하여 산출물 작성 및 제출</t>
    <phoneticPr fontId="0" type="noConversion"/>
  </si>
  <si>
    <t>WBS</t>
    <phoneticPr fontId="0" type="noConversion"/>
  </si>
  <si>
    <t>○ 요구/설계/구현 등 단계 별 감리 시 일정 조율 및 적극 협조</t>
    <phoneticPr fontId="0" type="noConversion"/>
  </si>
  <si>
    <t>○ 요구/설계/구현 등 단계 별 감리 요청 산출물 제공</t>
    <phoneticPr fontId="0" type="noConversion"/>
  </si>
  <si>
    <t>○ 기술적용계획표에 따라 표준기술을 적용하고 검수 전 기술적용결과표를 작성하여 제출 하겠음</t>
    <phoneticPr fontId="0" type="noConversion"/>
  </si>
  <si>
    <t>○ 기술적용계획표 작성 후 제출</t>
    <phoneticPr fontId="0" type="noConversion"/>
  </si>
  <si>
    <t>사업수행계획서
회의록</t>
    <phoneticPr fontId="0" type="noConversion"/>
  </si>
  <si>
    <t>○ 관련 규정이 사업기간 중 변경되거나 새로 시행될 경우 변경된 규정 반영 준수함</t>
    <phoneticPr fontId="0" type="noConversion"/>
  </si>
  <si>
    <t>보안관리계획서
웹취약점진단계획/결과서</t>
    <phoneticPr fontId="0" type="noConversion"/>
  </si>
  <si>
    <t>○ 개인정보보호 관련 지침, 가이드, 기준 준수함</t>
    <phoneticPr fontId="0" type="noConversion"/>
  </si>
  <si>
    <t>보안관리계획서
시큐어진단결과서
웹취약점진단결과서</t>
    <phoneticPr fontId="0" type="noConversion"/>
  </si>
  <si>
    <r>
      <t>○ 본 사업 수행 시 아래 지침 및 가이드를 준수함
      - 행정기관 정보시스템 접근권한 관리규정(행정안전부)
      - 소프트웨어 개발보안 가이드(행정안전부)
      - 홈페이지 취약점 진단</t>
    </r>
    <r>
      <rPr>
        <sz val="11"/>
        <rFont val="Tahoma"/>
        <family val="3"/>
        <charset val="1"/>
      </rPr>
      <t>‧</t>
    </r>
    <r>
      <rPr>
        <sz val="11"/>
        <rFont val="나눔고딕"/>
        <family val="3"/>
        <charset val="129"/>
      </rPr>
      <t>제거 가이드(한국인터넷진흥원)
      - 웹사이트 SW(웹) 개발보안가이드(행정안전부)
      - 소프트웨어 보안약점 진단가이드(행정안전부)</t>
    </r>
    <phoneticPr fontId="0" type="noConversion"/>
  </si>
  <si>
    <r>
      <t>정보보안
  · 행정기관 정보시스템 접근권한 관리규정(행정안전부)
  · 소프트웨어 개발보안 가이드(행정안전부)
  · 홈페이지 취약점 진단</t>
    </r>
    <r>
      <rPr>
        <sz val="11"/>
        <rFont val="MS Mincho"/>
        <family val="3"/>
        <charset val="1"/>
      </rPr>
      <t>‧</t>
    </r>
    <r>
      <rPr>
        <sz val="11"/>
        <rFont val="맑은 고딕"/>
        <family val="3"/>
        <charset val="129"/>
        <scheme val="minor"/>
      </rPr>
      <t>제거 가이드(한국인터넷진흥원)
  · 웹사이트 SW(웹) 개발보안가이드(행정안전부)
  · 소프트웨어 보안약점 진단가이드(행정안전부)</t>
    </r>
    <phoneticPr fontId="0" type="noConversion"/>
  </si>
  <si>
    <t>사업수행계획서
아키텍처설계서</t>
    <phoneticPr fontId="0" type="noConversion"/>
  </si>
  <si>
    <t>○ 본 사업 수행 시 아래 지침 및 가이드를 준수함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t>
    <phoneticPr fontId="0" type="noConversion"/>
  </si>
  <si>
    <t>○ 본 사업 수행 시 아래 지침 및 가이드를 준수함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UI・UX가이드라인(행정안전부)
    - 공공기관의 데이터베이스 표준화 지침(행정안전부)</t>
    <phoneticPr fontId="0" type="noConversion"/>
  </si>
  <si>
    <r>
      <t>정보시스템 및 웹사이트 구축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t>
    </r>
    <r>
      <rPr>
        <sz val="11"/>
        <rFont val="MS Mincho"/>
        <family val="3"/>
        <charset val="128"/>
      </rPr>
      <t>・</t>
    </r>
    <r>
      <rPr>
        <sz val="11"/>
        <rFont val="맑은 고딕"/>
        <family val="3"/>
        <charset val="129"/>
        <scheme val="minor"/>
      </rPr>
      <t>UX가이드라인(행정안전부)
  · 공공기관의 데이터베이스 표준화 지침(행정안전부)</t>
    </r>
    <phoneticPr fontId="0" type="noConversion"/>
  </si>
  <si>
    <t>○ 사업 수행에서 완료까지 관련 법령 및 규칙, 지침, 표준 등을 준수함</t>
    <phoneticPr fontId="0" type="noConversion"/>
  </si>
  <si>
    <t>아키텍처설계서
단위테스트결과서
통합테스트결과서</t>
    <phoneticPr fontId="0" type="noConversion"/>
  </si>
  <si>
    <t>○ '응용소프트웨어 개발 시 공간정보 표준 적용하겠음</t>
    <phoneticPr fontId="0" type="noConversion"/>
  </si>
  <si>
    <t>○ 'OGC Web Service(WMS, WFS, WCS, WPS), FE(Filter Encoding), SLD(Styled Layer Descriptor), Format(CityGML, GML 등) 지원 하겠음</t>
    <phoneticPr fontId="0" type="noConversion"/>
  </si>
  <si>
    <t>아키텍처설계서</t>
    <phoneticPr fontId="0" type="noConversion"/>
  </si>
  <si>
    <t>○'플랫폼을 개발할 때 사용되거나 직접 구현되는 공간정보 관련 소프트웨어들은 OGC 표준을 준수함</t>
    <phoneticPr fontId="0" type="noConversion"/>
  </si>
  <si>
    <t>아키텍처설계서
웹접근성진단결과서
웹호환성진단결과서</t>
    <phoneticPr fontId="0" type="noConversion"/>
  </si>
  <si>
    <t>○ 웹사이트 표준성 및 보안성 강화를 위한 HTML5 사용 및 Active-x 사용 안함</t>
    <phoneticPr fontId="0" type="noConversion"/>
  </si>
  <si>
    <t>기술적용계획표</t>
    <phoneticPr fontId="0" type="noConversion"/>
  </si>
  <si>
    <t>○ '행정기관 및 공공기관 정보시스템 구축 운영 지침(행정안전부 고시 제2018-21호)의 기술적용계획표를 준수</t>
    <phoneticPr fontId="0" type="noConversion"/>
  </si>
  <si>
    <t>○ 개발 프레임워크는 전자정부 프레임워크를 적용</t>
    <phoneticPr fontId="0" type="noConversion"/>
  </si>
  <si>
    <t>품질관리계획서</t>
    <phoneticPr fontId="0" type="noConversion"/>
  </si>
  <si>
    <t>○ '데이터 품질관리, 표준화를 위해 공공기관의 데이터베이스 표준화 지침, 공공데이터 관리지침, 공공정보 품질관리 매뉴얼을 준수함</t>
    <phoneticPr fontId="0" type="noConversion"/>
  </si>
  <si>
    <t>○ 행정자치부 행정기관 및 공공기관 정보시스템 구축 운영 지침(행정안전부 고시 제2018-21호)을 준수함</t>
    <phoneticPr fontId="0" type="noConversion"/>
  </si>
  <si>
    <t xml:space="preserve">아키텍처설계서
단위테스트결과서
통합테스트결과서
인수테스트결과서
</t>
    <phoneticPr fontId="0" type="noConversion"/>
  </si>
  <si>
    <t>○ 신뢰성 및 이식성 보장
    - 시스템의 신뢰성과 이식성을 고려한 아키텍처를 설계하고, 이를 구현 후 단위테스트/통합테스트/인수테스트를 통해 확인함</t>
    <phoneticPr fontId="0" type="noConversion"/>
  </si>
  <si>
    <t>○ 상호 운용성
    - 정보시스템 및 기술표준과의 상호 운영성 아키텍처설계서에 정의함
    - 요구사항을 구현한 어프릴케이션 상호작용 기능의 정확성, 무결성, 데이터 정합성은 단위테스트/통합테스트/인수테스트를 통해 확인함</t>
    <phoneticPr fontId="0" type="noConversion"/>
  </si>
  <si>
    <t>화면설계서
사용자매뉴얼
운영자매뉴얼</t>
    <phoneticPr fontId="0" type="noConversion"/>
  </si>
  <si>
    <t>○ 분석/설계 단계에서 기능이해도와 인터페이스 이해도 요구 내용을 반영한 화면을 설계하고, 이를 구현함.</t>
    <phoneticPr fontId="0" type="noConversion"/>
  </si>
  <si>
    <t>사용자매뉴얼
운영자매뉴얼
교육계획서
교육결과서</t>
    <phoneticPr fontId="0" type="noConversion"/>
  </si>
  <si>
    <t>○ 설계/개발/테스트 완료 후 시스템 관리/운영에 필요한 사용자/운영자매뉴얼 제공 및 관련 담당자 교육 지원함
    - 대상 시스템 : 아키텍처/인프라/3D기능고도화/2D기능고도화/데이터
    - 교육/매뉴얼 대상 : LX 관련 담당자
    - 교육/매뉴얼 작성 : 아키텍처/인프라/3D기능고도화/2D기능고도화/데이터 PL</t>
    <phoneticPr fontId="0" type="noConversion"/>
  </si>
  <si>
    <t>장애대응매뉴얼</t>
    <phoneticPr fontId="0" type="noConversion"/>
  </si>
  <si>
    <t xml:space="preserve">○ 장애 조치 방안
    - 데이터센터 인프라 : 전력장치, 항온항습기, UPS 기 구성 이용
                               모니터링 및 장애 전파, 장애조치 LX 관리
    - 서버, 네트워크, 스토리지, CloudOS 
      : 장애 발생(자료 손실 등) 시 LX 관리
    - 업무용 어플리케이션
      : 본 사업에서 설계되고 구현된 업무용 어플리케이션 수행사 관리
        · 사업기간 내 : Iaas, Pass 등 설계/구현된 어플리케이션 장애 조치
                          자료 손실 시 개발시스템에서 복구 
        · 사업완료 후 : 하자보수계획서에 기술 </t>
    <phoneticPr fontId="0" type="noConversion"/>
  </si>
  <si>
    <t xml:space="preserve">○ 본 사업은 신규 하드웨어, 소프트웨어의 도입이 없어 기존 LX 백업절차를 준수함
    - 백업인프라 : 기 구성된 백업소프트웨어, 백업서버, 백업장치 사용
    - 백업정책 : 기 구성된 LX 백업 정책을 준수함
</t>
    <phoneticPr fontId="0" type="noConversion"/>
  </si>
  <si>
    <t>아키텍처설계서
총괄테스트계획서
시범운영결과서</t>
    <phoneticPr fontId="0" type="noConversion"/>
  </si>
  <si>
    <r>
      <t xml:space="preserve">○ 연중 무중단 서비스 제공을 위한 품질 보장
</t>
    </r>
    <r>
      <rPr>
        <sz val="11"/>
        <color theme="1"/>
        <rFont val="나눔고딕"/>
        <family val="3"/>
        <charset val="129"/>
      </rPr>
      <t xml:space="preserve">      - 목표 시스템은 1일 24시간, 365일 상시 운영 가용성을 보장
        -&gt; 무중단 서비스 운영을 위한 기본 데이터센터 인프라 구축(데이터센터 이중화, 전력송전선 이중화 인입, 내결함성 서버 등)이 구축 범위에서 벗어나, 가용성 보장을 위해
       VM/Docker 구성 시 이중화 구성, 스케일아웃 기능,  폴트도메인으로 구축함.
</t>
    </r>
    <r>
      <rPr>
        <sz val="11"/>
        <rFont val="나눔고딕"/>
        <family val="3"/>
        <charset val="129"/>
      </rPr>
      <t xml:space="preserve">
     - 모든 페이지(채널)에 동일한 결과를 생성하고 구현
       -&gt; 요구사항 기능 구현 상세방안을 요구사항명세서에 작성하고, LX의 승인 이후
           해당 기능을 구현/테스트/운영으로 전환함
      - 시범운영 동안 결함관리는 총괄테스트계획서(시범운영부분) 및 시범운영결과서에 기술</t>
    </r>
    <phoneticPr fontId="0" type="noConversion"/>
  </si>
  <si>
    <t>보안관리계획서
제안서
사업수행계획서</t>
    <phoneticPr fontId="0" type="noConversion"/>
  </si>
  <si>
    <t>○ 용업 수행 중 고의 또는 과실로 인하여 LX에 손해가 발생하면 이에 대한 책임을 짐</t>
    <phoneticPr fontId="0" type="noConversion"/>
  </si>
  <si>
    <t>○ LX의 보안 정책에 따라 보안관리 상태 점검을 받고, 시정 사항이 있을 시 성실히 따름</t>
    <phoneticPr fontId="0" type="noConversion"/>
  </si>
  <si>
    <t>○ 보안 사고 발생 시 관련 책임을짐</t>
    <phoneticPr fontId="0" type="noConversion"/>
  </si>
  <si>
    <t>○ 비밀/대외비 성과품 인쇄 시 LX담당자 입회하에 관련 정책을 따름</t>
    <phoneticPr fontId="0" type="noConversion"/>
  </si>
  <si>
    <t>○ 사업수행과정에서 발생한 각종 자료와 성과품을 발주처 정책에 따라 납품 및 관함</t>
    <phoneticPr fontId="0" type="noConversion"/>
  </si>
  <si>
    <r>
      <t>○ 자문회의 등 회의 자료에 본 과업내용이 포함될 경우에는 배포선을 감안하여 필요한 부수만 최소한으로 생산하여야 하며, 동 회의 시 사용한 자료와 과업수행 상 발생한 원지, 폐지 등의 자료는 정</t>
    </r>
    <r>
      <rPr>
        <sz val="11"/>
        <rFont val="Tahoma"/>
        <family val="3"/>
        <charset val="1"/>
      </rPr>
      <t>‧</t>
    </r>
    <r>
      <rPr>
        <sz val="11"/>
        <rFont val="나눔고딕"/>
        <family val="3"/>
        <charset val="129"/>
      </rPr>
      <t>부 보안관리 책임자 책임 하에 완전 회수</t>
    </r>
    <r>
      <rPr>
        <sz val="11"/>
        <rFont val="Tahoma"/>
        <family val="3"/>
        <charset val="1"/>
      </rPr>
      <t>‧</t>
    </r>
    <r>
      <rPr>
        <sz val="11"/>
        <rFont val="나눔고딕"/>
        <family val="3"/>
        <charset val="129"/>
      </rPr>
      <t>소각 하겠음</t>
    </r>
    <phoneticPr fontId="0" type="noConversion"/>
  </si>
  <si>
    <r>
      <t>과업수행 과정에서 자문회의 등 회의 자료에 본 과업내용이 포함될 경우에는 배포선을 감안하여 필요한 부수만 최소한으로 생산하여야 하며, 동 회의 시 사용한 자료와 과업수행 상 발생한 원지, 폐지 등의 자료는 정</t>
    </r>
    <r>
      <rPr>
        <sz val="11"/>
        <rFont val="MS Mincho"/>
        <family val="3"/>
        <charset val="1"/>
      </rPr>
      <t>‧</t>
    </r>
    <r>
      <rPr>
        <sz val="11"/>
        <rFont val="맑은 고딕"/>
        <family val="3"/>
        <charset val="129"/>
        <scheme val="minor"/>
      </rPr>
      <t>부 보안관리 책임자 책임 하에 완전 회수</t>
    </r>
    <r>
      <rPr>
        <sz val="11"/>
        <rFont val="MS Mincho"/>
        <family val="3"/>
        <charset val="1"/>
      </rPr>
      <t>‧</t>
    </r>
    <r>
      <rPr>
        <sz val="11"/>
        <rFont val="맑은 고딕"/>
        <family val="3"/>
        <charset val="129"/>
        <scheme val="minor"/>
      </rPr>
      <t>소각하여야 함</t>
    </r>
    <phoneticPr fontId="0" type="noConversion"/>
  </si>
  <si>
    <t>○ 본 사업에서 생성된 파일 및 산출물 사업 종료 시 LX에 제출 후 담당자 입회하에 완전 폐기 및 반납함</t>
    <phoneticPr fontId="0" type="noConversion"/>
  </si>
  <si>
    <t>○ 출입자 관리 : 지문인식출입장치 등록자외 원격지 사무실 출입 불가</t>
    <phoneticPr fontId="0" type="noConversion"/>
  </si>
  <si>
    <t>보안관리계획서</t>
    <phoneticPr fontId="0" type="noConversion"/>
  </si>
  <si>
    <t>○ 자료보관함은 잠금 장치로 관리하며, 보안이 필요한 자료는 비밀/대외비 보관함에 분리 보관함</t>
    <phoneticPr fontId="0" type="noConversion"/>
  </si>
  <si>
    <t>보안계획서</t>
    <phoneticPr fontId="0" type="noConversion"/>
  </si>
  <si>
    <t>○ 본 사업 생성되는 개발 관련 파일과 산출물을 관리하느 서버에 허가된 사용자만 접속하며, 각 사용자별 필요한 최소 권한을 차등부여함</t>
    <phoneticPr fontId="0" type="noConversion"/>
  </si>
  <si>
    <r>
      <t>○ 보안관리 담당 정</t>
    </r>
    <r>
      <rPr>
        <sz val="11"/>
        <rFont val="Tahoma"/>
        <family val="3"/>
        <charset val="1"/>
      </rPr>
      <t>‧</t>
    </r>
    <r>
      <rPr>
        <sz val="11"/>
        <rFont val="나눔고딕"/>
        <family val="3"/>
        <charset val="129"/>
      </rPr>
      <t>부 책임자 지정함</t>
    </r>
    <phoneticPr fontId="0" type="noConversion"/>
  </si>
  <si>
    <r>
      <t>보안사항의 누설과 관련 자료의 도난, 분실, 기타 손괴 등을 방지하고 제반 보안사항의 조치를 강구 또는 감독하기 위하여 사업수행자는 정</t>
    </r>
    <r>
      <rPr>
        <sz val="11"/>
        <rFont val="MS Mincho"/>
        <family val="3"/>
        <charset val="1"/>
      </rPr>
      <t>‧</t>
    </r>
    <r>
      <rPr>
        <sz val="11"/>
        <rFont val="맑은 고딕"/>
        <family val="3"/>
        <charset val="129"/>
        <scheme val="minor"/>
      </rPr>
      <t>부 보안책임자를 지정</t>
    </r>
    <r>
      <rPr>
        <sz val="11"/>
        <rFont val="MS Mincho"/>
        <family val="3"/>
        <charset val="1"/>
      </rPr>
      <t>‧</t>
    </r>
    <r>
      <rPr>
        <sz val="11"/>
        <rFont val="맑은 고딕"/>
        <family val="3"/>
        <charset val="129"/>
        <scheme val="minor"/>
      </rPr>
      <t>관리하여야 함</t>
    </r>
    <phoneticPr fontId="0" type="noConversion"/>
  </si>
  <si>
    <t>○ 내부 및 기관 사용자 계정/접근 정책 수립</t>
    <phoneticPr fontId="0" type="noConversion"/>
  </si>
  <si>
    <t>보안서약서
월간보안교육결과서</t>
    <phoneticPr fontId="0" type="noConversion"/>
  </si>
  <si>
    <t xml:space="preserve">○ 참여인원 보안관리 계획
      - 보안서약서 제출
      - 월간 보안 점검 및 월간 보안 교육 수행
      - 인원 교체 시 보안 관련 점검을 수행하고 LX에 확인 절차 준수
      - 보안 위반 시 그에 따른 모든 책임을 짐 </t>
    <phoneticPr fontId="0" type="noConversion"/>
  </si>
  <si>
    <t>보안관리계획서
보안서약서</t>
    <phoneticPr fontId="0" type="noConversion"/>
  </si>
  <si>
    <t>○ 일반보안업무지침(한국국토정보공사), 정보보안업무지침(한국국토정보공사), 공간정보 보안업무지침(한국국토정보공사) 및 외주 용역사업 보안특약 조항(붙임 7)을 준수함</t>
    <phoneticPr fontId="0" type="noConversion"/>
  </si>
  <si>
    <t>○ 개발시스템은 당산에 위치한 원격지 개발사무실에 일반망과 분리된 개발망 네트워크에 구축함</t>
    <phoneticPr fontId="0" type="noConversion"/>
  </si>
  <si>
    <t>○ 기 사용중인 SSL 적용</t>
    <phoneticPr fontId="0" type="noConversion"/>
  </si>
  <si>
    <t>보안관리계획서
시큐어코딩진단결과서</t>
    <phoneticPr fontId="0" type="noConversion"/>
  </si>
  <si>
    <t>○ 보안관리계획서에 시스템 별 보안점검 계획을 수립함
     - OS/네트워크/DB 취약점 점검 및 조치
     - 개발 소스 대상으로 시큐어코딩 진단 수행 및 조치
     - 본 사업은 신규 OS/SW/HW  도입 및 구축이 없는 순수 SW개발 사업으로
       LX담당자와 협의하여 보안취약점 점검 대상을 확정 후 취약점 점검 및 조치를 수행함</t>
    <phoneticPr fontId="0" type="noConversion"/>
  </si>
  <si>
    <t>보안관리계획서
시큐어코딩진단결과서
월별보안교육결과서</t>
    <phoneticPr fontId="0" type="noConversion"/>
  </si>
  <si>
    <t>○ 보안관리계획서에 시큐어코딩가이드/소프트웨어개발보안가이드 준수 계획 서술 및 시큐어코딩 진단결과서와 월별보안교육을 실시함</t>
    <phoneticPr fontId="0" type="noConversion"/>
  </si>
  <si>
    <t>○ 개인정보 보호 계획
      - 기 도입된 개인정보 필터 솔루션 적용</t>
    <phoneticPr fontId="0" type="noConversion"/>
  </si>
  <si>
    <t xml:space="preserve">○ 회원가입 프로세스 설계 및 구현
     - 본인인증 시 주민번호 대체 수단 적용(휴대폰/카드 등)
    </t>
    <phoneticPr fontId="0" type="noConversion"/>
  </si>
  <si>
    <t>보안관리계획서
아키텍처설계서
시큐어코딩진단결과서</t>
    <phoneticPr fontId="0" type="noConversion"/>
  </si>
  <si>
    <t>○ 개인정보 보호 계획 수립
      - 개인정보 저장 시 DB암호화 적용
      - 웹구간 통신 SSL 적용
      - 소스코드에 개인정보/비밀정보 등 민감정보 하드코딩 금지
      - 시스템 접속 시 사용자 인증 및 암호화 표준 적용</t>
    <phoneticPr fontId="0" type="noConversion"/>
  </si>
  <si>
    <t>보안관리계획서, 보안서약서 등 보안관련 산출물 일체</t>
    <phoneticPr fontId="0" type="noConversion"/>
  </si>
  <si>
    <t>○ LX혹은 상위 기관의 보안 문제 지적 시 해당 보안 관련 사항을 준수함</t>
    <phoneticPr fontId="0" type="noConversion"/>
  </si>
  <si>
    <t>○ '위 규정 외에도 정부 및 발주기관이 제정·공표한 규정을 준수하여야 하며 사업기간 동안 변경될 경우 변경된 규정을 준수하겠음</t>
    <phoneticPr fontId="0" type="noConversion"/>
  </si>
  <si>
    <t>보안관리계획서
월별보안점검결과서
월별보안교육결과서
보안서약서 등 보안관련 산출물 일체</t>
    <phoneticPr fontId="0" type="noConversion"/>
  </si>
  <si>
    <t>○ 정보보안 규정을 준수함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t>
    <phoneticPr fontId="0" type="noConversion"/>
  </si>
  <si>
    <t>○ 보안관리계획서에 사업 전체에 대하여 개인정보 등 중요 데이터 등 정보 누출, 웹사이트 등 응용프로그램 보안, 공간정보 보안, 외주용역 인원보안 등 구체적인 정보보호계획 및 방안을 제시함.</t>
    <phoneticPr fontId="0" type="noConversion"/>
  </si>
  <si>
    <t>인수테스트시나리오
인수테스트결과서</t>
    <phoneticPr fontId="0" type="noConversion"/>
  </si>
  <si>
    <t>○ 인수테스트 과정에서 오류/결함 등이 발견되어 보완 요청 시 즉시 관련 오류/결함 제거후 재테스트 수행함</t>
    <phoneticPr fontId="0" type="noConversion"/>
  </si>
  <si>
    <t>총괄테스트계획서
인수테스트시나리오</t>
    <phoneticPr fontId="0" type="noConversion"/>
  </si>
  <si>
    <t>○ 총괄테스트계획서에 인수테스트 이행 관련 목적, 인력, 조직구성, 테스트 대상 및 테스트 시스템 구성, 테스트 방안 기술 및 인수테스트 적극 지원함</t>
    <phoneticPr fontId="0" type="noConversion"/>
  </si>
  <si>
    <t>○ 인수테스트시나리오 및 데이터 제공
    - 테스트시나리오 : 요구사항별 개발 구현 여부를 확인할 수 있도록 단위 별 시나리오 작성하며, 해당 시나리오에 필요한 데이터 사전 준비하여 제공함</t>
    <phoneticPr fontId="0" type="noConversion"/>
  </si>
  <si>
    <t>○ 총괄테스트계획서에 인수테스트 방안 기술
    - 사용자 승인을 위한 검사 및 테스트 수행방법, 절차, 참여 조직 및 역할, 점검사항, 검수기준, 점검 후 조치 방안 등을 세부적으로 기술</t>
    <phoneticPr fontId="0" type="noConversion"/>
  </si>
  <si>
    <t>○ 인수테스트 시기
    - 개발 완료 후 단위테스트/통합테스트 수행 후 결과물을 첨부하여 LX에 보고하면서 인수테스트 요청</t>
    <phoneticPr fontId="0" type="noConversion"/>
  </si>
  <si>
    <t>총괄테스트 계획서
부하테스트결과서</t>
    <phoneticPr fontId="0" type="noConversion"/>
  </si>
  <si>
    <t>○ 부하테스트 계획 수립
    - 1. 시스템 : 인프라, 3D, 2D, 아키텍처, 데이터
    - 2. 절차 : 통합테스트 시 JMeter로 수행
    - 3. 부하 : 시스템 별 VM, Docker 성능/처리량, 부하 수준 LX와 기준 협의</t>
    <phoneticPr fontId="0" type="noConversion"/>
  </si>
  <si>
    <t>총괄테스트계획서</t>
  </si>
  <si>
    <t xml:space="preserve">○ 성능테스트 계획 수립
    - 1. 개요 : 목적, 성능 요구사항, 성능지표
    - 2. 절차 : 테스트 방침, 절차
    - 3. 수행 : 일정 및 담당자 및 조직, 테스트 도구, 시스템별 목표
</t>
    <phoneticPr fontId="0" type="noConversion"/>
  </si>
  <si>
    <t>○ 성능테스트 수행 후 성능테스트 결과서 작성</t>
    <phoneticPr fontId="0" type="noConversion"/>
  </si>
  <si>
    <t>○ 성능테스트계획을 수립 후 성능테스트 수행</t>
    <phoneticPr fontId="0" type="noConversion"/>
  </si>
  <si>
    <t>총괄테스트계획서
통합테스트결과서</t>
    <phoneticPr fontId="0" type="noConversion"/>
  </si>
  <si>
    <t>○ 통합테스트 결함 관리
     - 결함 발견 시 결함 별 등급 정의 : 예) 오류/결함/심각
     - 결함 원인 분석 후 제거 후 재테스트 수행</t>
    <phoneticPr fontId="0" type="noConversion"/>
  </si>
  <si>
    <t>총괄테스트계획서
웹호환성진단결과서
웹접근성진단결과서</t>
    <phoneticPr fontId="0" type="noConversion"/>
  </si>
  <si>
    <t>○ 웹 호환성, 웹 접근성 진단
    - 대상 : 아키텍처/개발환경, 인프라, 3D고도화, 2D고도화,데이터
    - 웹호환성 진단: 웹브라우저 Chrome, Edge 진단
    - 웹접근성 진단: Chrome 기반 OpenWax 진단</t>
    <phoneticPr fontId="0" type="noConversion"/>
  </si>
  <si>
    <t>총괄테스트계획서
통합테스트시나리오
통합테스트결과서</t>
    <phoneticPr fontId="0" type="noConversion"/>
  </si>
  <si>
    <t>○ 통합테스트 검증 대상 및 내용
     - 테스트 대상 : 아키텍처/개발환경, 인프라, 3D고도화, 2D고도화,데이터
     - 테스트 내용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t>
    <phoneticPr fontId="0" type="noConversion"/>
  </si>
  <si>
    <t>단위테스트 계획서
단위테스트시나리오</t>
    <phoneticPr fontId="0" type="noConversion"/>
  </si>
  <si>
    <t>○ 단위테스트 시나리오
     - 테스트 계획 수립 후 테스트 대상 시스템 아키텍처/개발환경, 인프라, 3D고도화, 2D고도화,데이터의 테스트 시나리오 작성</t>
    <phoneticPr fontId="0" type="noConversion"/>
  </si>
  <si>
    <t>○ 총괄테스트 계획서에 단위테스트의 범위, 수행절차, 조직 및 역할, 일정, 시험환경 및 평가 기준을 구체적으로 수립함</t>
    <phoneticPr fontId="0" type="noConversion"/>
  </si>
  <si>
    <t>총괄테스트 계획서
단위테스트시나리오
단위테스트결과서</t>
    <phoneticPr fontId="0" type="noConversion"/>
  </si>
  <si>
    <t>○ 단위테스트 수행
     - 대상 시스템 아키텍처/개발환경, 인프라, 3D고도화, 2D고도화,데이터 테스트 시나리오에 요구정의·분석단계에서 도출된 요구 사항과 설계 사양을 만족하는 테스트 시나리오 작성 후 테스트 수행</t>
    <phoneticPr fontId="0" type="noConversion"/>
  </si>
  <si>
    <t>총괄테스트 계획서/결과서</t>
    <phoneticPr fontId="0" type="noConversion"/>
  </si>
  <si>
    <t>○ 불가항력으로 인한 미조치 사항은 LX의 승인을 득하며, 계획된 일정에 영향을 미치지 않게 하기 위한 테스트 일정을 수립함</t>
    <phoneticPr fontId="0" type="noConversion"/>
  </si>
  <si>
    <t>○ 테스트 결함 조치
     - 테스트 시나리오 기반 테스트 케이스 별 결함수/결함시간 측정
     - 결함 발견 시 결함등급 정의
     - 결함 조치 후 재테스트 수행(결함 조치 99% 이상 목표)
        · 결함 제거율(%) : (결함처리완료건수 / 결함발생건) * 100</t>
    <phoneticPr fontId="0" type="noConversion"/>
  </si>
  <si>
    <t>○ 테스트 계획서 작성
    - 1. 대상 시스템 : 목적, HW/SW구성 
    - 2. 단계별 테스트 계획 : 단위/통합/인수 요건, 계획, 절차
    - 3. 테스트 계획 : 수행절차, 결함조치,시험환경(조직/역할/테스트시스템)</t>
    <phoneticPr fontId="0" type="noConversion"/>
  </si>
  <si>
    <t>○ 테스트 진행 순서
     - 테스트 대상 : 아키텍처/개발환경, 인프라, 3D고도화, 2D고도화,데이터
     - 테스트 순서  : 단위테스트 -&gt; 통합테스트 -&gt; 인수테스트</t>
    <phoneticPr fontId="0" type="noConversion"/>
  </si>
  <si>
    <t>○ 요구사항 완료 여부 검증
     - 검증 대상 : 기능 요구사항 및 비기능 요구사항 전체
     - 기능 요구사항 검증
        : 단위테스트, 통합테스트, 인수테스트 수행
     - 비기능 요구사항 검증
        : 성능테스트, 웹호환성/접근성테스트, 시큐어코딩진단, 데이터품질진단</t>
    <phoneticPr fontId="0" type="noConversion"/>
  </si>
  <si>
    <r>
      <rPr>
        <sz val="11"/>
        <rFont val="나눔고딕"/>
        <family val="3"/>
        <charset val="129"/>
      </rPr>
      <t>○</t>
    </r>
    <r>
      <rPr>
        <sz val="12.1"/>
        <rFont val="맑은 고딕"/>
        <family val="3"/>
        <charset val="129"/>
      </rPr>
      <t xml:space="preserve"> </t>
    </r>
    <r>
      <rPr>
        <sz val="11"/>
        <rFont val="맑은 고딕"/>
        <family val="3"/>
        <charset val="129"/>
      </rPr>
      <t>'초기 협의한 요구사항에서 변경관리 절차를 통해 승인한 요구사항을 테스트의 최종 베이스라인으로 간주하겠음</t>
    </r>
    <phoneticPr fontId="0" type="noConversion"/>
  </si>
  <si>
    <t>데이터베이스설계서</t>
    <phoneticPr fontId="0" type="noConversion"/>
  </si>
  <si>
    <r>
      <rPr>
        <sz val="11"/>
        <rFont val="나눔고딕"/>
        <family val="3"/>
        <charset val="129"/>
      </rPr>
      <t>○</t>
    </r>
    <r>
      <rPr>
        <sz val="11"/>
        <rFont val="맑은 고딕"/>
        <family val="3"/>
        <charset val="129"/>
        <scheme val="minor"/>
      </rPr>
      <t xml:space="preserve"> 공공데이터 개방 및 제공이 필요할 경우 데이터(파일/API)를 생성 또는 현행화를 LX 감독관과 협의 후 지원하겠음</t>
    </r>
    <phoneticPr fontId="0" type="noConversion"/>
  </si>
  <si>
    <r>
      <rPr>
        <sz val="11"/>
        <rFont val="나눔고딕"/>
        <family val="3"/>
        <charset val="129"/>
      </rPr>
      <t>○</t>
    </r>
    <r>
      <rPr>
        <sz val="11"/>
        <rFont val="맑은 고딕"/>
        <family val="3"/>
        <charset val="129"/>
        <scheme val="minor"/>
      </rPr>
      <t xml:space="preserve"> 데이터베이스 표준 관리 지원
    - LX담당자와 협의하여 행안부 메타관리시스템 표준 관리 준수 여부 및
      LX 메타관리시스템 준수 준수 여부 협의</t>
    </r>
    <phoneticPr fontId="0" type="noConversion"/>
  </si>
  <si>
    <r>
      <rPr>
        <sz val="11"/>
        <rFont val="나눔고딕"/>
        <family val="3"/>
        <charset val="129"/>
      </rPr>
      <t>○</t>
    </r>
    <r>
      <rPr>
        <sz val="11"/>
        <rFont val="맑은 고딕"/>
        <family val="3"/>
        <charset val="129"/>
        <scheme val="minor"/>
      </rPr>
      <t xml:space="preserve"> LX 담당자와 개방데이터 목록 식별 후 서비스 대상 DB 연속성 확보
    - 데이터베이스 서버 HW 이중화 구성
    - 데이터베이스 서버 Active/Active 혹은 Active/Standby 이중화 구성</t>
    </r>
    <phoneticPr fontId="0" type="noConversion"/>
  </si>
  <si>
    <t>데이터베이스 이관 계획서
데이터베이스 이관 결과서
데이터 매핑 정의서</t>
    <phoneticPr fontId="0" type="noConversion"/>
  </si>
  <si>
    <r>
      <rPr>
        <sz val="11"/>
        <rFont val="나눔고딕"/>
        <family val="3"/>
        <charset val="129"/>
      </rPr>
      <t>○</t>
    </r>
    <r>
      <rPr>
        <sz val="11"/>
        <rFont val="맑은 고딕"/>
        <family val="3"/>
        <charset val="129"/>
        <scheme val="minor"/>
      </rPr>
      <t xml:space="preserve"> 데이터 이관 작업 시 데이터의 정합성, 무결성 검증  수행
    - 이관 시 완정서/외양/통합/처리성테스트를 수행하여 데이터 정합성과 무결성 검증함</t>
    </r>
    <phoneticPr fontId="0" type="noConversion"/>
  </si>
  <si>
    <t>데이터베이스 이관 계획서
데이터베이스 이관 결과서
이관 데이터 GAP 분석서
데이터 매핑 정의서</t>
    <phoneticPr fontId="0" type="noConversion"/>
  </si>
  <si>
    <t>○ 데이터베이스 이관 계획 수립
  · 이관 시 모니터링 수행
  · 표준화된 코드체계 준수
  · 데이터 무결성 유지
  · 사전 이관 테스트를 수행
  · 이관 데이터 정합성 검증
  · 이관 데이터 정제 및 오류 데이터 식별 및 데이터 정제 작업 수행</t>
    <phoneticPr fontId="0" type="noConversion"/>
  </si>
  <si>
    <r>
      <rPr>
        <sz val="11"/>
        <rFont val="나눔고딕"/>
        <family val="3"/>
        <charset val="129"/>
      </rPr>
      <t>○</t>
    </r>
    <r>
      <rPr>
        <sz val="11"/>
        <rFont val="맑은 고딕"/>
        <family val="3"/>
        <charset val="129"/>
        <scheme val="minor"/>
      </rPr>
      <t xml:space="preserve"> 데이터베이스 이관 계획 수립
  · 인프라, 조직, 기술 등 수행 방안
  · 이관 대상은 데이터베이스 LX와 협의
  · 최적 이관 시나리오 작성
  · 이관 데이터 품질 보증 방안
  · 백업 및 복구 방안 수립
  · 민감 데이터(개인정보 등)에 대한 보안 방안</t>
    </r>
    <phoneticPr fontId="0" type="noConversion"/>
  </si>
  <si>
    <t>데이터베이스설계서
데이터베이스 이관 계획서
데이터베이스 이관 결과서</t>
    <phoneticPr fontId="0" type="noConversion"/>
  </si>
  <si>
    <r>
      <rPr>
        <sz val="11"/>
        <color theme="1"/>
        <rFont val="나눔고딕"/>
        <family val="3"/>
        <charset val="129"/>
      </rPr>
      <t>○</t>
    </r>
    <r>
      <rPr>
        <sz val="11"/>
        <color theme="1"/>
        <rFont val="맑은 고딕"/>
        <family val="3"/>
        <charset val="129"/>
        <scheme val="minor"/>
      </rPr>
      <t xml:space="preserve"> 데이터베이스 이관 작업 시 DB전문 인력을 투입하여 데이터 마이그레이션 수행</t>
    </r>
    <phoneticPr fontId="0" type="noConversion"/>
  </si>
  <si>
    <r>
      <rPr>
        <sz val="11"/>
        <color theme="1"/>
        <rFont val="나눔고딕"/>
        <family val="3"/>
        <charset val="129"/>
      </rPr>
      <t>○</t>
    </r>
    <r>
      <rPr>
        <sz val="11"/>
        <color theme="1"/>
        <rFont val="맑은 고딕"/>
        <family val="3"/>
        <charset val="129"/>
        <scheme val="minor"/>
      </rPr>
      <t xml:space="preserve"> 데이터베이스 설계서에 이관 설계 기술함
  · 이관 대상 데이터베이스 확정 후 안정성/성능/정합성을 고려한 아키텍처 설계
  · DB이관 및 DB검증 수행 인력 지정</t>
    </r>
    <phoneticPr fontId="0" type="noConversion"/>
  </si>
  <si>
    <t>품질관리계획서
단위/통합테스트결과서</t>
    <phoneticPr fontId="0" type="noConversion"/>
  </si>
  <si>
    <r>
      <rPr>
        <sz val="11"/>
        <color theme="1"/>
        <rFont val="나눔고딕"/>
        <family val="3"/>
        <charset val="129"/>
      </rPr>
      <t>○</t>
    </r>
    <r>
      <rPr>
        <sz val="11"/>
        <color theme="1"/>
        <rFont val="맑은 고딕"/>
        <family val="3"/>
        <charset val="129"/>
        <scheme val="minor"/>
      </rPr>
      <t xml:space="preserve"> 데이터 품질진단 계획 수립
  · 데이터 값 진단 방법 및 일정 계획
  · 품질진단 규칙은 컬럼 단위, SQL 스크립트 형식으로 작성
  · 품질진단 결과에 따라 오류데이터 개선방안 및 개선 활동 수행
  · 데이터 품질진단 활동은 단위/통합테스트 시 입력값 분석을 통해
    데이터 값의 유효성, 정확성, 표준 적용 여부 등 오류 데이터를 파악하여
   오류/결함을 제거함</t>
    </r>
    <phoneticPr fontId="0" type="noConversion"/>
  </si>
  <si>
    <t>업무규칙 정의서</t>
    <phoneticPr fontId="0" type="noConversion"/>
  </si>
  <si>
    <t>○ 업무규칙 정의서(붙임 6)”를 작성 제출하겠음</t>
    <phoneticPr fontId="0" type="noConversion"/>
  </si>
  <si>
    <t>데이터베이스설계서
데이터 요구사항 명세서
논리데이터모델다이어그램
엔티티정의서
애트리뷰트정의서
물리데이터모델다이어그램
테이블정의서
컬럼정의서</t>
    <phoneticPr fontId="0" type="noConversion"/>
  </si>
  <si>
    <r>
      <rPr>
        <sz val="11"/>
        <rFont val="나눔고딕"/>
        <family val="3"/>
        <charset val="129"/>
      </rPr>
      <t>○</t>
    </r>
    <r>
      <rPr>
        <sz val="11"/>
        <rFont val="맑은 고딕"/>
        <family val="3"/>
        <charset val="129"/>
        <scheme val="minor"/>
      </rPr>
      <t xml:space="preserve"> 데이터베이스 “요구분석→개념설계→논리설계→물리설계→구현“ 단계별 필수 산출물(아래 목록) 제출하겠음
  · 데이터 요구사항 명세서
  · 논리데이터모델다이어그램(서식 3)
  · 엔티티 정의서(서식 4), 애트리뷰트 정의서(서식 5)
  · 데이터베이스 정의서(서식 6)
  · 물리데이터모델다이어그램(서식 4)
  · 테이블 정의서(서식 8)
  · 컬럼 정의서(서식 9)</t>
    </r>
    <phoneticPr fontId="0" type="noConversion"/>
  </si>
  <si>
    <r>
      <rPr>
        <sz val="11"/>
        <rFont val="나눔고딕"/>
        <family val="3"/>
        <charset val="129"/>
      </rPr>
      <t>○</t>
    </r>
    <r>
      <rPr>
        <sz val="11"/>
        <rFont val="맑은 고딕"/>
        <family val="3"/>
        <charset val="129"/>
        <scheme val="minor"/>
      </rPr>
      <t xml:space="preserve"> LX플랫폼 운영 시 안정성과 보안을 고려한 데이터베이스 설계
    - 요구 사항 분석과 개념/논리/물리 설계에 단계에서 무결성, 일관성
      회복, 효율성,보안,확장을 위한 설계 반영함</t>
    </r>
    <phoneticPr fontId="0" type="noConversion"/>
  </si>
  <si>
    <r>
      <rPr>
        <sz val="11"/>
        <rFont val="나눔고딕"/>
        <family val="3"/>
        <charset val="129"/>
      </rPr>
      <t>○</t>
    </r>
    <r>
      <rPr>
        <sz val="11"/>
        <rFont val="맑은 고딕"/>
        <family val="3"/>
        <charset val="129"/>
        <scheme val="minor"/>
      </rPr>
      <t xml:space="preserve"> 신규 수집 데이터 관리체계 구성 계획
    - 데이터베이스설계서 및 관련 산출물에 데이터 관리체계 설계 및 구현함
      · 수집 데이터 데이터 관리 아키텍처 구성 및 설계
      · 시계열 데이터 관리 및 대용량 영상 데이터 배포 관리 방안 설계</t>
    </r>
    <phoneticPr fontId="0" type="noConversion"/>
  </si>
  <si>
    <r>
      <rPr>
        <sz val="11"/>
        <rFont val="나눔고딕"/>
        <family val="3"/>
        <charset val="129"/>
      </rPr>
      <t>○</t>
    </r>
    <r>
      <rPr>
        <sz val="11"/>
        <rFont val="맑은 고딕"/>
        <family val="3"/>
        <charset val="129"/>
        <scheme val="minor"/>
      </rPr>
      <t xml:space="preserve"> 데이터 표준 준수 계획
    - 표준용어정의서(서식 1),  도메인정의서(서식 2),  코드정의서 준수
    - LX와 협의하여 1차 사업 데이터 표준 준수</t>
    </r>
    <phoneticPr fontId="0" type="noConversion"/>
  </si>
  <si>
    <r>
      <rPr>
        <sz val="11"/>
        <rFont val="나눔고딕"/>
        <family val="3"/>
        <charset val="129"/>
      </rPr>
      <t>○</t>
    </r>
    <r>
      <rPr>
        <sz val="11"/>
        <rFont val="맑은 고딕"/>
        <family val="3"/>
        <charset val="129"/>
        <scheme val="minor"/>
      </rPr>
      <t xml:space="preserve"> 데이터 표준화와 데이터 품질관리 계획
    - LX 데이터 품질관리 지침 준수
    - 정보자원통합시스템(IRIS) : 표준단어, 도메인, 용어 준수</t>
    </r>
    <phoneticPr fontId="0" type="noConversion"/>
  </si>
  <si>
    <r>
      <rPr>
        <sz val="11"/>
        <rFont val="나눔고딕"/>
        <family val="3"/>
        <charset val="129"/>
      </rPr>
      <t>○</t>
    </r>
    <r>
      <rPr>
        <sz val="11"/>
        <rFont val="맑은 고딕"/>
        <family val="3"/>
        <charset val="129"/>
        <scheme val="minor"/>
      </rPr>
      <t xml:space="preserve"> 행정표준관리시스템(code.go.kr)의 행정표준코드 준수함
    - 행정표준코드와 기 구축 및 운영중인 LX플랫폼의 표준코드가 상이할 경우 LX플랫폼 표준 코드를 우선함.</t>
    </r>
    <phoneticPr fontId="0" type="noConversion"/>
  </si>
  <si>
    <t>행정표준관리시스템(code.go.kr)의 행정표준코드 준수</t>
    <phoneticPr fontId="0" type="noConversion"/>
  </si>
  <si>
    <r>
      <rPr>
        <sz val="11"/>
        <rFont val="나눔고딕"/>
        <family val="3"/>
        <charset val="129"/>
      </rPr>
      <t>○</t>
    </r>
    <r>
      <rPr>
        <sz val="11"/>
        <rFont val="맑은 고딕"/>
        <family val="3"/>
        <charset val="129"/>
        <scheme val="minor"/>
      </rPr>
      <t xml:space="preserve"> 데이터 표준화 및 데이터 표준 준수 계획
    - 공공기관의 데이터베이스 표준화 지침 준수
    - 공공데이터 공통표준용어 준수
    - 공공데이터 관리지침 준수
    - 기 구축 및 운영중인 LX플랫폼의 데이터 표준화 지침이 반영되어 운영중이면 본 사업에서 데이터 표준화 지침으로 준수함</t>
    </r>
    <phoneticPr fontId="0" type="noConversion"/>
  </si>
  <si>
    <t>아키텍처설계서
총괄테스트계획서
성능테스트결과서</t>
  </si>
  <si>
    <t>○ 행정공공기관 웹사이트 구축운영 가이드를 준수하여  HTTP요청 수 최소화, Javascript, CSS 등 파일의 배치와 호출 최적화, 이미지 최적화 등을 반영하여 구축하겠음</t>
    <phoneticPr fontId="0" type="noConversion"/>
  </si>
  <si>
    <t>“행정공공기관 웹사이트 구축운영 가이드, 행정안전부”의 “[부록 4] 웹사이트 최적화를 위한 주요기법”을 참고하여 HTTP요청 수 최소화, Javascript, CSS 등 파일의 배치와 호출 최적화, 이미지 최적화 등을 반영하여 구축</t>
    <phoneticPr fontId="0" type="noConversion"/>
  </si>
  <si>
    <t>웹접근성진단결과서
웹호환성진단결과서</t>
    <phoneticPr fontId="0" type="noConversion"/>
  </si>
  <si>
    <t>○ LX플랫폼은은 대국민 서비스가 아닌 LX 및 수요기관 특정 사용자/운영자만을 대상으로 서비스하며,  '장애인, 고령자 등이 웹사이트에서 제공하는 정보나 서비스를 쉽게 이용할 수 있도록 웹사이트 접근 환경 및 수준 보장'은 통합테스트 시 웹접근성/웹호환성 진단 및 개선 조치로 갈음함.</t>
    <phoneticPr fontId="0" type="noConversion"/>
  </si>
  <si>
    <t>○ 공공 웹사이트 플러그인 제거 가이드라인, 행정안전부”를 준용하여 플러그인(액티브X, 실행파일(EXE) 등)의 사용을 배제함</t>
    <phoneticPr fontId="0" type="noConversion"/>
  </si>
  <si>
    <t xml:space="preserve">○ OpenWax로 웹 접근성 진단 후 오류 사항 조치
   W3C Validator로 웹호환성 진단 후 오류 사항 조치 </t>
    <phoneticPr fontId="0" type="noConversion"/>
  </si>
  <si>
    <r>
      <rPr>
        <sz val="11"/>
        <rFont val="나눔고딕"/>
        <family val="3"/>
        <charset val="129"/>
      </rPr>
      <t>○</t>
    </r>
    <r>
      <rPr>
        <sz val="11"/>
        <rFont val="맑은 고딕"/>
        <family val="3"/>
        <charset val="129"/>
      </rPr>
      <t xml:space="preserve"> 시스템 기본 이중화 구성 및 사용자 증가 시 스케일아웃 적용</t>
    </r>
    <phoneticPr fontId="0" type="noConversion"/>
  </si>
  <si>
    <t>아키텍처설계서
시스템전환계획서
종료보고서</t>
    <phoneticPr fontId="0" type="noConversion"/>
  </si>
  <si>
    <r>
      <rPr>
        <sz val="11"/>
        <rFont val="나눔고딕"/>
        <family val="3"/>
        <charset val="129"/>
      </rPr>
      <t>○</t>
    </r>
    <r>
      <rPr>
        <sz val="11"/>
        <rFont val="맑은 고딕"/>
        <family val="3"/>
        <charset val="129"/>
      </rPr>
      <t xml:space="preserve"> 별도의 개발/테스트 서버 업무망과 분리된 개발망에 구축 후 통합테스트/인수테스트 후 적합성 인증 후 운영 시스템에 이관</t>
    </r>
    <phoneticPr fontId="0" type="noConversion"/>
  </si>
  <si>
    <t>○ 시스템 간 연계 정책 수립
     - 연계 정책 중 성능 관련 이슈를 고려하여 갱신주기, 연계 App 정책을 수립</t>
    <phoneticPr fontId="0" type="noConversion"/>
  </si>
  <si>
    <t>○ 시스템 간 연계 정책 수립
    - 기 연계 정책과 시스템 정보를 분석하여, 본 사업에서 연계대상, 연계범위, 연계방식, 연계주기, 연계건수 등 연계 정책을 수립 후 LX 감독관 승인 절차 진행</t>
    <phoneticPr fontId="0" type="noConversion"/>
  </si>
  <si>
    <t>현행업무분석서
아키텍처설계서</t>
    <phoneticPr fontId="0" type="noConversion"/>
  </si>
  <si>
    <t>○ 연계데이터 정합성
     - 기 구성된 기관 연계/표준을 분석하여 결과를 연계 설계에 반영, 정합성을 확보</t>
    <phoneticPr fontId="0" type="noConversion"/>
  </si>
  <si>
    <t>아키텍처설계서
단위/통합테스트결과서</t>
    <phoneticPr fontId="0" type="noConversion"/>
  </si>
  <si>
    <t>○ 기 구성된 연계 구성과 연계 대상 기관 연계 방식 및 아키텍처 분석하여
    단위/통합테스트에서 연계 데이터 정합성 검증 및 오류/결함 조치함.</t>
    <phoneticPr fontId="0" type="noConversion"/>
  </si>
  <si>
    <t>○ W3C 기준 준수하여 확장에 유연한 XML 데이터 구조 적용한 연계 구현</t>
    <phoneticPr fontId="0" type="noConversion"/>
  </si>
  <si>
    <t>○ 표준연계모듈 사용
     - 본 사업에서 구축되는 시스템과 타 기관 및 시스템 연계는 기 구성된 표준
       연계 모듈을 사용하며, 신규 연계 필요 시 표준 연계 준수함.</t>
    <phoneticPr fontId="0" type="noConversion"/>
  </si>
  <si>
    <t>○ 시스템 연계 방안
     - 웹기반 시스템 구축
     - 웹접근성/웹호환성/시큐어코딩 진단 및 조치
     - 기존 기관 연계 방식 및 표준 준수</t>
    <phoneticPr fontId="0" type="noConversion"/>
  </si>
  <si>
    <t>○ 타 시스템 연계체계 설계
     - 기 연계된 연계체계를 분석하고, LX표준 연계를 바탕으로 신규로 외부 기관과 연계 시 표준 연계모듈을 사용함.</t>
    <phoneticPr fontId="0" type="noConversion"/>
  </si>
  <si>
    <t>○ 표준 연계모듈 
    - LX플랫폼에서 제공되고, 연계시 생성되는 데이터 온라인 제공 시 표준 연계모듈을 사용함.</t>
    <phoneticPr fontId="0" type="noConversion"/>
  </si>
  <si>
    <t>화면설계서
아키텍처설계서
시스템전환계획서
시스템전환결과서</t>
    <phoneticPr fontId="0" type="noConversion"/>
  </si>
  <si>
    <t xml:space="preserve">○ LX플랫폼 서비스 내용과 사용자를 고려한 UI/UX 설계 및 구현
    클라우드 환경인 LX플랫폼의 특성을 반영하여 개발/테스트 환경을
    VM과 Docker Container를 설치하여 개발/테스트 후 운영에 전환함 </t>
    <phoneticPr fontId="0" type="noConversion"/>
  </si>
  <si>
    <t>개발가이드
웹접근성진단결과서
웹호환성진단결과서</t>
    <phoneticPr fontId="0" type="noConversion"/>
  </si>
  <si>
    <t>○ W3C에서 채택된 표준 웹 기술을 적용해 모든 브라우저에 다른 기종의 OS나 HTML 렌더링 기술로 다양한 환경에서 접속할 수 있도록 제작</t>
    <phoneticPr fontId="0" type="noConversion"/>
  </si>
  <si>
    <t>화면설계서
디자인가이드</t>
    <phoneticPr fontId="0" type="noConversion"/>
  </si>
  <si>
    <t>○ 통합UI 적용
     - 전체 시스템 간 통일성을 부여하여 UI를 구성
     - 발주기관의 고유 아이덴티티를 반영한 창의적 디자인 적용
     - 화면 UI 기획 및 디자인에 관련된 제반 사항을 발주기관 의견 반영
     - UI는 직관적, 사용자 효율적인 상호작용 및 유연한 변경이 가능</t>
    <phoneticPr fontId="0" type="noConversion"/>
  </si>
  <si>
    <t>아키텍처설계서
화면설계서</t>
    <phoneticPr fontId="0" type="noConversion"/>
  </si>
  <si>
    <t>○ 등록, 오류 등 사용자 확인 메시지 구현
    - 사용자가 등록, 수정, 저장, 삭제 시 확인 메시지 출력 기능 구현</t>
    <phoneticPr fontId="0" type="noConversion"/>
  </si>
  <si>
    <t>아키텍처설계서
화면설계서
단위테스트계획서
단위테스트결과서</t>
    <phoneticPr fontId="0" type="noConversion"/>
  </si>
  <si>
    <t>○ 사용자 동작 확인 메시지 구현
    - 삭제, 입력 정보완료, 미완료 후 저장 등 사용자 수행 동작 확인 메시지 출력 구현
    - 오류 발생 시 알람 메시지 출력 구현
    - 개인정보 포함 정보 게시할 경우 알림 메시지 출력 구현</t>
    <phoneticPr fontId="0" type="noConversion"/>
  </si>
  <si>
    <t>화면설계서
디자인가이드
아키텍처설계서</t>
    <phoneticPr fontId="0" type="noConversion"/>
  </si>
  <si>
    <t>○ 사용자의 스크린 사이즈별 유동적 디자인 적용 요구 준수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LX과 협의 후 확정</t>
    <phoneticPr fontId="0" type="noConversion"/>
  </si>
  <si>
    <t xml:space="preserve">화면설계서
디자인가이드
아키텍처설계서 </t>
    <phoneticPr fontId="0" type="noConversion"/>
  </si>
  <si>
    <t>○ 다양한 사용자 단말을 고려한 화면 구성 요구 준수
     - PC 및 모바일 홈페이지 메인 시안 3종 제시하여 LX 담당자 승인 후 적용</t>
    <phoneticPr fontId="0" type="noConversion"/>
  </si>
  <si>
    <t>디자인가이드</t>
    <phoneticPr fontId="0" type="noConversion"/>
  </si>
  <si>
    <t>○ '디자인 설계 요구안을 준수함
    - Layout : 고정 창/팝업 창을 사용자 편의성 관점에서 구성하고, 모든 창은 팝업창으로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phoneticPr fontId="0" type="noConversion"/>
  </si>
  <si>
    <t>화면설계서
아키텍처설계서</t>
    <phoneticPr fontId="0" type="noConversion"/>
  </si>
  <si>
    <t>○ 콘텐츠 접근성, 이용 편리성을 고려한 사이트 구조와 디자인을 제작하여 LX 담당자 승인 후 서비스 반영
○ 웹호환성, 웹접근성 준수함</t>
    <phoneticPr fontId="0" type="noConversion"/>
  </si>
  <si>
    <t>화면설계서</t>
    <phoneticPr fontId="0" type="noConversion"/>
  </si>
  <si>
    <t>○ 화면설계서
    - 시스템의 전체 기능을 한눈에 쉽게 파악할 수 있는 Site Map 구성</t>
    <phoneticPr fontId="0" type="noConversion"/>
  </si>
  <si>
    <r>
      <rPr>
        <sz val="11"/>
        <rFont val="나눔고딕"/>
        <family val="3"/>
        <charset val="129"/>
      </rPr>
      <t>○</t>
    </r>
    <r>
      <rPr>
        <sz val="11"/>
        <rFont val="맑은 고딕"/>
        <family val="3"/>
        <charset val="129"/>
      </rPr>
      <t xml:space="preserve"> 화면설계서 
    - 직관적이고 체계적인 화면 구성으로 온라인 도움말 참조하여 사용자 기능을 손쉽게 배울수 있는 환경 구성
    - 화면/기능 변경 시 온라인 도움말에 즉시 반영</t>
    </r>
    <phoneticPr fontId="0" type="noConversion"/>
  </si>
  <si>
    <r>
      <rPr>
        <sz val="11"/>
        <rFont val="나눔고딕"/>
        <family val="3"/>
        <charset val="129"/>
      </rPr>
      <t>○</t>
    </r>
    <r>
      <rPr>
        <sz val="11"/>
        <rFont val="맑은 고딕"/>
        <family val="3"/>
        <charset val="129"/>
      </rPr>
      <t xml:space="preserve"> 화면설계서 
    - 모든 페이지에 현재 위치에 대한 명확한 위치 정보
    - 각 단위 사이트별로 바로가기 퀵 메뉴
    - 화면 구성 시 직관적인 인터페이스 반영한 설계</t>
    </r>
    <phoneticPr fontId="0" type="noConversion"/>
  </si>
  <si>
    <t>○ HW(서버) CPU 사용률 평가 중 CPU 사용률 목표 50% 이상 사용하는 프로세스를 식별하여 개선하여,  정상 상태에서 백그라운드 작업을 위하여 CPU를 50% 이하로 유지하겠음</t>
    <phoneticPr fontId="0" type="noConversion"/>
  </si>
  <si>
    <t>○ HW(서버) CPU 사용률 평가 중 CPU 평균 사용률 90% 프로세스를 식별하여
    원인 분석 후 개선하여 사용률 90% 이하로 유지하겠음</t>
    <phoneticPr fontId="0" type="noConversion"/>
  </si>
  <si>
    <t xml:space="preserve">○  HW(서버) CPU 사용률 평가
     - 기간 : 테스트 기간과 시험 운영기간
     - 시간 : 08:00 ~ 22:00
     - 평가툴 : 테스트 기간(개발서버) Linux Command
                   시험 운영기간 - LX SMS 
</t>
    <phoneticPr fontId="0" type="noConversion"/>
  </si>
  <si>
    <r>
      <t xml:space="preserve">○ 최대 동시 사용자 성능 테스트 수행
    - 테스트 기준 
      </t>
    </r>
    <r>
      <rPr>
        <sz val="11"/>
        <rFont val="맑은 고딕"/>
        <family val="3"/>
        <charset val="129"/>
      </rPr>
      <t>① 최대 동시 사용자 : 1,000명</t>
    </r>
    <r>
      <rPr>
        <sz val="11"/>
        <rFont val="맑은 고딕"/>
        <family val="3"/>
        <charset val="129"/>
        <scheme val="minor"/>
      </rPr>
      <t xml:space="preserve">
      ② 최대 동시접속 임계치 90%에서 지연 메시지 출력 확인</t>
    </r>
    <phoneticPr fontId="0" type="noConversion"/>
  </si>
  <si>
    <r>
      <t xml:space="preserve">○ 평균 처리 시간 및 동시 처리 테스트 기준 준수
    - 테스트 기준 
      </t>
    </r>
    <r>
      <rPr>
        <sz val="11"/>
        <rFont val="맑은 고딕"/>
        <family val="3"/>
        <charset val="129"/>
      </rPr>
      <t>①</t>
    </r>
    <r>
      <rPr>
        <sz val="11"/>
        <rFont val="맑은 고딕"/>
        <family val="3"/>
        <charset val="129"/>
        <scheme val="minor"/>
      </rPr>
      <t>초당 최소 100건의 사용자 기본정보 입력기능을 처리 목표
      ②최대 부하 상태에서 초당 50건의 사용자 기본정보 입력기능을 처리 목표</t>
    </r>
    <phoneticPr fontId="0" type="noConversion"/>
  </si>
  <si>
    <t>○ 개발 단위/통합테스트 완료 후 개발서버 대상으로 Webload 혹은 Apache Jmeter를 통해 동시 접속자 200명 환경에서 CRUD 응답시간 3초 기준으로 테스트를 수행하며, 기준 성능을 만족하지 못할 경우 원인 분석을 통해 병목 현상을 해결하여 재 테스트 수행함.</t>
    <phoneticPr fontId="0" type="noConversion"/>
  </si>
  <si>
    <t>○ 사용자 입력 데이터 형식 오류 메시지 2초 이내에 출력하며, 일정 시간 이상(LX와 협의) 지연 시 진행사항을 사용자에게 출력하도록 개발</t>
    <phoneticPr fontId="0" type="noConversion"/>
  </si>
  <si>
    <t>○  배치성 업무 성능 목표 테스트
     - 일일 배치 : 테스트 기준 10분으로 테스트 수행
     - 월 배치 : 테스트 기준 1시간 내 처리 목표 테스트 수행</t>
    <phoneticPr fontId="0" type="noConversion"/>
  </si>
  <si>
    <r>
      <t xml:space="preserve">○  평균 업무 응답시간은 3초 이내로 완전히 결과가 출력 시스템 개발
</t>
    </r>
    <r>
      <rPr>
        <sz val="11"/>
        <rFont val="맑은 고딕"/>
        <family val="1"/>
        <charset val="129"/>
        <scheme val="minor"/>
      </rPr>
      <t xml:space="preserve">     -</t>
    </r>
    <r>
      <rPr>
        <sz val="11"/>
        <rFont val="맑은 고딕"/>
        <family val="3"/>
        <charset val="129"/>
        <scheme val="minor"/>
      </rPr>
      <t xml:space="preserve">  시스템 개발 및 단위테스트 후 개발서버에서 성능 테스트 진행
     - 성능 측정 툴 : Webload 혹은 Apache Jmeter
     - 대상 : LX플랫폼 시스템(3D/2D/인프라/데이터)
     - 측정 : 업무 페이지 성능 측정 후 3초 이상 업무 선별하여, 원인 분석하
               여 문제 해결 후 재측정
      </t>
    </r>
    <phoneticPr fontId="0" type="noConversion"/>
  </si>
  <si>
    <r>
      <t xml:space="preserve">○ 한국국토정보공사에서 보유한 성능부하테스트도구(Webload)를 사용하여 성능테스트를 수행하며 테스트 결과에 대한 조치사항 수정 
- 성능부하 테스트의 상세 항목은 주관기관과 협의 후 추진. 
- 성능시험결과보고서 제출
</t>
    </r>
    <r>
      <rPr>
        <sz val="11"/>
        <rFont val="나눔고딕"/>
        <family val="3"/>
        <charset val="129"/>
      </rPr>
      <t>○ 개발방안은 아키텍처 및 개발단위 설계서로 제출하겠음
○ 성능테스트 계획을 수립 후 성능테스트 및 관련 조치 계획
     - 성능테스트 대상 : 3D/2D/인프라/데이터 웹서비스  
     - 계획 : 성능테스트 계획서
     - 테스트 시기 : 단위테스트 이후 
     - 개선 작업 : 테스트 결과가 성능 요건에 미달 시 개선 후 재 테스트</t>
    </r>
    <phoneticPr fontId="0" type="noConversion"/>
  </si>
  <si>
    <t>LXPFA_FP_004_059</t>
    <phoneticPr fontId="15" type="noConversion"/>
  </si>
  <si>
    <t>성능시험 내용</t>
    <phoneticPr fontId="15" type="noConversion"/>
  </si>
  <si>
    <t>성능시험 내용</t>
    <phoneticPr fontId="15" type="noConversion"/>
  </si>
  <si>
    <t>UI/UX 재설계 방안</t>
  </si>
  <si>
    <t>API 통합관리 및 모니터링 (통계) 체계 마련</t>
    <phoneticPr fontId="15" type="noConversion"/>
  </si>
  <si>
    <t>API 통합관리 및 모니터링 (통계) 체계 마련</t>
    <phoneticPr fontId="15" type="noConversion"/>
  </si>
  <si>
    <t>16~18</t>
    <phoneticPr fontId="15" type="noConversion"/>
  </si>
  <si>
    <t>16~18</t>
    <phoneticPr fontId="15" type="noConversion"/>
  </si>
  <si>
    <t>API 통합관리 및 모니터링 (통계) 체계 마련</t>
    <phoneticPr fontId="15" type="noConversion"/>
  </si>
  <si>
    <t>16~18</t>
    <phoneticPr fontId="15" type="noConversion"/>
  </si>
  <si>
    <t>API 통합관리 및 모니터링 (통계) 체계 마련</t>
    <phoneticPr fontId="15" type="noConversion"/>
  </si>
  <si>
    <t>16~18</t>
    <phoneticPr fontId="15" type="noConversion"/>
  </si>
  <si>
    <t>LX플랫폼 (데이터 서비스) 기능 고도화</t>
    <phoneticPr fontId="15" type="noConversion"/>
  </si>
  <si>
    <t>48~50</t>
    <phoneticPr fontId="15" type="noConversion"/>
  </si>
  <si>
    <t>입지분석 (LValue) 기반의 부동산 가치 평가</t>
    <phoneticPr fontId="15" type="noConversion"/>
  </si>
  <si>
    <t>웹앱 템플릿 추가 및 고도화 구축</t>
    <phoneticPr fontId="15" type="noConversion"/>
  </si>
  <si>
    <t>41~45</t>
    <phoneticPr fontId="15" type="noConversion"/>
  </si>
  <si>
    <t>41~45</t>
    <phoneticPr fontId="15" type="noConversion"/>
  </si>
  <si>
    <t>웹앱 템플릿 추가 및 고도화 구축</t>
    <phoneticPr fontId="15" type="noConversion"/>
  </si>
  <si>
    <t>요소기술분야</t>
    <phoneticPr fontId="15" type="noConversion"/>
  </si>
  <si>
    <t>산출물 인수</t>
    <phoneticPr fontId="15" type="noConversion"/>
  </si>
  <si>
    <t>법률 및 고시</t>
    <phoneticPr fontId="15" type="noConversion"/>
  </si>
  <si>
    <t>영상데이터 관리체계 구축</t>
    <phoneticPr fontId="15" type="noConversion"/>
  </si>
  <si>
    <t>67~68</t>
    <phoneticPr fontId="15" type="noConversion"/>
  </si>
  <si>
    <t>데이터 관리시스템 고도화</t>
    <phoneticPr fontId="15" type="noConversion"/>
  </si>
  <si>
    <t>데이터 관리시스템 고도화</t>
    <phoneticPr fontId="15" type="noConversion"/>
  </si>
  <si>
    <t>62~70</t>
    <phoneticPr fontId="15" type="noConversion"/>
  </si>
  <si>
    <t>데이터 관리시스템 고도화</t>
    <phoneticPr fontId="15" type="noConversion"/>
  </si>
  <si>
    <t>62~70</t>
    <phoneticPr fontId="15" type="noConversion"/>
  </si>
  <si>
    <t>62~70</t>
    <phoneticPr fontId="15" type="noConversion"/>
  </si>
  <si>
    <t>데이터 관리시스템 고도화</t>
    <phoneticPr fontId="15" type="noConversion"/>
  </si>
  <si>
    <t>62~70</t>
    <phoneticPr fontId="15" type="noConversion"/>
  </si>
  <si>
    <t>데이터 관리시스템 고도화</t>
    <phoneticPr fontId="15" type="noConversion"/>
  </si>
  <si>
    <t>데이터 관리시스템 고도화</t>
    <phoneticPr fontId="15" type="noConversion"/>
  </si>
  <si>
    <t>62~70</t>
    <phoneticPr fontId="15" type="noConversion"/>
  </si>
  <si>
    <t>시험운영 방안</t>
    <phoneticPr fontId="15" type="noConversion"/>
  </si>
  <si>
    <t>116~118</t>
    <phoneticPr fontId="15" type="noConversion"/>
  </si>
  <si>
    <t>시험운영 방안</t>
    <phoneticPr fontId="15" type="noConversion"/>
  </si>
  <si>
    <t>116~118</t>
    <phoneticPr fontId="15" type="noConversion"/>
  </si>
  <si>
    <t>시험운영 방안</t>
    <phoneticPr fontId="15" type="noConversion"/>
  </si>
  <si>
    <t>단계별 시험내용</t>
    <phoneticPr fontId="15" type="noConversion"/>
  </si>
  <si>
    <t>116~117</t>
    <phoneticPr fontId="15" type="noConversion"/>
  </si>
  <si>
    <t>단계별 시험내용</t>
    <phoneticPr fontId="15" type="noConversion"/>
  </si>
  <si>
    <t>116~117</t>
    <phoneticPr fontId="15" type="noConversion"/>
  </si>
  <si>
    <t>단계별 시험내용</t>
    <phoneticPr fontId="15" type="noConversion"/>
  </si>
  <si>
    <t>116~117</t>
    <phoneticPr fontId="15" type="noConversion"/>
  </si>
  <si>
    <t>116~117</t>
    <phoneticPr fontId="15" type="noConversion"/>
  </si>
  <si>
    <t>보안관리 방안
작업장소 관리</t>
    <phoneticPr fontId="15" type="noConversion"/>
  </si>
  <si>
    <t>97~105</t>
    <phoneticPr fontId="15" type="noConversion"/>
  </si>
  <si>
    <t>보안관리 방안
작업장소 관리</t>
    <phoneticPr fontId="15" type="noConversion"/>
  </si>
  <si>
    <t>97~105</t>
    <phoneticPr fontId="15" type="noConversion"/>
  </si>
  <si>
    <t>97~105</t>
    <phoneticPr fontId="15" type="noConversion"/>
  </si>
  <si>
    <t>보안관리 방안
작업장소 관리</t>
    <phoneticPr fontId="15" type="noConversion"/>
  </si>
  <si>
    <t>보안관리 방안
작업장소 관리</t>
    <phoneticPr fontId="15" type="noConversion"/>
  </si>
  <si>
    <t>97~105</t>
    <phoneticPr fontId="15" type="noConversion"/>
  </si>
  <si>
    <t>97~105</t>
    <phoneticPr fontId="15" type="noConversion"/>
  </si>
  <si>
    <t>비상대응체계</t>
    <phoneticPr fontId="15" type="noConversion"/>
  </si>
  <si>
    <t>114~115</t>
    <phoneticPr fontId="15" type="noConversion"/>
  </si>
  <si>
    <t>114~115</t>
    <phoneticPr fontId="15" type="noConversion"/>
  </si>
  <si>
    <t>비상대응체계</t>
    <phoneticPr fontId="15" type="noConversion"/>
  </si>
  <si>
    <t>교육훈련 방안</t>
    <phoneticPr fontId="15" type="noConversion"/>
  </si>
  <si>
    <t>UI/UX 재설계 방안</t>
    <phoneticPr fontId="15" type="noConversion"/>
  </si>
  <si>
    <t>LX플랫폼 재설계 공통기능 및 각 시스템 반영 방안</t>
    <phoneticPr fontId="15" type="noConversion"/>
  </si>
  <si>
    <t>9~10</t>
    <phoneticPr fontId="15" type="noConversion"/>
  </si>
  <si>
    <t>9~10</t>
    <phoneticPr fontId="15" type="noConversion"/>
  </si>
  <si>
    <t>주요 구축내용</t>
    <phoneticPr fontId="15" type="noConversion"/>
  </si>
  <si>
    <t>14~15</t>
    <phoneticPr fontId="15" type="noConversion"/>
  </si>
  <si>
    <t>기술적용 계획표</t>
    <phoneticPr fontId="15" type="noConversion"/>
  </si>
  <si>
    <t>120~126</t>
    <phoneticPr fontId="15" type="noConversion"/>
  </si>
  <si>
    <t>기술적용 계획표</t>
    <phoneticPr fontId="15" type="noConversion"/>
  </si>
  <si>
    <t>120~126</t>
    <phoneticPr fontId="15" type="noConversion"/>
  </si>
  <si>
    <t>120~126</t>
    <phoneticPr fontId="15" type="noConversion"/>
  </si>
  <si>
    <t>기술적용 계획표</t>
    <phoneticPr fontId="15" type="noConversion"/>
  </si>
  <si>
    <t>120~126</t>
    <phoneticPr fontId="15" type="noConversion"/>
  </si>
  <si>
    <t>산출물 계획</t>
    <phoneticPr fontId="15" type="noConversion"/>
  </si>
  <si>
    <t>84~85</t>
    <phoneticPr fontId="15" type="noConversion"/>
  </si>
  <si>
    <t>산출물 계획</t>
    <phoneticPr fontId="15" type="noConversion"/>
  </si>
  <si>
    <t>사업관리 계획</t>
    <phoneticPr fontId="15" type="noConversion"/>
  </si>
  <si>
    <t>89~92</t>
    <phoneticPr fontId="15" type="noConversion"/>
  </si>
  <si>
    <t xml:space="preserve">사업추진 일정 </t>
    <phoneticPr fontId="15" type="noConversion"/>
  </si>
  <si>
    <t>사업관리 계획</t>
    <phoneticPr fontId="15" type="noConversion"/>
  </si>
  <si>
    <t>89~92</t>
    <phoneticPr fontId="15" type="noConversion"/>
  </si>
  <si>
    <t>의사소통 방안</t>
    <phoneticPr fontId="15" type="noConversion"/>
  </si>
  <si>
    <t>86~87</t>
    <phoneticPr fontId="15" type="noConversion"/>
  </si>
  <si>
    <t>통합 개발환경 구축</t>
    <phoneticPr fontId="15" type="noConversion"/>
  </si>
  <si>
    <t>사업추진 일정</t>
  </si>
  <si>
    <t>보고종류와 시기</t>
    <phoneticPr fontId="15" type="noConversion"/>
  </si>
  <si>
    <t>위험요소별 대응 계획</t>
    <phoneticPr fontId="15" type="noConversion"/>
  </si>
  <si>
    <t>사업수행 절차</t>
    <phoneticPr fontId="15" type="noConversion"/>
  </si>
  <si>
    <t>위험관리 방안</t>
    <phoneticPr fontId="15" type="noConversion"/>
  </si>
  <si>
    <t>93~96</t>
    <phoneticPr fontId="15" type="noConversion"/>
  </si>
  <si>
    <t>93~96</t>
    <phoneticPr fontId="15" type="noConversion"/>
  </si>
  <si>
    <t>위험관리 방안</t>
    <phoneticPr fontId="15" type="noConversion"/>
  </si>
  <si>
    <t>93~96</t>
    <phoneticPr fontId="15" type="noConversion"/>
  </si>
  <si>
    <t>93~96</t>
    <phoneticPr fontId="15" type="noConversion"/>
  </si>
  <si>
    <t>사업관리 단계별 세부방안</t>
    <phoneticPr fontId="15" type="noConversion"/>
  </si>
  <si>
    <t>사업관리 단계별 세부방안</t>
    <phoneticPr fontId="15" type="noConversion"/>
  </si>
  <si>
    <t>사업관리 단계별 세부방안</t>
    <phoneticPr fontId="15" type="noConversion"/>
  </si>
  <si>
    <t>SW 사업정보 저장소 데이터 작성 및 제출</t>
    <phoneticPr fontId="15" type="noConversion"/>
  </si>
  <si>
    <t>SW 사업정보 저장소 데이터 작성 및 제출</t>
    <phoneticPr fontId="15" type="noConversion"/>
  </si>
  <si>
    <t>84~85</t>
    <phoneticPr fontId="15" type="noConversion"/>
  </si>
  <si>
    <t>84~85</t>
    <phoneticPr fontId="15" type="noConversion"/>
  </si>
  <si>
    <t>109~110</t>
    <phoneticPr fontId="15" type="noConversion"/>
  </si>
  <si>
    <t>교육훈련 방안</t>
    <phoneticPr fontId="15" type="noConversion"/>
  </si>
  <si>
    <t>교육훈련 방안</t>
    <phoneticPr fontId="15" type="noConversion"/>
  </si>
  <si>
    <t>기술지원 방안</t>
    <phoneticPr fontId="15" type="noConversion"/>
  </si>
  <si>
    <t>110~111</t>
    <phoneticPr fontId="15" type="noConversion"/>
  </si>
  <si>
    <t>하자보수 계획</t>
    <phoneticPr fontId="15" type="noConversion"/>
  </si>
  <si>
    <t>하자보수 계획</t>
    <phoneticPr fontId="15" type="noConversion"/>
  </si>
  <si>
    <t>112~113</t>
    <phoneticPr fontId="15" type="noConversion"/>
  </si>
  <si>
    <t>하자보수 계획</t>
    <phoneticPr fontId="15" type="noConversion"/>
  </si>
  <si>
    <t>112~113</t>
    <phoneticPr fontId="15" type="noConversion"/>
  </si>
  <si>
    <t>LX플랫품 통합 아키텍처 구성</t>
  </si>
  <si>
    <t>합아키텍처 구성에 따른 기능 재배치</t>
  </si>
  <si>
    <t>Ⅳ 1.4분야별 성능 측정</t>
    <phoneticPr fontId="0" type="noConversion"/>
  </si>
  <si>
    <t>137~138</t>
    <phoneticPr fontId="0" type="noConversion"/>
  </si>
  <si>
    <t>Ⅳ 3.3 사용자 인터페이스 (1/2)</t>
    <phoneticPr fontId="0" type="noConversion"/>
  </si>
  <si>
    <t xml:space="preserve">Ⅳ 3.3 사용자 인터페이스 (2/2)
</t>
    <phoneticPr fontId="15" type="noConversion"/>
  </si>
  <si>
    <t>Ⅳ 1.4.1  응용프로그램 측정 항목</t>
    <phoneticPr fontId="0" type="noConversion"/>
  </si>
  <si>
    <t xml:space="preserve">Ⅳ 3.1 인터페이스 일반
</t>
    <phoneticPr fontId="0" type="noConversion"/>
  </si>
  <si>
    <t>149~150</t>
    <phoneticPr fontId="0" type="noConversion"/>
  </si>
  <si>
    <t>149~150</t>
    <phoneticPr fontId="0" type="noConversion"/>
  </si>
  <si>
    <t xml:space="preserve">Ⅳ 3.2 시스템 인터페이스
</t>
    <phoneticPr fontId="0" type="noConversion"/>
  </si>
  <si>
    <t xml:space="preserve">Ⅳ 3.1 인터페이스 일반
</t>
    <phoneticPr fontId="0" type="noConversion"/>
  </si>
  <si>
    <t>Ⅳ 3.3 사용자 인터페이스 (1/2)</t>
    <phoneticPr fontId="0" type="noConversion"/>
  </si>
  <si>
    <t>151~152</t>
    <phoneticPr fontId="15" type="noConversion"/>
  </si>
  <si>
    <t>Ⅳ 데이터 관리체계 구축 전략</t>
    <phoneticPr fontId="15" type="noConversion"/>
  </si>
  <si>
    <t xml:space="preserve">Ⅳ 3.1 데이터 관리체계 구축 전략
</t>
    <phoneticPr fontId="0" type="noConversion"/>
  </si>
  <si>
    <r>
      <rPr>
        <sz val="11"/>
        <rFont val="맑은 고딕"/>
        <family val="3"/>
        <charset val="129"/>
      </rPr>
      <t>Ⅱ</t>
    </r>
    <r>
      <rPr>
        <sz val="11"/>
        <rFont val="맑은 고딕"/>
        <family val="2"/>
        <charset val="129"/>
        <scheme val="minor"/>
      </rPr>
      <t xml:space="preserve"> 5.3 주요 산출물 내역 및 제출시기</t>
    </r>
    <phoneticPr fontId="15" type="noConversion"/>
  </si>
  <si>
    <t>51~52</t>
    <phoneticPr fontId="15" type="noConversion"/>
  </si>
  <si>
    <r>
      <rPr>
        <sz val="11"/>
        <rFont val="맑은 고딕"/>
        <family val="3"/>
        <charset val="129"/>
      </rPr>
      <t>Ⅲ</t>
    </r>
    <r>
      <rPr>
        <sz val="11"/>
        <rFont val="맑은 고딕"/>
        <family val="2"/>
        <charset val="129"/>
        <scheme val="minor"/>
      </rPr>
      <t xml:space="preserve"> 1.21 영상데이터 관리체계 구축
</t>
    </r>
    <phoneticPr fontId="15" type="noConversion"/>
  </si>
  <si>
    <t xml:space="preserve">Ⅲ 1.19 데이터 관리시스템 고도화 개요
</t>
    <phoneticPr fontId="15" type="noConversion"/>
  </si>
  <si>
    <t>106~107</t>
    <phoneticPr fontId="15" type="noConversion"/>
  </si>
  <si>
    <r>
      <t>Ⅲ 3.1 데이터 관리체계 구축 전략</t>
    </r>
    <r>
      <rPr>
        <b/>
        <sz val="11"/>
        <rFont val="맑은 고딕"/>
        <family val="3"/>
        <charset val="129"/>
        <scheme val="minor"/>
      </rPr>
      <t xml:space="preserve">
</t>
    </r>
    <phoneticPr fontId="15" type="noConversion"/>
  </si>
  <si>
    <t xml:space="preserve">Ⅲ 3.2 데이터 관리체계 구축 방안(1/2)
</t>
    <phoneticPr fontId="15" type="noConversion"/>
  </si>
  <si>
    <t>127~128</t>
    <phoneticPr fontId="15" type="noConversion"/>
  </si>
  <si>
    <t>127~128</t>
    <phoneticPr fontId="15" type="noConversion"/>
  </si>
  <si>
    <t xml:space="preserve">Ⅲ 3.2 데이터 관리체계 구축 방안(1/2)
</t>
    <phoneticPr fontId="15" type="noConversion"/>
  </si>
  <si>
    <r>
      <rPr>
        <sz val="11"/>
        <rFont val="맑은 고딕"/>
        <family val="3"/>
        <charset val="129"/>
      </rPr>
      <t>Ⅳ</t>
    </r>
    <r>
      <rPr>
        <sz val="11"/>
        <rFont val="맑은 고딕"/>
        <family val="2"/>
        <charset val="129"/>
        <scheme val="minor"/>
      </rPr>
      <t>. 3.3 데이터 이관</t>
    </r>
    <phoneticPr fontId="0" type="noConversion"/>
  </si>
  <si>
    <r>
      <rPr>
        <sz val="11"/>
        <rFont val="맑은 고딕"/>
        <family val="3"/>
        <charset val="129"/>
      </rPr>
      <t>Ⅳ</t>
    </r>
    <r>
      <rPr>
        <sz val="11"/>
        <rFont val="맑은 고딕"/>
        <family val="2"/>
        <charset val="129"/>
        <scheme val="minor"/>
      </rPr>
      <t>. 3.3 데이터 이관</t>
    </r>
    <phoneticPr fontId="0" type="noConversion"/>
  </si>
  <si>
    <r>
      <rPr>
        <sz val="11"/>
        <rFont val="맑은 고딕"/>
        <family val="3"/>
        <charset val="129"/>
      </rPr>
      <t>Ⅳ</t>
    </r>
    <r>
      <rPr>
        <sz val="11"/>
        <rFont val="맑은 고딕"/>
        <family val="2"/>
        <charset val="129"/>
        <scheme val="minor"/>
      </rPr>
      <t>. 3.3 데이터 이관</t>
    </r>
    <phoneticPr fontId="0" type="noConversion"/>
  </si>
  <si>
    <r>
      <rPr>
        <sz val="11"/>
        <rFont val="맑은 고딕"/>
        <family val="3"/>
        <charset val="129"/>
      </rPr>
      <t>Ⅳ</t>
    </r>
    <r>
      <rPr>
        <sz val="11"/>
        <rFont val="맑은 고딕"/>
        <family val="2"/>
        <charset val="129"/>
        <scheme val="minor"/>
      </rPr>
      <t xml:space="preserve">. 3.4 공공데이터 관리
</t>
    </r>
    <phoneticPr fontId="0" type="noConversion"/>
  </si>
  <si>
    <r>
      <rPr>
        <sz val="11"/>
        <rFont val="맑은 고딕"/>
        <family val="3"/>
        <charset val="129"/>
      </rPr>
      <t>Ⅳ</t>
    </r>
    <r>
      <rPr>
        <sz val="11"/>
        <rFont val="맑은 고딕"/>
        <family val="2"/>
        <charset val="129"/>
        <scheme val="minor"/>
      </rPr>
      <t xml:space="preserve">. 3.4 공공데이터 관리
</t>
    </r>
    <phoneticPr fontId="0" type="noConversion"/>
  </si>
  <si>
    <t>Ⅳ. 4.1 시험 방법론</t>
    <phoneticPr fontId="0" type="noConversion"/>
  </si>
  <si>
    <t>Ⅳ. 4.1 시험 방법론</t>
    <phoneticPr fontId="0" type="noConversion"/>
  </si>
  <si>
    <t>Ⅳ. 4.1 시험 방법론</t>
    <phoneticPr fontId="0" type="noConversion"/>
  </si>
  <si>
    <t>Ⅳ. 4.2 단계별 시험 방법 및 절차(1/4)</t>
    <phoneticPr fontId="0" type="noConversion"/>
  </si>
  <si>
    <t>Ⅳ. 4.2 단계별 시험 방법 및 절차(1/4)</t>
    <phoneticPr fontId="0" type="noConversion"/>
  </si>
  <si>
    <t>Ⅳ. 4.2 단계별 시험 방법 및 절차(2/4)</t>
    <phoneticPr fontId="0" type="noConversion"/>
  </si>
  <si>
    <t>Ⅳ. 4.2 단계별 시험 방법 및 절차(2/4)</t>
    <phoneticPr fontId="0" type="noConversion"/>
  </si>
  <si>
    <t>Ⅳ. 4.2 단계별 시험 방법 및 절차(3/4)</t>
    <phoneticPr fontId="0" type="noConversion"/>
  </si>
  <si>
    <t>Ⅳ. 4.2 단계별 시험 방법 및 절차(3/4)</t>
    <phoneticPr fontId="0" type="noConversion"/>
  </si>
  <si>
    <t>Ⅳ. 4.2 단계별 시험 방법 및 절차(3/4)</t>
    <phoneticPr fontId="0" type="noConversion"/>
  </si>
  <si>
    <t>Ⅳ. 4.2 단계별 시험 방법 및 절차(4/4)</t>
    <phoneticPr fontId="0" type="noConversion"/>
  </si>
  <si>
    <t>Ⅳ. 4.2 단계별 시험 방법 및 절차(4/4)</t>
    <phoneticPr fontId="0" type="noConversion"/>
  </si>
  <si>
    <t>Ⅳ. 4.2 단계별 시험 방법 및 절차(4/4)</t>
    <phoneticPr fontId="0" type="noConversion"/>
  </si>
  <si>
    <t>Ⅴ. 5.1 시스템 기밀보안</t>
    <phoneticPr fontId="0" type="noConversion"/>
  </si>
  <si>
    <t xml:space="preserve">Ⅲ 2.1 보안관리 개요
</t>
    <phoneticPr fontId="15" type="noConversion"/>
  </si>
  <si>
    <t>121~122</t>
    <phoneticPr fontId="15" type="noConversion"/>
  </si>
  <si>
    <t xml:space="preserve">Ⅲ 2.1 보안관리 개요
</t>
    <phoneticPr fontId="15" type="noConversion"/>
  </si>
  <si>
    <t>121~122</t>
    <phoneticPr fontId="15" type="noConversion"/>
  </si>
  <si>
    <t>Ⅴ. 5.2 개인정보 보호 대책 및 저작권 보호</t>
    <phoneticPr fontId="0" type="noConversion"/>
  </si>
  <si>
    <t>Ⅴ. 5.2 개인정보 보호 대책 및 저작권 보호</t>
    <phoneticPr fontId="0" type="noConversion"/>
  </si>
  <si>
    <t xml:space="preserve">Ⅲ 4.1 시스템 운영 방안
</t>
    <phoneticPr fontId="15" type="noConversion"/>
  </si>
  <si>
    <t>131~132</t>
    <phoneticPr fontId="15" type="noConversion"/>
  </si>
  <si>
    <t xml:space="preserve">Ⅲ 2.2 보안지침
</t>
    <phoneticPr fontId="15" type="noConversion"/>
  </si>
  <si>
    <t xml:space="preserve">Ⅲ 2.4 데이터 보안
</t>
    <phoneticPr fontId="15" type="noConversion"/>
  </si>
  <si>
    <t xml:space="preserve">Ⅲ 2.4 데이터 보안
</t>
    <phoneticPr fontId="15" type="noConversion"/>
  </si>
  <si>
    <t>Ⅵ 5.1 시스템 기밀보안</t>
    <phoneticPr fontId="15" type="noConversion"/>
  </si>
  <si>
    <t>Ⅵ 5.1 시스템 기밀보안</t>
    <phoneticPr fontId="15" type="noConversion"/>
  </si>
  <si>
    <t xml:space="preserve">Ⅲ 2.2 보안지침
</t>
    <phoneticPr fontId="15" type="noConversion"/>
  </si>
  <si>
    <r>
      <rPr>
        <sz val="11"/>
        <rFont val="맑은 고딕"/>
        <family val="3"/>
        <charset val="129"/>
      </rPr>
      <t>Ⅵ</t>
    </r>
    <r>
      <rPr>
        <sz val="11"/>
        <rFont val="맑은 고딕"/>
        <family val="2"/>
        <charset val="129"/>
        <scheme val="minor"/>
      </rPr>
      <t xml:space="preserve"> 5.1 시스템 기밀보안</t>
    </r>
    <phoneticPr fontId="0" type="noConversion"/>
  </si>
  <si>
    <t>Ⅵ 5.1 시스템 기밀보안</t>
    <phoneticPr fontId="0" type="noConversion"/>
  </si>
  <si>
    <t xml:space="preserve">Ⅵ 5.2 개인정보 보호 대책 및 저작권 보호
</t>
    <phoneticPr fontId="15" type="noConversion"/>
  </si>
  <si>
    <t xml:space="preserve">Ⅵ 5.2 개인정보 보호 대책 및 저작권 보호
</t>
    <phoneticPr fontId="15" type="noConversion"/>
  </si>
  <si>
    <t xml:space="preserve">Ⅵ 5.2 개인정보 보호 대책 및 저작권 보호
</t>
    <phoneticPr fontId="15" type="noConversion"/>
  </si>
  <si>
    <t xml:space="preserve">Ⅵ 5.2 개인정보 보호 대책 및 저작권 보호
</t>
    <phoneticPr fontId="15" type="noConversion"/>
  </si>
  <si>
    <r>
      <rPr>
        <sz val="11"/>
        <rFont val="맑은 고딕"/>
        <family val="3"/>
        <charset val="129"/>
      </rPr>
      <t>Ⅳ</t>
    </r>
    <r>
      <rPr>
        <sz val="9.35"/>
        <rFont val="맑은 고딕"/>
        <family val="3"/>
        <charset val="129"/>
      </rPr>
      <t xml:space="preserve"> </t>
    </r>
    <r>
      <rPr>
        <sz val="11"/>
        <rFont val="맑은 고딕"/>
        <family val="2"/>
        <charset val="129"/>
        <scheme val="minor"/>
      </rPr>
      <t xml:space="preserve">2.1 품질관리 개요
</t>
    </r>
    <phoneticPr fontId="15" type="noConversion"/>
  </si>
  <si>
    <t xml:space="preserve">Ⅵ 6.2 백업 및 복구
</t>
    <phoneticPr fontId="15" type="noConversion"/>
  </si>
  <si>
    <t xml:space="preserve">Ⅵ 6.2 백업 및 복구
</t>
    <phoneticPr fontId="15" type="noConversion"/>
  </si>
  <si>
    <t xml:space="preserve">Ⅳ 2.5.2 시스템의 이해 용이성과 사용성
</t>
    <phoneticPr fontId="15" type="noConversion"/>
  </si>
  <si>
    <t xml:space="preserve">Ⅳ 3.1 인터페이스 일반
</t>
    <phoneticPr fontId="15" type="noConversion"/>
  </si>
  <si>
    <t xml:space="preserve">Ⅳ 3.1 인터페이스 일반
</t>
    <phoneticPr fontId="15" type="noConversion"/>
  </si>
  <si>
    <r>
      <rPr>
        <sz val="11"/>
        <rFont val="맑은 고딕"/>
        <family val="3"/>
        <charset val="129"/>
      </rPr>
      <t>Ⅳ</t>
    </r>
    <r>
      <rPr>
        <sz val="9.35"/>
        <rFont val="맑은 고딕"/>
        <family val="3"/>
        <charset val="129"/>
      </rPr>
      <t xml:space="preserve"> </t>
    </r>
    <r>
      <rPr>
        <sz val="11"/>
        <rFont val="맑은 고딕"/>
        <family val="2"/>
        <charset val="129"/>
        <scheme val="minor"/>
      </rPr>
      <t xml:space="preserve">2.1 품질관리 개요
</t>
    </r>
    <phoneticPr fontId="15" type="noConversion"/>
  </si>
  <si>
    <r>
      <rPr>
        <sz val="11"/>
        <rFont val="맑은 고딕"/>
        <family val="3"/>
        <charset val="129"/>
      </rPr>
      <t>Ⅴ</t>
    </r>
    <r>
      <rPr>
        <sz val="11"/>
        <rFont val="맑은 고딕"/>
        <family val="2"/>
        <charset val="129"/>
        <scheme val="minor"/>
      </rPr>
      <t>PMR–005 개발환경 구성</t>
    </r>
    <phoneticPr fontId="15" type="noConversion"/>
  </si>
  <si>
    <r>
      <rPr>
        <sz val="11"/>
        <rFont val="맑은 고딕"/>
        <family val="3"/>
        <charset val="129"/>
      </rPr>
      <t>Ⅴ</t>
    </r>
    <r>
      <rPr>
        <sz val="11"/>
        <rFont val="맑은 고딕"/>
        <family val="2"/>
        <charset val="129"/>
        <scheme val="minor"/>
      </rPr>
      <t>PMR–005 개발환경 구성</t>
    </r>
    <phoneticPr fontId="15" type="noConversion"/>
  </si>
  <si>
    <r>
      <rPr>
        <sz val="11"/>
        <rFont val="맑은 고딕"/>
        <family val="3"/>
        <charset val="129"/>
      </rPr>
      <t>Ⅱ</t>
    </r>
    <r>
      <rPr>
        <sz val="9.35"/>
        <rFont val="맑은 고딕"/>
        <family val="3"/>
        <charset val="129"/>
      </rPr>
      <t xml:space="preserve"> </t>
    </r>
    <r>
      <rPr>
        <sz val="11"/>
        <rFont val="맑은 고딕"/>
        <family val="3"/>
        <charset val="129"/>
        <scheme val="minor"/>
      </rPr>
      <t xml:space="preserve">4.2 </t>
    </r>
    <r>
      <rPr>
        <sz val="11"/>
        <rFont val="맑은 고딕"/>
        <family val="2"/>
        <charset val="129"/>
        <scheme val="minor"/>
      </rPr>
      <t>표준</t>
    </r>
    <r>
      <rPr>
        <sz val="11"/>
        <rFont val="맑은 고딕"/>
        <family val="3"/>
        <charset val="129"/>
        <scheme val="minor"/>
      </rPr>
      <t xml:space="preserve"> </t>
    </r>
    <r>
      <rPr>
        <sz val="11"/>
        <rFont val="맑은 고딕"/>
        <family val="2"/>
        <charset val="129"/>
        <scheme val="minor"/>
      </rPr>
      <t>프레임워크</t>
    </r>
    <r>
      <rPr>
        <sz val="11"/>
        <rFont val="맑은 고딕"/>
        <family val="3"/>
        <charset val="129"/>
        <scheme val="minor"/>
      </rPr>
      <t xml:space="preserve"> </t>
    </r>
    <r>
      <rPr>
        <sz val="11"/>
        <rFont val="맑은 고딕"/>
        <family val="2"/>
        <charset val="129"/>
        <scheme val="minor"/>
      </rPr>
      <t>적용</t>
    </r>
    <r>
      <rPr>
        <sz val="11"/>
        <rFont val="맑은 고딕"/>
        <family val="3"/>
        <charset val="129"/>
        <scheme val="minor"/>
      </rPr>
      <t xml:space="preserve"> </t>
    </r>
    <r>
      <rPr>
        <sz val="11"/>
        <rFont val="맑은 고딕"/>
        <family val="2"/>
        <charset val="129"/>
        <scheme val="minor"/>
      </rPr>
      <t>방안</t>
    </r>
    <phoneticPr fontId="15" type="noConversion"/>
  </si>
  <si>
    <r>
      <rPr>
        <sz val="12"/>
        <color rgb="FF000000"/>
        <rFont val="맑은 고딕"/>
        <family val="3"/>
        <charset val="129"/>
      </rPr>
      <t>Ⅲ</t>
    </r>
    <r>
      <rPr>
        <sz val="12"/>
        <color rgb="FF000000"/>
        <rFont val="NanumSquare"/>
        <family val="3"/>
      </rPr>
      <t xml:space="preserve"> 4.1 시스템 운영 방안</t>
    </r>
    <phoneticPr fontId="15" type="noConversion"/>
  </si>
  <si>
    <r>
      <rPr>
        <sz val="12"/>
        <color rgb="FF000000"/>
        <rFont val="맑은 고딕"/>
        <family val="3"/>
        <charset val="129"/>
      </rPr>
      <t>Ⅲ</t>
    </r>
    <r>
      <rPr>
        <sz val="12"/>
        <color rgb="FF000000"/>
        <rFont val="NanumSquare"/>
        <family val="3"/>
      </rPr>
      <t xml:space="preserve"> 4.1 시스템 운영 방안</t>
    </r>
    <phoneticPr fontId="15" type="noConversion"/>
  </si>
  <si>
    <r>
      <rPr>
        <sz val="12"/>
        <color rgb="FF000000"/>
        <rFont val="맑은 고딕"/>
        <family val="3"/>
        <charset val="129"/>
      </rPr>
      <t>Ⅲ</t>
    </r>
    <r>
      <rPr>
        <sz val="12"/>
        <color rgb="FF000000"/>
        <rFont val="NanumSquare"/>
        <family val="3"/>
      </rPr>
      <t xml:space="preserve"> 4.1 시스템 운영 방안</t>
    </r>
    <phoneticPr fontId="15" type="noConversion"/>
  </si>
  <si>
    <t>Ⅲ 4.1 시스템 운영 방안</t>
  </si>
  <si>
    <t>Ⅳ 3.3 사용자 인터페이스 (1/2)</t>
    <phoneticPr fontId="0" type="noConversion"/>
  </si>
  <si>
    <t>151~152</t>
    <phoneticPr fontId="15" type="noConversion"/>
  </si>
  <si>
    <t>Ⅳ 3.3 사용자 인터페이스 (1/2)</t>
    <phoneticPr fontId="0" type="noConversion"/>
  </si>
  <si>
    <t>151~152</t>
    <phoneticPr fontId="15" type="noConversion"/>
  </si>
  <si>
    <r>
      <rPr>
        <sz val="11"/>
        <rFont val="맑은 고딕"/>
        <family val="3"/>
        <charset val="129"/>
      </rPr>
      <t>Ⅲ</t>
    </r>
    <r>
      <rPr>
        <sz val="9.35"/>
        <rFont val="맑은 고딕"/>
        <family val="3"/>
        <charset val="129"/>
      </rPr>
      <t xml:space="preserve"> </t>
    </r>
    <r>
      <rPr>
        <sz val="11"/>
        <rFont val="맑은 고딕"/>
        <family val="2"/>
        <charset val="129"/>
        <scheme val="minor"/>
      </rPr>
      <t>2.1 보안관리 개요</t>
    </r>
    <phoneticPr fontId="15" type="noConversion"/>
  </si>
  <si>
    <t>Ⅱ 1.5 제안의 특장점(2/6)</t>
    <phoneticPr fontId="15" type="noConversion"/>
  </si>
  <si>
    <t>Ⅳ 2.1 품질관리 개요</t>
    <phoneticPr fontId="0" type="noConversion"/>
  </si>
  <si>
    <t>Ⅳ 2.1 품질관리 개요</t>
    <phoneticPr fontId="0" type="noConversion"/>
  </si>
  <si>
    <t>159~161</t>
    <phoneticPr fontId="0" type="noConversion"/>
  </si>
  <si>
    <t xml:space="preserve">Ⅳ 2.5 단계별 품질 관리 활동 
</t>
    <phoneticPr fontId="15" type="noConversion"/>
  </si>
  <si>
    <t>Ⅴ 위험관리 개요</t>
    <phoneticPr fontId="15" type="noConversion"/>
  </si>
  <si>
    <t>Ⅴ. 1.1 사업관리 방법론(1/2)</t>
    <phoneticPr fontId="0" type="noConversion"/>
  </si>
  <si>
    <t>159~160</t>
    <phoneticPr fontId="0" type="noConversion"/>
  </si>
  <si>
    <t>Ⅳ 4.1 시험 방법론</t>
    <phoneticPr fontId="15" type="noConversion"/>
  </si>
  <si>
    <t>Ⅴ 1.3 일정관리</t>
    <phoneticPr fontId="15" type="noConversion"/>
  </si>
  <si>
    <t>Ⅴ. 1.3 일정관리</t>
    <phoneticPr fontId="0" type="noConversion"/>
  </si>
  <si>
    <t>Ⅴ. 1.4 요구사항 관리</t>
    <phoneticPr fontId="0" type="noConversion"/>
  </si>
  <si>
    <t>Ⅴ. 1.4 요구사항 관리</t>
    <phoneticPr fontId="0" type="noConversion"/>
  </si>
  <si>
    <t>Ⅴ. 1.5 위험관리
Ⅴ. 6.1 비상대응 체계</t>
    <phoneticPr fontId="0" type="noConversion"/>
  </si>
  <si>
    <t>164
193</t>
    <phoneticPr fontId="0" type="noConversion"/>
  </si>
  <si>
    <t>Ⅴ. 6.1 비상대응 체계</t>
    <phoneticPr fontId="0" type="noConversion"/>
  </si>
  <si>
    <r>
      <rPr>
        <sz val="11"/>
        <rFont val="맑은 고딕"/>
        <family val="3"/>
        <charset val="129"/>
      </rPr>
      <t>Ⅲ</t>
    </r>
    <r>
      <rPr>
        <sz val="11"/>
        <rFont val="맑은 고딕"/>
        <family val="2"/>
        <charset val="129"/>
      </rPr>
      <t xml:space="preserve"> </t>
    </r>
    <r>
      <rPr>
        <sz val="11"/>
        <rFont val="맑은 고딕"/>
        <family val="2"/>
        <charset val="129"/>
        <scheme val="minor"/>
      </rPr>
      <t>3.3 데이터 이관</t>
    </r>
    <phoneticPr fontId="15" type="noConversion"/>
  </si>
  <si>
    <t>Ⅴ 1.2 단계별 관리방안</t>
    <phoneticPr fontId="15" type="noConversion"/>
  </si>
  <si>
    <t xml:space="preserve">Ⅴ 1.2 단계별 관리방안
Ⅴ 1.5 위험관리
</t>
    <phoneticPr fontId="15" type="noConversion"/>
  </si>
  <si>
    <t>161
164</t>
    <phoneticPr fontId="15" type="noConversion"/>
  </si>
  <si>
    <t>Ⅴ. 6.3 장애 대응 절차와 내용</t>
    <phoneticPr fontId="0" type="noConversion"/>
  </si>
  <si>
    <t>Ⅴ. 5.1 시스템 기밀보안</t>
    <phoneticPr fontId="0" type="noConversion"/>
  </si>
  <si>
    <t>Ⅴ 1.9의사소통 및 검수</t>
    <phoneticPr fontId="15" type="noConversion"/>
  </si>
  <si>
    <t>Ⅴ 1.9의사소통 및 검수</t>
    <phoneticPr fontId="15" type="noConversion"/>
  </si>
  <si>
    <t xml:space="preserve">Ⅴ. 1.8 문서(산출물)관리
</t>
    <phoneticPr fontId="0" type="noConversion"/>
  </si>
  <si>
    <t xml:space="preserve">Ⅴ. 1.8 문서(산출물)관리
</t>
    <phoneticPr fontId="0" type="noConversion"/>
  </si>
  <si>
    <r>
      <rPr>
        <sz val="11"/>
        <rFont val="맑은 고딕"/>
        <family val="3"/>
        <charset val="129"/>
      </rPr>
      <t>Ⅴ</t>
    </r>
    <r>
      <rPr>
        <sz val="11"/>
        <rFont val="맑은 고딕"/>
        <family val="2"/>
        <charset val="129"/>
        <scheme val="minor"/>
      </rPr>
      <t>. 3.1 교육훈련 계획</t>
    </r>
    <phoneticPr fontId="0" type="noConversion"/>
  </si>
  <si>
    <r>
      <rPr>
        <sz val="11"/>
        <rFont val="맑은 고딕"/>
        <family val="3"/>
        <charset val="129"/>
      </rPr>
      <t>Ⅴ</t>
    </r>
    <r>
      <rPr>
        <sz val="11"/>
        <rFont val="맑은 고딕"/>
        <family val="2"/>
        <charset val="129"/>
        <scheme val="minor"/>
      </rPr>
      <t>. 3.1 교육훈련 계획</t>
    </r>
    <phoneticPr fontId="0" type="noConversion"/>
  </si>
  <si>
    <r>
      <rPr>
        <sz val="11"/>
        <rFont val="맑은 고딕"/>
        <family val="3"/>
        <charset val="129"/>
      </rPr>
      <t>Ⅴ</t>
    </r>
    <r>
      <rPr>
        <sz val="11"/>
        <rFont val="맑은 고딕"/>
        <family val="2"/>
        <charset val="129"/>
        <scheme val="minor"/>
      </rPr>
      <t>. 3.2 기술이전 방안</t>
    </r>
    <phoneticPr fontId="0" type="noConversion"/>
  </si>
  <si>
    <r>
      <rPr>
        <sz val="11"/>
        <rFont val="맑은 고딕"/>
        <family val="3"/>
        <charset val="129"/>
      </rPr>
      <t>Ⅴ</t>
    </r>
    <r>
      <rPr>
        <sz val="11"/>
        <rFont val="맑은 고딕"/>
        <family val="2"/>
        <charset val="129"/>
        <scheme val="minor"/>
      </rPr>
      <t xml:space="preserve">. 4.1 하자보수 기간 및 방안
</t>
    </r>
    <phoneticPr fontId="0" type="noConversion"/>
  </si>
  <si>
    <r>
      <rPr>
        <sz val="11"/>
        <rFont val="맑은 고딕"/>
        <family val="3"/>
        <charset val="129"/>
      </rPr>
      <t>Ⅴ</t>
    </r>
    <r>
      <rPr>
        <sz val="11"/>
        <rFont val="맑은 고딕"/>
        <family val="2"/>
        <charset val="129"/>
        <scheme val="minor"/>
      </rPr>
      <t>. 4.3 범위와 대상</t>
    </r>
    <phoneticPr fontId="0" type="noConversion"/>
  </si>
  <si>
    <r>
      <rPr>
        <sz val="11"/>
        <rFont val="맑은 고딕"/>
        <family val="3"/>
        <charset val="129"/>
      </rPr>
      <t>Ⅴ</t>
    </r>
    <r>
      <rPr>
        <sz val="11"/>
        <rFont val="맑은 고딕"/>
        <family val="2"/>
        <charset val="129"/>
        <scheme val="minor"/>
      </rPr>
      <t>. 3.1 교육훈련 계획</t>
    </r>
    <phoneticPr fontId="0" type="noConversion"/>
  </si>
  <si>
    <t>186~187</t>
    <phoneticPr fontId="0" type="noConversion"/>
  </si>
  <si>
    <t>Ⅵ 4.1 하자보수 기간 및 방안</t>
    <phoneticPr fontId="15" type="noConversion"/>
  </si>
  <si>
    <t>188~190</t>
    <phoneticPr fontId="15" type="noConversion"/>
  </si>
  <si>
    <t>Ⅵ 4.1 하자보수 기간 및 방안</t>
    <phoneticPr fontId="15" type="noConversion"/>
  </si>
  <si>
    <t>188~190</t>
    <phoneticPr fontId="15" type="noConversion"/>
  </si>
  <si>
    <t>188~190</t>
    <phoneticPr fontId="15" type="noConversion"/>
  </si>
  <si>
    <t xml:space="preserve">Ⅲ. 1.3 클라우드 통합 운영관리 포털 고도화
</t>
    <phoneticPr fontId="15" type="noConversion"/>
  </si>
  <si>
    <t>김성철
김태겸
김정훈
윤종화</t>
    <phoneticPr fontId="15" type="noConversion"/>
  </si>
  <si>
    <t>김성철
김태겸</t>
    <phoneticPr fontId="15" type="noConversion"/>
  </si>
  <si>
    <t>정기찬</t>
    <phoneticPr fontId="15" type="noConversion"/>
  </si>
  <si>
    <t>정기찬
노동선</t>
    <phoneticPr fontId="15" type="noConversion"/>
  </si>
  <si>
    <t>윤종화
김성철
김태겸</t>
    <phoneticPr fontId="15" type="noConversion"/>
  </si>
  <si>
    <t>김성철
김태겸
김정훈
윤종화</t>
    <phoneticPr fontId="15" type="noConversion"/>
  </si>
  <si>
    <t>정기찬
노동선</t>
    <phoneticPr fontId="15" type="noConversion"/>
  </si>
  <si>
    <t>정기찬
김성철
김태겸
김정훈
윤종화</t>
    <phoneticPr fontId="15" type="noConversion"/>
  </si>
  <si>
    <t>LXPFA_FP_005_001
LXPFA_FP_005_002
LXPFA_FP_005_003
LXPFA_FP_005_004
LXPFA_FP_005_005
LXPFA_FP_005_008
LXPFA_FP_005_009</t>
    <phoneticPr fontId="15" type="noConversion"/>
  </si>
  <si>
    <t>데이터 아키텍처</t>
  </si>
  <si>
    <t>어플리케이션 아키텍처</t>
  </si>
  <si>
    <t>업무처리 아키텍처</t>
  </si>
  <si>
    <t>인프라 아키텍처</t>
  </si>
  <si>
    <t>통합 아키텍처 설계서</t>
  </si>
  <si>
    <t>네트워크 아키텍처</t>
  </si>
  <si>
    <t>API 문서</t>
  </si>
  <si>
    <t>업무처리 아키텍처
화면 설계서</t>
  </si>
  <si>
    <t xml:space="preserve">
LXPFA_FP_005_006
LXPFA_FP_005_007</t>
    <phoneticPr fontId="15" type="noConversion"/>
  </si>
  <si>
    <t xml:space="preserve">
LXPFA_FP_005_010
LXPFA_FP_005_011
LXPFA_FP_005_012
LXPFA_FP_005_013
LXPFA_FP_005_014</t>
    <phoneticPr fontId="15" type="noConversion"/>
  </si>
  <si>
    <t xml:space="preserve">
LXPFA_FP_005_015
LXPFA_FP_005_016
LXPFA_FP_005_017</t>
    <phoneticPr fontId="15" type="noConversion"/>
  </si>
  <si>
    <t>LXPFA_FP_005_018
LXPFA_FP_005_019
LXPFA_FP_005_020
LXPFA_FP_005_021
LXPFA_FP_005_022
LXPFA_FP_005_023</t>
    <phoneticPr fontId="15" type="noConversion"/>
  </si>
  <si>
    <t xml:space="preserve">
LXPFA_FP_005_024
LXPFA_FP_005_025</t>
    <phoneticPr fontId="15" type="noConversion"/>
  </si>
  <si>
    <t>LXPFA_FP_007_001
LXPFA_FP_007_002
LXPFA_FP_007_003
LXPFA_FP_007_004
LXPFA_FP_007_005</t>
  </si>
  <si>
    <t>LXPFA_FP_007_006
LXPFA_FP_007_007
LXPFA_FP_007_008</t>
    <phoneticPr fontId="15" type="noConversion"/>
  </si>
  <si>
    <t>LXPFA_FP_007_009</t>
    <phoneticPr fontId="15" type="noConversion"/>
  </si>
  <si>
    <t>LXPFA_FP_007_010
LXPFA_FP_007_011
LXPFA_FP_007_012
LXPFA_FP_007_013</t>
    <phoneticPr fontId="15" type="noConversion"/>
  </si>
  <si>
    <t>LXPFA_FP_007_014</t>
    <phoneticPr fontId="15" type="noConversion"/>
  </si>
  <si>
    <t>LXPFA_FP_007_015</t>
    <phoneticPr fontId="15" type="noConversion"/>
  </si>
  <si>
    <t>LXPFA_FP_007_016</t>
    <phoneticPr fontId="15" type="noConversion"/>
  </si>
  <si>
    <t>LXPFA_FP_007_017
LXPFA_FP_007_018</t>
    <phoneticPr fontId="15" type="noConversion"/>
  </si>
  <si>
    <t>LXPFA_FP_007_019</t>
    <phoneticPr fontId="15" type="noConversion"/>
  </si>
  <si>
    <t>LXPFA_FP_007_20
LXPFA_FP_007_021</t>
    <phoneticPr fontId="15" type="noConversion"/>
  </si>
  <si>
    <t>LXPFA_FP_007_022</t>
    <phoneticPr fontId="15" type="noConversion"/>
  </si>
  <si>
    <t>LXPFA_FP_007_023</t>
    <phoneticPr fontId="15" type="noConversion"/>
  </si>
  <si>
    <t>LXPFA_FP_007_024
LXPFA_FP_007_025
LXPFA_FP_007_026</t>
    <phoneticPr fontId="15" type="noConversion"/>
  </si>
  <si>
    <t>LXPFA_FP_007_027
LXPFA_FP_007_028
LXPFA_FP_007_029
LXPFA_FP_007_030
LXPFA_FP_007_031
LXPFA_FP_007_032
LXPFA_FP_007_033
LXPFA_FP_007_034
LXPFA_FP_007_035</t>
    <phoneticPr fontId="15" type="noConversion"/>
  </si>
  <si>
    <t>LXPFA_FP_007_036
LXPFA_FP_007_037
LXPFA_FP_007_038
LXPFA_FP_007_039
LXPFA_FP_007_040
LXPFA_FP_007_041
LXPFA_FP_007_042
LXPFA_FP_007_043
LXPFA_FP_007_044</t>
    <phoneticPr fontId="15" type="noConversion"/>
  </si>
  <si>
    <t>LXPFA_FP_007_045
LXPFA_FP_007_046
LXPFA_FP_007_047
LXPFA_FP_007_048
LXPFA_FP_007_049
LXPFA_FP_007_050
LXPFA_FP_007_051</t>
    <phoneticPr fontId="15" type="noConversion"/>
  </si>
  <si>
    <t>LXPFA_FP_019_001
LXPFA_FP_019_002
LXPFA_FP_019_003</t>
    <phoneticPr fontId="15" type="noConversion"/>
  </si>
  <si>
    <t>LXPFA_FP_019_003
LXPFA_FP_019_004
LXPFA_FP_019_005</t>
    <phoneticPr fontId="15" type="noConversion"/>
  </si>
  <si>
    <t>LXPFA_FP_019_006
LXPFA_FP_019_007</t>
    <phoneticPr fontId="15" type="noConversion"/>
  </si>
  <si>
    <t>LXPFA_FP_019_008
LXPFA_FP_019_009
LXPFA_FP_019_010
LXPFA_FP_019_011
LXPFA_FP_019_012
LXPFA_FP_019_013</t>
    <phoneticPr fontId="15" type="noConversion"/>
  </si>
  <si>
    <t>LXPFA_FP_019_014
LXPFA_FP_019_015</t>
    <phoneticPr fontId="15" type="noConversion"/>
  </si>
  <si>
    <t>LXPFA_FP_019_016
LXPFA_FP_019_017
LXPFA_FP_019_018
LXPFA_FP_019_019
LXPFA_FP_019_020</t>
    <phoneticPr fontId="15" type="noConversion"/>
  </si>
  <si>
    <t>LXPFA_FP_019_021
LXPFA_FP_019_022
LXPFA_FP_019_023
LXPFA_FP_019_024
LXPFA_FP_019_025</t>
    <phoneticPr fontId="15" type="noConversion"/>
  </si>
  <si>
    <t>LXPFA_FP_019_026
LXPFA_FP_019_027
LXPFA_FP_019_028</t>
    <phoneticPr fontId="15" type="noConversion"/>
  </si>
  <si>
    <t>LXPFA_FP_019_029
LXPFA_FP_019_030
LXPFA_FP_019_031</t>
    <phoneticPr fontId="15" type="noConversion"/>
  </si>
  <si>
    <t>LXPFA_FP_019_032
LXPFA_FP_019_033
LXPFA_FP_019_034</t>
    <phoneticPr fontId="15" type="noConversion"/>
  </si>
  <si>
    <t>LXPFA_FP_019_035
LXPFA_FP_019_036
LXPFA_FP_019_037</t>
    <phoneticPr fontId="15" type="noConversion"/>
  </si>
  <si>
    <t>LXPFA_FP_019_038
LXPFA_FP_019_039</t>
    <phoneticPr fontId="15" type="noConversion"/>
  </si>
  <si>
    <t>LXPFA_FP_019_040
LXPFA_FP_019_041
LXPFA_FP_019_042</t>
    <phoneticPr fontId="15" type="noConversion"/>
  </si>
  <si>
    <t>LXPFA_FP_019_043
LXPFA_FP_019_044
LXPFA_FP_019_045
LXPFA_FP_019_046</t>
    <phoneticPr fontId="15" type="noConversion"/>
  </si>
  <si>
    <t>LXPFA_FP_019_047
LXPFA_FP_019_048
LXPFA_FP_019_049</t>
    <phoneticPr fontId="15" type="noConversion"/>
  </si>
  <si>
    <t>LXPFA_FP_019_050
LXPFA_FP_019_051
LXPFA_FP_019_052
LXPFA_FP_019_053
LXPFA_FP_019_054</t>
    <phoneticPr fontId="15" type="noConversion"/>
  </si>
  <si>
    <t>LXPFA_FP_019_055
LXPFA_FP_019_056</t>
  </si>
  <si>
    <t xml:space="preserve">LXPFA_FP_019_057
LXPFA_FP_019_058
LXPFA_FP_019_059
</t>
    <phoneticPr fontId="15" type="noConversion"/>
  </si>
  <si>
    <t>LXPFA_FP_019_060
LXPFA_FP_019_061
LXPFA_FP_019_062
LXPFA_FP_019_063
LXPFA_FP_019_064
LXPFA_FP_019_065
LXPFA_FP_019_066</t>
    <phoneticPr fontId="15" type="noConversion"/>
  </si>
  <si>
    <t>LXPFA_FP_019_067
LXPFA_FP_019_068
LXPFA_FP_019_069</t>
    <phoneticPr fontId="15" type="noConversion"/>
  </si>
  <si>
    <t>LXPFA_FP_019_070
LXPFA_FP_019_071</t>
    <phoneticPr fontId="15" type="noConversion"/>
  </si>
  <si>
    <t>LXPFA_FP_019_072
LXPFA_FP_019_073
LXPFA_FP_019_074</t>
    <phoneticPr fontId="15" type="noConversion"/>
  </si>
  <si>
    <t>LXPFA_FP_019_075
LXPFA_FP_019_076
LXPFA_FP_019_077
LXPFA_FP_019_078</t>
    <phoneticPr fontId="15" type="noConversion"/>
  </si>
  <si>
    <t>LXPFA_FP_019_079
LXPFA_FP_019_080</t>
    <phoneticPr fontId="15" type="noConversion"/>
  </si>
  <si>
    <t>LXPFA_FP_020_001
LXPFA_FP_020_002</t>
    <phoneticPr fontId="15" type="noConversion"/>
  </si>
  <si>
    <t>LXPFA_FP_020_003
LXPFA_FP_020_004</t>
    <phoneticPr fontId="15" type="noConversion"/>
  </si>
  <si>
    <t>LXPFA_FP_020_005
LXPFA_FP_020_006
LXPFA_FP_020_007</t>
    <phoneticPr fontId="15" type="noConversion"/>
  </si>
  <si>
    <t>LXPFA_FP_020_010
LXPFA_FP_020_011</t>
    <phoneticPr fontId="15" type="noConversion"/>
  </si>
  <si>
    <t>LXPFA_FP_020_012
LXPFA_FP_020_013</t>
    <phoneticPr fontId="15" type="noConversion"/>
  </si>
  <si>
    <t>LXPFA_FP_022_001
LXPFA_FP_022_002</t>
    <phoneticPr fontId="15" type="noConversion"/>
  </si>
  <si>
    <t xml:space="preserve">LXPFA_FP_022_003
LXPFA_FP_022_004
LXPFA_FP_022_005
LXPFA_FP_022_006
</t>
    <phoneticPr fontId="15" type="noConversion"/>
  </si>
  <si>
    <t>LXPFA_FP_022_007
LXPFA_FP_022_008
LXPFA_FP_022_009
LXPFA_FP_022_010</t>
    <phoneticPr fontId="15" type="noConversion"/>
  </si>
  <si>
    <t>LXPFA_FP_022_011
LXPFA_FP_022_012
LXPFA_FP_022_013
LXPFA_FP_022_014</t>
    <phoneticPr fontId="15" type="noConversion"/>
  </si>
  <si>
    <t xml:space="preserve">LXPFA_FP_022_015
LXPFA_FP_022_016
</t>
    <phoneticPr fontId="15" type="noConversion"/>
  </si>
  <si>
    <t>LXPFA_FP_022_017
LXPFA_FP_022_018
LXPFA_FP_022_019</t>
    <phoneticPr fontId="15" type="noConversion"/>
  </si>
  <si>
    <t>LXPFA_FP_022_020
LXPFA_FP_022_021
LXPFA_FP_022_022
LXPFA_FP_022_023</t>
    <phoneticPr fontId="15" type="noConversion"/>
  </si>
  <si>
    <t>LXPFA_FP_022_024
LXPFA_FP_022_025
LXPFA_FP_022_026
LXPFA_FP_022_027</t>
    <phoneticPr fontId="15" type="noConversion"/>
  </si>
  <si>
    <t>LXPFA_FP_022_028
LXPFA_FP_022_029</t>
    <phoneticPr fontId="15" type="noConversion"/>
  </si>
  <si>
    <t>LXPFA_FP_022_030
LXPFA_FP_022_031
LXPFA_FP_022_032</t>
    <phoneticPr fontId="15" type="noConversion"/>
  </si>
  <si>
    <t>LXPFA_FP_022_033
LXPFA_FP_022_034</t>
    <phoneticPr fontId="15" type="noConversion"/>
  </si>
  <si>
    <t>LXPFA_FP_022_035
LXPFA_FP_022_036
LXPFA_FP_022_037</t>
    <phoneticPr fontId="15" type="noConversion"/>
  </si>
  <si>
    <t>LXPFA_FP_022_038
LXPFA_FP_022_039
LXPFA_FP_022_040
LXPFA_FP_022_041</t>
    <phoneticPr fontId="15" type="noConversion"/>
  </si>
  <si>
    <t>LXPFA_FP_022_042
LXPFA_FP_022_043</t>
    <phoneticPr fontId="15" type="noConversion"/>
  </si>
  <si>
    <t>LXPFA_FP_022_044
LXPFA_FP_022_045
LXPFA_FP_022_046</t>
    <phoneticPr fontId="15" type="noConversion"/>
  </si>
  <si>
    <t>LXPFA_FP_022_048
LXPFA_FP_022_049
LXPFA_FP_022_050</t>
    <phoneticPr fontId="15" type="noConversion"/>
  </si>
  <si>
    <t>LXPFA_FP_022_051
LXPFA_FP_022_052
LXPFA_FP_022_053
LXPFA_FP_022_054</t>
    <phoneticPr fontId="15" type="noConversion"/>
  </si>
  <si>
    <t>PM
파트PL</t>
    <phoneticPr fontId="0" type="noConversion"/>
  </si>
  <si>
    <t>PM
파트PL</t>
    <phoneticPr fontId="0" type="noConversion"/>
  </si>
  <si>
    <t>PM
파트PL</t>
    <phoneticPr fontId="0" type="noConversion"/>
  </si>
  <si>
    <t>서가영	부장
신세철	과장
서지현	과장
신지영	책임</t>
    <phoneticPr fontId="0" type="noConversion"/>
  </si>
  <si>
    <t>서가영	부장
신세철	과장
서지현	과장
신지영	책임</t>
    <phoneticPr fontId="0" type="noConversion"/>
  </si>
  <si>
    <t>서가영	부장
신세철	과장
서지현	과장
신지영	책임</t>
    <phoneticPr fontId="0" type="noConversion"/>
  </si>
  <si>
    <t>서가영	부장
신세철	과장
서지현	과장
신지영	책임
파트PL</t>
    <phoneticPr fontId="0" type="noConversion"/>
  </si>
  <si>
    <t>서가영	부장
신세철	과장
서지현	과장
신지영	책임
파트PL</t>
    <phoneticPr fontId="0" type="noConversion"/>
  </si>
  <si>
    <t>서가영	부장
신세철	과장
서지현	과장
신지영	책임
파트PL</t>
    <phoneticPr fontId="0" type="noConversion"/>
  </si>
  <si>
    <t>서가영	부장
신세철	과장
서지현	과장
신지영	책임
파트PL</t>
    <phoneticPr fontId="0" type="noConversion"/>
  </si>
  <si>
    <t>파트PL</t>
    <phoneticPr fontId="0" type="noConversion"/>
  </si>
  <si>
    <t>파트PL</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</si>
  <si>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</si>
  <si>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</si>
  <si>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</si>
  <si>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</si>
  <si>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</si>
  <si>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PM
파트PL</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</si>
  <si>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</si>
  <si>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</si>
  <si>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</si>
  <si>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</si>
  <si>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t>
    <phoneticPr fontId="0" type="noConversion"/>
  </si>
  <si>
    <t>심정환	과장
아마르	과장
임지수	과장
김성철	과장
윤종화	이사
강태우	이사
남현석	사원
김진호	전임
김정훈	연구원
PMO</t>
    <phoneticPr fontId="0" type="noConversion"/>
  </si>
  <si>
    <t>심정환	과장
아마르	과장
임지수	과장
김성철	과장
윤종화	이사
강태우	이사
남현석	사원
김진호	전임
김정훈	연구원
PMO</t>
    <phoneticPr fontId="0" type="noConversion"/>
  </si>
  <si>
    <t>PMO</t>
    <phoneticPr fontId="0" type="noConversion"/>
  </si>
  <si>
    <t>PMO</t>
    <phoneticPr fontId="0" type="noConversion"/>
  </si>
  <si>
    <t>PMO</t>
    <phoneticPr fontId="0" type="noConversion"/>
  </si>
  <si>
    <t>PM
파트PL</t>
    <phoneticPr fontId="0" type="noConversion"/>
  </si>
  <si>
    <t>PMO
심정환	과장
아마르	과장
임지수	과장
김성철	과장
윤종화	이사
강태우	이사
남현석	사원
김진호	전임
김정훈	연구원</t>
    <phoneticPr fontId="0" type="noConversion"/>
  </si>
  <si>
    <t>PM
심정환	과장
아마르	과장
임지수	과장
김성철	과장
윤종화	이사
강태우	이사
남현석	사원
김진호	전임
김정훈	연구원</t>
    <phoneticPr fontId="0" type="noConversion"/>
  </si>
  <si>
    <t>PM
PMO
참여인력</t>
    <phoneticPr fontId="0" type="noConversion"/>
  </si>
  <si>
    <t>PM
PMO
참여인력</t>
    <phoneticPr fontId="0" type="noConversion"/>
  </si>
  <si>
    <t>PM
파트PL
PMO</t>
    <phoneticPr fontId="0" type="noConversion"/>
  </si>
  <si>
    <t>PM
PMO</t>
    <phoneticPr fontId="0" type="noConversion"/>
  </si>
  <si>
    <t>PM
PMO</t>
    <phoneticPr fontId="0" type="noConversion"/>
  </si>
  <si>
    <t>PM
PMO</t>
    <phoneticPr fontId="0" type="noConversion"/>
  </si>
  <si>
    <t>PM
PMO</t>
    <phoneticPr fontId="0" type="noConversion"/>
  </si>
  <si>
    <t>PM
PMO</t>
    <phoneticPr fontId="0" type="noConversion"/>
  </si>
  <si>
    <t>서가영	부장
신세철	과장
서지현	과장
신지영	책임
파트PL</t>
    <phoneticPr fontId="0" type="noConversion"/>
  </si>
  <si>
    <t>PM
파트PL</t>
    <phoneticPr fontId="0" type="noConversion"/>
  </si>
  <si>
    <t>PM
파트PL</t>
    <phoneticPr fontId="0" type="noConversion"/>
  </si>
  <si>
    <t>PM
파트PL</t>
    <phoneticPr fontId="0" type="noConversion"/>
  </si>
  <si>
    <t>PM
파트PL</t>
    <phoneticPr fontId="0" type="noConversion"/>
  </si>
  <si>
    <t>PM
심정환	과장
아마르	과장
임지수	과장
김성철	과장
윤종화	이사
강태우	이사
남현석	사원
김진호	전임
김정훈	연구원</t>
    <phoneticPr fontId="0" type="noConversion"/>
  </si>
  <si>
    <t>PM
심정환	과장
아마르	과장
임지수	과장
김성철	과장
윤종화	이사
강태우	이사
남현석	사원
김진호	전임
김정훈	연구원</t>
    <phoneticPr fontId="0" type="noConversion"/>
  </si>
  <si>
    <t>PM
심정환	과장
아마르	과장
임지수	과장
김성철	과장
윤종화	이사
강태우	이사
남현석	사원
김진호	전임
김정훈	연구원</t>
    <phoneticPr fontId="0" type="noConversion"/>
  </si>
  <si>
    <t>PM
PMO</t>
    <phoneticPr fontId="0" type="noConversion"/>
  </si>
  <si>
    <t>PM
PMO</t>
    <phoneticPr fontId="0" type="noConversion"/>
  </si>
  <si>
    <t>PM
PMO</t>
    <phoneticPr fontId="0" type="noConversion"/>
  </si>
  <si>
    <t>PM
PMO</t>
    <phoneticPr fontId="0" type="noConversion"/>
  </si>
  <si>
    <t>PM
PMO
파트PL</t>
    <phoneticPr fontId="0" type="noConversion"/>
  </si>
  <si>
    <t>PM
PMO</t>
    <phoneticPr fontId="0" type="noConversion"/>
  </si>
  <si>
    <t>PM
PMO
파트PL</t>
    <phoneticPr fontId="0" type="noConversion"/>
  </si>
  <si>
    <t>PM
PMO
파트PL</t>
    <phoneticPr fontId="0" type="noConversion"/>
  </si>
  <si>
    <t>PM
PMO
파트PL</t>
    <phoneticPr fontId="0" type="noConversion"/>
  </si>
  <si>
    <t>PM
PMO
파트PL</t>
    <phoneticPr fontId="0" type="noConversion"/>
  </si>
  <si>
    <t>PM
PMO</t>
    <phoneticPr fontId="0" type="noConversion"/>
  </si>
  <si>
    <t>PM
PMO</t>
    <phoneticPr fontId="0" type="noConversion"/>
  </si>
  <si>
    <t>PM
PMO
파트PL</t>
    <phoneticPr fontId="0" type="noConversion"/>
  </si>
  <si>
    <t>PM
PMO
파트PL</t>
    <phoneticPr fontId="0" type="noConversion"/>
  </si>
  <si>
    <t>PM
PMO
파트PL</t>
    <phoneticPr fontId="0" type="noConversion"/>
  </si>
  <si>
    <t>변경일</t>
    <phoneticPr fontId="15" type="noConversion"/>
  </si>
  <si>
    <t>변경 후 내용</t>
    <phoneticPr fontId="15" type="noConversion"/>
  </si>
  <si>
    <t>변경 전 내용</t>
    <phoneticPr fontId="15" type="noConversion"/>
  </si>
  <si>
    <t xml:space="preserve"> - 편집된 지형을 사용자별 저장 및 관리
- 권한 체계 정립 및 구현필요
- 아키텍처 파트에서 구현되면 3d 고도화 파트에서 적용하면 됨</t>
    <phoneticPr fontId="0" type="noConversion"/>
  </si>
  <si>
    <t>3dtiles 로 변경된 파일은 역으로 다른 파일로 변환 불가, cesium에서 해당 기능 제원 못함. 원본 데이터 변환으로 개발 접근</t>
    <phoneticPr fontId="15" type="noConversion"/>
  </si>
  <si>
    <t>수용</t>
    <phoneticPr fontId="0" type="noConversion"/>
  </si>
  <si>
    <t>수용</t>
    <phoneticPr fontId="0" type="noConversion"/>
  </si>
  <si>
    <t>수용</t>
    <phoneticPr fontId="15" type="noConversion"/>
  </si>
  <si>
    <t>수용</t>
    <phoneticPr fontId="15" type="noConversion"/>
  </si>
  <si>
    <t>변경</t>
    <phoneticPr fontId="15" type="noConversion"/>
  </si>
  <si>
    <t>비기능에서 관리</t>
    <phoneticPr fontId="0" type="noConversion"/>
  </si>
  <si>
    <t>LXPFA_PM_</t>
    <phoneticPr fontId="0" type="noConversion"/>
  </si>
  <si>
    <t>Git 서버를 활용한 버전 관리 체계 운영메뉴얼</t>
    <phoneticPr fontId="0" type="noConversion"/>
  </si>
  <si>
    <t/>
  </si>
  <si>
    <t>개발환경 운영계획(안)</t>
    <phoneticPr fontId="0" type="noConversion"/>
  </si>
  <si>
    <t>체계적인 개발지원환경 구현을 위한 버전별 라이브러리 및 소스 관리체계 구현</t>
    <phoneticPr fontId="0" type="noConversion"/>
  </si>
  <si>
    <t>LXPFA_FP_004_022
LXPFA_FP_004_023
LXPFA_FP_004_024
LXPFA_FP_004_025
LXPFA_FP_004_026
LXPFA_FP_004_027
LXPFA_FP_004_028
LXPFA_FP_004_029
LXPFA_FP_004_030
LXPFA_FP_004_031
LXPFA_FP_004_032
LXPFA_FP_004_033</t>
    <phoneticPr fontId="0" type="noConversion"/>
  </si>
  <si>
    <t>LXPFA_FP_004_001
LXPFA_FP_004_002
LXPFA_FP_004_003
LXPFA_FP_004_004
LXPFA_FP_004_005
LXPFA_FP_004_006
LXPFA_FP_004_007
LXPFA_FP_004_008
LXPFA_FP_004_009
LXPFA_FP_004_010
LXPFA_FP_004_011
LXPFA_FP_004_012
LXPFA_FP_004_034
LXPFA_FP_004_035
LXPFA_FP_004_036
LXPFA_FP_004_037
LXPFA_FP_004_038
LXPFA_FP_004_039
LXPFA_FP_004_040
LXPFA_FP_004_041
LXPFA_FP_004_042
LXPFA_FP_004_047
LXPFA_FP_004_048
LXPFA_FP_004_049
LXPFA_FP_004_050
LXPFA_FP_004_051</t>
    <phoneticPr fontId="0" type="noConversion"/>
  </si>
  <si>
    <t xml:space="preserve">
</t>
    <phoneticPr fontId="0" type="noConversion"/>
  </si>
  <si>
    <t>체계적인 개발지원환경 구현을 위해 Git 서버를 활용해, 버전별 라이브러리 및 소스 관리체계 구현</t>
    <phoneticPr fontId="0" type="noConversion"/>
  </si>
  <si>
    <t>2023.07.06</t>
    <phoneticPr fontId="0" type="noConversion"/>
  </si>
  <si>
    <t>LXPFA_SFR_019_DM_025</t>
  </si>
  <si>
    <t>LXPFA_SFR_019_DM_026</t>
  </si>
  <si>
    <t>LXPFA_SFR_005_DM_001</t>
  </si>
  <si>
    <t>LXPFA_SFR_005_DM_002</t>
  </si>
  <si>
    <t>LXPFA_SFR_005_DM_003</t>
  </si>
  <si>
    <t>LXPFA_SFR_005_DM_004</t>
  </si>
  <si>
    <t>LXPFA_SFR_005_DM_005</t>
  </si>
  <si>
    <t>LXPFA_SFR_005_DM_006</t>
  </si>
  <si>
    <t>LXPFA_SFR_007_DM_001</t>
  </si>
  <si>
    <t>LXPFA_SFR_007_DM_002</t>
  </si>
  <si>
    <t>LXPFA_SFR_007_DM_003</t>
  </si>
  <si>
    <t>LXPFA_SFR_007_DM_004</t>
  </si>
  <si>
    <t>LXPFA_SFR_007_DM_005</t>
  </si>
  <si>
    <t>LXPFA_SFR_007_DM_006</t>
  </si>
  <si>
    <t>LXPFA_SFR_007_DM_007</t>
  </si>
  <si>
    <t>LXPFA_SFR_007_DM_008</t>
  </si>
  <si>
    <t>LXPFA_SFR_007_DM_009</t>
  </si>
  <si>
    <t>■ 파이썬 기반이 아닌 경우 다른 언어의 분석 기능을 실행 할 수
   있도록 처리해야할 경우 앞서 'LXPFA_SFR_007_DM_003' 의 
   이기종 프로그램 목록 Listup이 우선 필요
■기존과 추가개발물 간의 호환성이 잘 맞아야 가능</t>
  </si>
  <si>
    <t>LXPFA_SFR_007_DM_010</t>
  </si>
  <si>
    <t>LXPFA_SFR_007_DM_011</t>
  </si>
  <si>
    <t>LXPFA_SFR_007_DM_012</t>
  </si>
  <si>
    <t>LXPFA_SFR_007_DM_013</t>
  </si>
  <si>
    <t>■ 가명처리와 보안처리의 적용 부분이 명확해야함. 
    처리할 부분이 분석 결과마다 달라진다면 불가능함
■ LXPFA_SFR_007_DM_005 에 대해 작성한 내용의 
    예시처럼 처리할 부분이 어디인지 명확하지 않다면
    어느 부분을 가명처리 할지 알 수 없으므로 가명처리 등
    적용하기 어려움</t>
  </si>
  <si>
    <t>LXPFA_SFR_007_DM_014</t>
  </si>
  <si>
    <t>LXPFA_SFR_007_DM_015</t>
  </si>
  <si>
    <t>LXPFA_SFR_007_DM_016</t>
  </si>
  <si>
    <t>LXPFA_SFR_019_DM_001</t>
  </si>
  <si>
    <t>LXPFA_SFR_019_DM_002</t>
  </si>
  <si>
    <t>LXPFA_SFR_019_DM_003</t>
  </si>
  <si>
    <t>LXPFA_SFR_019_DM_004</t>
  </si>
  <si>
    <t>LXPFA_SFR_019_DM_005</t>
  </si>
  <si>
    <t>LXPFA_SFR_019_DM_006</t>
  </si>
  <si>
    <t>LXPFA_SFR_019_DM_007</t>
  </si>
  <si>
    <t>LXPFA_SFR_019_DM_008</t>
  </si>
  <si>
    <t>LXPFA_SFR_019_DM_009</t>
  </si>
  <si>
    <t>LXPFA_SFR_019_DM_010</t>
  </si>
  <si>
    <t>LXPFA_SFR_019_DM_011</t>
  </si>
  <si>
    <t>LXPFA_SFR_019_DM_012</t>
  </si>
  <si>
    <t>LXPFA_SFR_019_DM_013</t>
  </si>
  <si>
    <t>LXPFA_SFR_019_DM_014</t>
  </si>
  <si>
    <t>LXPFA_SFR_019_DM_015</t>
  </si>
  <si>
    <t>LXPFA_SFR_019_DM_016</t>
  </si>
  <si>
    <t>LXPFA_SFR_019_DM_017</t>
  </si>
  <si>
    <t>LXPFA_SFR_019_DM_018</t>
  </si>
  <si>
    <t>LXPFA_SFR_019_DM_019</t>
  </si>
  <si>
    <t>LXPFA_SFR_019_DM_020</t>
  </si>
  <si>
    <t>LXPFA_SFR_019_DM_021</t>
  </si>
  <si>
    <t>LXPFA_SFR_019_DM_022</t>
  </si>
  <si>
    <t>LXPFA_SFR_019_DM_023</t>
  </si>
  <si>
    <t>LXPFA_SFR_019_DM_024</t>
  </si>
  <si>
    <t>LXPFA_SFR_020_DM_001</t>
  </si>
  <si>
    <t>LXPFA_SFR_020_DM_002</t>
  </si>
  <si>
    <t>LXPFA_SFR_020_DM_003</t>
  </si>
  <si>
    <t>LXPFA_SFR_020_DM_004</t>
  </si>
  <si>
    <t>LXPFA_SFR_020_DM_005</t>
  </si>
  <si>
    <t>LXPFA_SFR_020_DM_006</t>
  </si>
  <si>
    <t>LXPFA_SFR_020_DM_007</t>
  </si>
  <si>
    <t>LXPFA_SFR_022_DM_001</t>
  </si>
  <si>
    <t>LXPFA_SFR_022_DM_002</t>
  </si>
  <si>
    <t>LXPFA_SFR_022_DM_003</t>
  </si>
  <si>
    <t>LXPFA_SFR_022_DM_004</t>
  </si>
  <si>
    <t>LXPFA_SFR_022_DM_005</t>
  </si>
  <si>
    <t>LXPFA_SFR_022_DM_006</t>
  </si>
  <si>
    <t>LXPFA_SFR_022_DM_007</t>
  </si>
  <si>
    <t>LXPFA_SFR_022_DM_008</t>
  </si>
  <si>
    <t>LXPFA_SFR_022_DM_009</t>
  </si>
  <si>
    <t>LXPFA_SFR_022_DM_010</t>
  </si>
  <si>
    <t>LXPFA_SFR_022_DM_011</t>
  </si>
  <si>
    <t>LXPFA_SFR_022_DM_012</t>
  </si>
  <si>
    <t>LXPFA_SFR_022_DM_013</t>
  </si>
  <si>
    <t>LXPFA_SFR_022_DM_014</t>
  </si>
  <si>
    <t>LXPFA_SFR_022_DM_015</t>
  </si>
  <si>
    <t>LXPFA_SFR_022_DM_016</t>
  </si>
  <si>
    <t>LXPFA_SFR_022_DM_017</t>
  </si>
  <si>
    <t>LXPFA_SFR_022_DM_018</t>
  </si>
  <si>
    <t>윤종화
윤성한
남현석
신민영</t>
    <phoneticPr fontId="15" type="noConversion"/>
  </si>
  <si>
    <t>요구사항 통합(LXPFA_SFR_013_2D_003)</t>
  </si>
  <si>
    <t>요구사항 통폐합(LXPFA_SFR_015_2D_006)</t>
  </si>
  <si>
    <t>요구사항 통합(LXPFA_SFR_018_2D_004)</t>
  </si>
  <si>
    <r>
      <t xml:space="preserve">2. (건물실내)실내 구조 및 기류에 따른 연기확산 시뮬레이션 구현
- 실내 구조 반영 연기 확산 시뮬레이션
- 실내 기류 반영 연기 확산 시뮬레이션
</t>
    </r>
    <r>
      <rPr>
        <sz val="11"/>
        <rFont val="맑은 고딕"/>
        <family val="3"/>
        <charset val="129"/>
        <scheme val="minor"/>
      </rPr>
      <t>소음 공해 시뮬레이션: 
- 도로에 따른 소음공해 시뮬레이션</t>
    </r>
    <phoneticPr fontId="15" type="noConversion"/>
  </si>
  <si>
    <t xml:space="preserve">2. (건물실내)실내 구조 및 기류에 따른 연기확산 시뮬레이션 구현
- 실내 구조 반영 연기 확산 시뮬레이션
- 실내 기류 반영 연기 확산 시뮬레이션
</t>
    <phoneticPr fontId="15" type="noConversion"/>
  </si>
  <si>
    <t xml:space="preserve">3. (건물실외)바람길 시뮬레이션과 융합하여 지형 및 건물을 고려한 실외 연기확산 시뮬레이션 구현
- 바람길 시뮬레이션 융합
- 지형 반영 연기 확산 시뮬레이션
- 건물 반영 연기 확산 시뮬레이션
</t>
    <phoneticPr fontId="15" type="noConversion"/>
  </si>
  <si>
    <t xml:space="preserve">4. 건물 실내외 연동을 통한 시뮬레이션 구현
- 건물 실내외 연동 시뮬레이션 구현
</t>
    <phoneticPr fontId="15" type="noConversion"/>
  </si>
  <si>
    <t xml:space="preserve">5. 시물레이션 시간 및 속도 조절 기능 구현
- 시물레이션 시간 조절 기능
- 시물레이션 속도 조절 기능
</t>
    <phoneticPr fontId="15" type="noConversion"/>
  </si>
  <si>
    <t xml:space="preserve">1. 건물 실내외 화재 발화지점 선택 및 확산에 대한 변수 설정
- 화재 발화지점 선택 기능
- 화재 확산에 대한 변수 설정
</t>
    <phoneticPr fontId="15" type="noConversion"/>
  </si>
  <si>
    <t>1. 소음 공해 시뮬레이션: 
- 소음소스 점으로 소음 공해 시뮬레이션 구현</t>
    <phoneticPr fontId="15" type="noConversion"/>
  </si>
  <si>
    <t>2. 소음 공해 시뮬레이션: 
- 도로에 따른 소음공해 시뮬레이션</t>
    <phoneticPr fontId="15" type="noConversion"/>
  </si>
  <si>
    <t>3. 소음 공해 시뮬레이션: 
-  LOD1 건물의 높이를 고려해 3D환경에서 소음공해 시뮬레이션</t>
    <phoneticPr fontId="15" type="noConversion"/>
  </si>
  <si>
    <t>4. 소음 공해 시뮬레이션: 
- 사용자가 입력한 방음벽을 고려한 소음 시뮬레이션</t>
    <phoneticPr fontId="15" type="noConversion"/>
  </si>
  <si>
    <t>5. 소음 공해 시뮬레이션: 
- 아파트 등 단지별  소음공해 시뮬레이션</t>
    <phoneticPr fontId="15" type="noConversion"/>
  </si>
  <si>
    <t>3차원 데이터 모델러 기능 고도화_3차원 모델 저작 기능 개발-지형 정보 편집 기능</t>
    <phoneticPr fontId="15" type="noConversion"/>
  </si>
  <si>
    <t>3차원 데이터 모델러 기능 고도화_3차원 모델 저작 기능 개발-지형 정보 권한 관리 기능</t>
    <phoneticPr fontId="15" type="noConversion"/>
  </si>
  <si>
    <t>3차원 데이터 모델러 기능 고도화_3D 모델 데이터 라이브러리 등록 기능 고도화</t>
    <phoneticPr fontId="15" type="noConversion"/>
  </si>
  <si>
    <t>3차원 데이터 모델러 기능 고도화_Texture 및 Material 적용 기능</t>
    <phoneticPr fontId="15" type="noConversion"/>
  </si>
  <si>
    <t>3차원 데이터 모델러 기능 고도화_3차원 모델 Texture 편집 기능 구현(CS_Unreal)-on/off 기능</t>
    <phoneticPr fontId="15" type="noConversion"/>
  </si>
  <si>
    <t>3차원 데이터 모델러 기능 고도화_3차원 모델 Texture 편집 기능 구현(CS_Unreal)-패턴 Texture</t>
    <phoneticPr fontId="15" type="noConversion"/>
  </si>
  <si>
    <t>3차원 데이터 모델러 기능 고도화_3차원 모델 Texture 편집 기능 구현(CS_Unreal)-CS</t>
    <phoneticPr fontId="15" type="noConversion"/>
  </si>
  <si>
    <t>3차원 데이터 모델러 기능 고도화_3차원 모델 변환 기능 고도화-투명/반투명</t>
    <phoneticPr fontId="15" type="noConversion"/>
  </si>
  <si>
    <t>3차원 데이터 모델러 기능 고도화_3차원 모델 변환 기능 고도화-오류 처리</t>
    <phoneticPr fontId="15" type="noConversion"/>
  </si>
  <si>
    <r>
      <t xml:space="preserve">3D 객체 분해/조립을 위한 애니메이션 마법사 기능 구현
</t>
    </r>
    <r>
      <rPr>
        <sz val="11"/>
        <rFont val="KoPub돋움체 Bold"/>
        <family val="1"/>
        <charset val="129"/>
      </rPr>
      <t>※</t>
    </r>
    <r>
      <rPr>
        <sz val="8.8000000000000007"/>
        <rFont val="맑은 고딕"/>
        <family val="3"/>
        <charset val="129"/>
      </rPr>
      <t xml:space="preserve"> 발주처에서 구현 가이드 제공</t>
    </r>
  </si>
  <si>
    <t>3D 객체 데이터 연혁관리, 변동분 갱신 체계, 다양한 3D 파일 포맷 내보내기 구현</t>
  </si>
  <si>
    <t>가시화 서비스 3차원 기능 고도화_스냅(snap) 기능 구현-스냅의 범위</t>
    <phoneticPr fontId="15" type="noConversion"/>
  </si>
  <si>
    <t>가시화 서비스 3차원 기능 고도화_스냅(snap) 기능 구현-객체 모델 설정</t>
    <phoneticPr fontId="15" type="noConversion"/>
  </si>
  <si>
    <t>가시화 서비스 3차원 기능 고도화_스냅(snap) 기능 구현-자동활성화</t>
    <phoneticPr fontId="15" type="noConversion"/>
  </si>
  <si>
    <t>가시화 서비스 3차원 기능 고도화_'2D 데이터 분석·통계 시각화 개선-레이어 속성 시각화</t>
    <phoneticPr fontId="15" type="noConversion"/>
  </si>
  <si>
    <t>가시화 서비스 3차원 기능 고도화_'2D 데이터 분석·통계 시각화 개선-데이터 분석통계 시각화</t>
    <phoneticPr fontId="15" type="noConversion"/>
  </si>
  <si>
    <t>가시화 서비스 3차원 기능 고도화_'종/횡단 분석 기능 개선-지하 및 지상 시각화</t>
    <phoneticPr fontId="15" type="noConversion"/>
  </si>
  <si>
    <t>가시화 서비스 3차원 기능 고도화_'종/횡단 분석 기능 개선-단면분석 시각화</t>
    <phoneticPr fontId="15" type="noConversion"/>
  </si>
  <si>
    <t>가시화 서비스 3차원 기능 고도화_지하시설물 시각화 개선-지하구조물 시각화</t>
    <phoneticPr fontId="15" type="noConversion"/>
  </si>
  <si>
    <t>가시화 서비스 3차원 기능 고도화_지하시설물 시각화 개선-조회 범위 확대</t>
    <phoneticPr fontId="15" type="noConversion"/>
  </si>
  <si>
    <t>가시화 서비스 3차원 기능 고도화_지하시설물 시각화 개선-구조물 정보조회</t>
    <phoneticPr fontId="15" type="noConversion"/>
  </si>
  <si>
    <t>가시화 서비스(시물레이션) 기능 개발 및 고도화
- 소음공해 시물레이션 구현-점으로 구현</t>
    <phoneticPr fontId="15" type="noConversion"/>
  </si>
  <si>
    <t>가시화 서비스(시물레이션) 기능 개발 및 고도화
- 소음공해 시물레이션 구현-도로</t>
    <phoneticPr fontId="15" type="noConversion"/>
  </si>
  <si>
    <t>가시화 서비스(시물레이션) 기능 개발 및 고도화
- 소음공해 시물레이션 구현-LOD1</t>
    <phoneticPr fontId="15" type="noConversion"/>
  </si>
  <si>
    <t>가시화 서비스(시물레이션) 기능 개발 및 고도화
- 소음공해 시물레이션 구현-방음벽</t>
    <phoneticPr fontId="15" type="noConversion"/>
  </si>
  <si>
    <t>가시화 서비스(시물레이션) 기능 개발 및 고도화
- 소음공해 시물레이션 구현-단지별</t>
    <phoneticPr fontId="15" type="noConversion"/>
  </si>
  <si>
    <t>가시화 서비스(시물레이션) 기능 개발 및 고도화
- 바람길 시물레이션 고도화-고도별</t>
    <phoneticPr fontId="15" type="noConversion"/>
  </si>
  <si>
    <t>가시화 서비스(시물레이션) 기능 개발 및 고도화
- 바람길 시물레이션 고도화-건물 및 객체</t>
    <phoneticPr fontId="15" type="noConversion"/>
  </si>
  <si>
    <t>가시화 서비스(시물레이션) 기능 개발 및 고도화
- 하천 범람 시물레이션 고도화-유동적 흐름</t>
    <phoneticPr fontId="15" type="noConversion"/>
  </si>
  <si>
    <t>가시화 서비스(시물레이션) 기능 개발 및 고도화
- 하천 범람 시물레이션 고도화-영향 분석</t>
    <phoneticPr fontId="15" type="noConversion"/>
  </si>
  <si>
    <t>3차원 모델링 자동화 기능 개선
- 3D 모델링 기능 고도화-모델링 배치</t>
    <phoneticPr fontId="15" type="noConversion"/>
  </si>
  <si>
    <t>3차원 모델링 자동화 기능 개선
- 3D 모델링 기능 고도화-실내시설물</t>
    <phoneticPr fontId="15" type="noConversion"/>
  </si>
  <si>
    <t>3차원 모델링 자동화 기능 개선
- 3D 모델링 기능 고도화-건물 형태 확대</t>
    <phoneticPr fontId="15" type="noConversion"/>
  </si>
  <si>
    <t>3차원 모델링 자동화 기능 개선
- 3D 모델링 기능 고도화-속성 편집</t>
    <phoneticPr fontId="15" type="noConversion"/>
  </si>
  <si>
    <t>플러그인 개발
- 설계도면 정비 및 노드링크 구축 등 플러그인 개발-도로,정류장</t>
    <phoneticPr fontId="15" type="noConversion"/>
  </si>
  <si>
    <t>플러그인 개발
- 설계도면 정비 및 노드링크 구축 등 플러그인 개발-노드최적화</t>
    <phoneticPr fontId="15" type="noConversion"/>
  </si>
  <si>
    <t>플러그인 개발
- 설계도면 정비 및 노드링크 구축 등 플러그인 개발-오류검사</t>
    <phoneticPr fontId="15" type="noConversion"/>
  </si>
  <si>
    <t>플러그인 개발
- 설계도면 정비 및 노드링크 구축 등 플러그인 개발-속성정보</t>
    <phoneticPr fontId="15" type="noConversion"/>
  </si>
  <si>
    <t>플러그인 개발
- 2D 도면 정리 플러그인 개발-도면분류</t>
    <phoneticPr fontId="15" type="noConversion"/>
  </si>
  <si>
    <t>플러그인 개발
- 2D 도면 정리 플러그인 개발-정리작업</t>
    <phoneticPr fontId="15" type="noConversion"/>
  </si>
  <si>
    <t>플러그인 개발
- 2D 도면 정리 플러그인 개발-객체변환</t>
    <phoneticPr fontId="15" type="noConversion"/>
  </si>
  <si>
    <t>플러그인 개발
- 2D도면 자동화 기능 고도화-외벽 및 내부</t>
    <phoneticPr fontId="15" type="noConversion"/>
  </si>
  <si>
    <t>플러그인 개발
- 2D도면 자동화 기능 고도화-추출건물</t>
    <phoneticPr fontId="15" type="noConversion"/>
  </si>
  <si>
    <t>플러그인 개발
- 2D도면 자동화 기능 고도화-입력자료 변환</t>
    <phoneticPr fontId="15" type="noConversion"/>
  </si>
  <si>
    <t>플러그인 개발
- 2D도면 자동화 기능 고도화-오류 파악</t>
    <phoneticPr fontId="15" type="noConversion"/>
  </si>
  <si>
    <t>영상데이터 관리체계 구축_항공, 드론 등 영상데이터 관리체계 구현</t>
  </si>
  <si>
    <t>영상데이터 관리체계 구축_영상 타일링(맵 캐싱 포함)</t>
  </si>
  <si>
    <t>2D, 3D 타일맵 공동 활용 방안 수립 및 적용</t>
  </si>
  <si>
    <t>LX플랫폼 고도화를 통해 개선된 부분에 대해 디지털 트윈국토 서비스 대상 지자체 특화 서비스에도 적용</t>
  </si>
  <si>
    <t>오픈소스 기반 소프트웨어 활용 플랫폼 개발</t>
  </si>
  <si>
    <t>헬스 체크 api 개발-저장</t>
    <phoneticPr fontId="15" type="noConversion"/>
  </si>
  <si>
    <t>헬스 체크 api 개발-조회</t>
    <phoneticPr fontId="15" type="noConversion"/>
  </si>
  <si>
    <t>디지털 트윈국토 시범사업에서 선정 지자체의 서비스 구성에 대한 지원
  · 지자체 사업에서 구축된 데이터의 탑재
  · 지자체 전용 DBMS의 스키마 설정</t>
    <phoneticPr fontId="15" type="noConversion"/>
  </si>
  <si>
    <t>LXPFA_SFR_026_3D_001</t>
    <phoneticPr fontId="15" type="noConversion"/>
  </si>
  <si>
    <t>LXPFA_SFR_026_3D_002</t>
    <phoneticPr fontId="15" type="noConversion"/>
  </si>
  <si>
    <t>LXPFA_SFR_026_DM_001</t>
    <phoneticPr fontId="15" type="noConversion"/>
  </si>
  <si>
    <t>국토부 2022년 디지털 트윈국토 시범사업 구성 지원_지자체 서비스 구성 지원-데이터</t>
    <phoneticPr fontId="15" type="noConversion"/>
  </si>
  <si>
    <t>LXPFA_FP_026_001
LXPFA_FP_026_002
LXPFA_FP_026_003
LXPFA_FP_026_004</t>
    <phoneticPr fontId="15" type="noConversion"/>
  </si>
  <si>
    <t>Ⅲ. 1.26 국토부 2022년 디지털 트윈국토 시범사업 구성 지원</t>
    <phoneticPr fontId="15" type="noConversion"/>
  </si>
  <si>
    <t>3.26 국토부 2022년 디지털 트윈국토 시범사업 구성지원 (SFR-026)</t>
    <phoneticPr fontId="15" type="noConversion"/>
  </si>
  <si>
    <t>(SFR-026)  디지털 트윈국토 시범사업 구성지원</t>
    <phoneticPr fontId="39" type="noConversion"/>
  </si>
  <si>
    <t>(SFR-026)  디지털 트윈국토 시범사업 구성지원</t>
    <phoneticPr fontId="15" type="noConversion"/>
  </si>
  <si>
    <t>LXPFA_ESFR_001_3D_001</t>
    <phoneticPr fontId="15" type="noConversion"/>
  </si>
  <si>
    <t>국토부 2022년 디지털 트윈국토 시범사업 구성 지원_지자체 서비스 구성 지원</t>
    <phoneticPr fontId="15" type="noConversion"/>
  </si>
  <si>
    <t>디지털 트윈국토 시범사업에서 선정 지자체의 서비스 구성에 대한 지원
  · 선정 지자체 사업의 지원을 위한 데이터 탑재 및 인프라 구성,서비스 모듈 탑재 등 기반 구성 지원
  · 서비스 제공을 위한 포털 인프라 구성 및 서비스 모델의 모듈 탑재</t>
    <phoneticPr fontId="15" type="noConversion"/>
  </si>
  <si>
    <t>요구사항정의서(2D 기능 고도화)</t>
    <phoneticPr fontId="0" type="noConversion"/>
  </si>
  <si>
    <t>LXPFA_SFR_006_2D_001</t>
    <phoneticPr fontId="15" type="noConversion"/>
  </si>
  <si>
    <t>서비스 제작 도구 개발
- 서비스 제작 템플릿 구축</t>
    <phoneticPr fontId="15" type="noConversion"/>
  </si>
  <si>
    <t xml:space="preserve">1. 서비스 제작을 위한 다양한 템플릿 구축
- 각 기능별 템플릿
- 시각화 및 결과도출 가능 템플릿
-  데이터의 호출 및 통계 등
</t>
    <phoneticPr fontId="15" type="noConversion"/>
  </si>
  <si>
    <t>(SFR-006) 서비스 제작 도구 개발</t>
    <phoneticPr fontId="15" type="noConversion"/>
  </si>
  <si>
    <t>3.6 서비스 제작 도구 개발 (SFR-006)</t>
    <phoneticPr fontId="0" type="noConversion"/>
  </si>
  <si>
    <t>19~20</t>
    <phoneticPr fontId="0" type="noConversion"/>
  </si>
  <si>
    <t>Ⅲ.1.6 서비스 제작 도구 개발</t>
    <phoneticPr fontId="15" type="noConversion"/>
  </si>
  <si>
    <t>&gt; 2D 파트에서 필요한 모듈화할 기능들을 정리할 필요가 있음
&gt; 서비스 제작 도구의 목적: 새로운 팝업 안에 위치 선택 기능, 날짜 선택 기능, 검색 기능 등 다양한 기능들을 조합하여 새로운 기능을 제작하는 것</t>
    <phoneticPr fontId="0" type="noConversion"/>
  </si>
  <si>
    <r>
      <t xml:space="preserve">1. 개발환경 파트에서 선 기능 구현되어야하므로 일정 조율, 업무 협조 등 긴밀한 협업이 필요함
</t>
    </r>
    <r>
      <rPr>
        <sz val="11"/>
        <color theme="1"/>
        <rFont val="맑은 고딕"/>
        <family val="3"/>
        <charset val="129"/>
      </rPr>
      <t>2. 개발환경 파트에서 우선 기능들을 개발하고 2D파트에서는 해당 기능을 활용하는 형태로 갈지 개발환경 파트와 논의 필요</t>
    </r>
    <phoneticPr fontId="0" type="noConversion"/>
  </si>
  <si>
    <t>심정환</t>
    <phoneticPr fontId="15" type="noConversion"/>
  </si>
  <si>
    <t>서비스 제작 도구 개발
- 일반 사용자 편의성 보장</t>
    <phoneticPr fontId="15" type="noConversion"/>
  </si>
  <si>
    <t xml:space="preserve">2. 일반 사용자가 서비스를 만들 수 있는 편의성 보장
- 일반 사용자 서비스 제작 편의성 기능
</t>
    <phoneticPr fontId="15" type="noConversion"/>
  </si>
  <si>
    <t>서비스 제작 도구 개발
- LX플랫폼에 탑재된 모듈단위 기능 조합</t>
    <phoneticPr fontId="15" type="noConversion"/>
  </si>
  <si>
    <t>3. LX플랫폼에 탑재된 모듈단위 기능 조합을 통해 다양한 서비스 구현이 가능한 도구 개발
- 모듈단위 기능 조합 제작 기능</t>
    <phoneticPr fontId="15" type="noConversion"/>
  </si>
  <si>
    <t>&gt; 사용자가 모듈단위 기능(버튼 단위)을 조합하여 새로운 기능을 만들어 내는 제작 도구 개발</t>
    <phoneticPr fontId="0" type="noConversion"/>
  </si>
  <si>
    <t>서비스 제작 도구 개발
- 지도 연계 시뮬레이션</t>
    <phoneticPr fontId="15" type="noConversion"/>
  </si>
  <si>
    <t>4. 각 기능의 동작은 지도와 연계되어 시물레이션이 가능하도록 구성
- 지도 연계 시물레이션 제작 기능 구현</t>
    <phoneticPr fontId="15" type="noConversion"/>
  </si>
  <si>
    <t>서비스 제작 도구 개발
- 결과의 연결성 보장</t>
    <phoneticPr fontId="15" type="noConversion"/>
  </si>
  <si>
    <t>5. 모든 기능은 결과의 연결성이 보장되도록 구성</t>
    <phoneticPr fontId="15" type="noConversion"/>
  </si>
  <si>
    <t>SFR-013</t>
    <phoneticPr fontId="15" type="noConversion"/>
  </si>
  <si>
    <t>LXPFA_SFR_013_2D_001</t>
    <phoneticPr fontId="15" type="noConversion"/>
  </si>
  <si>
    <t>웹앱 템플릿 추가 및 고도화 구축
- 신규 템플릿 구축</t>
    <phoneticPr fontId="15" type="noConversion"/>
  </si>
  <si>
    <t>1. 신규 템플릿
- 시간인식 템플릿
- 비교 템플릿
- 스토리맵 투어 템플릿
- 고도 프로파일 개발
- 부서 데이터 관리</t>
    <phoneticPr fontId="15" type="noConversion"/>
  </si>
  <si>
    <t>(SFR-013) 웹앱 템플릿 추가 및 고도화 구축</t>
    <phoneticPr fontId="15" type="noConversion"/>
  </si>
  <si>
    <t>3.13 웹앱 템플릿 추가 및 고도화 구축 (SFR-013)</t>
    <phoneticPr fontId="0" type="noConversion"/>
  </si>
  <si>
    <t>41~45</t>
    <phoneticPr fontId="0" type="noConversion"/>
  </si>
  <si>
    <r>
      <t xml:space="preserve">3.1.13 </t>
    </r>
    <r>
      <rPr>
        <sz val="11"/>
        <rFont val="맑은 고딕"/>
        <family val="3"/>
        <charset val="129"/>
        <scheme val="minor"/>
      </rPr>
      <t>웹앱 템플릿 추가 및 고도화 구축</t>
    </r>
    <phoneticPr fontId="15" type="noConversion"/>
  </si>
  <si>
    <t>시간인식 템플릿
&gt; 타임슬라이더 위젯 기능을 활용할 수 있는 템플릿 제작
비교 템플릿
&gt; 화면 분활을 통해 좌우 데이터를 비교할 수 있는 템플릿 제작
스토리맵 투어
&gt; 아크 gis의 스토리맵 투어를 참고
고도 프로파일 템플릿
&gt; 지형 단면도 기능과 같이 사용자가 라인을 그렸을 경우 해당 라인을 따라 고도 표시 해주는 템플릿
부서 데이터 관리
&gt; 부서 정보 공유 및 부서 데이터의 로그를 관리할 수 있는 템플릿
&gt; 충북플랫폼 [브리핑공간] 참고
&gt; 전달한 2D 신규템플릿 참고자료 확인
&gt; 시간인식 : 타임슬라이드 위젯을 템플릿화한 것, 배속 설정이 가능하도록 구현
&gt; 부서데이터관리: 부서별 로그 관리 필요
&gt; 비교템플릿 : Arcgis처럼 서로 다른 지도를 올려서 비교하는 템플릿</t>
    <phoneticPr fontId="0" type="noConversion"/>
  </si>
  <si>
    <t>웹앱 템플릿 추가 및 고도화 구축
- 기존 템플릿 고도화</t>
    <phoneticPr fontId="15" type="noConversion"/>
  </si>
  <si>
    <r>
      <t>2. 고도화 템플릿
- 기 개발된 표준</t>
    </r>
    <r>
      <rPr>
        <sz val="11"/>
        <color rgb="FF0070C0"/>
        <rFont val="맑은 고딕"/>
        <family val="3"/>
        <charset val="129"/>
        <scheme val="minor"/>
      </rPr>
      <t xml:space="preserve">
</t>
    </r>
    <r>
      <rPr>
        <sz val="11"/>
        <rFont val="맑은 고딕"/>
        <family val="3"/>
        <charset val="129"/>
        <scheme val="minor"/>
      </rPr>
      <t>- 간편보기
- 편집
- 시리즈 맵</t>
    </r>
    <r>
      <rPr>
        <sz val="11"/>
        <color rgb="FF0070C0"/>
        <rFont val="맑은 고딕"/>
        <family val="3"/>
        <charset val="129"/>
        <scheme val="minor"/>
      </rPr>
      <t xml:space="preserve">
</t>
    </r>
    <r>
      <rPr>
        <sz val="11"/>
        <rFont val="맑은 고딕"/>
        <family val="3"/>
        <charset val="129"/>
        <scheme val="minor"/>
      </rPr>
      <t xml:space="preserve">- 저널형 맵
</t>
    </r>
    <phoneticPr fontId="15" type="noConversion"/>
  </si>
  <si>
    <t>&gt; 설정 기능이 제외된 템플릿
&gt; TOC없이 최소한의 위젯을 사용한 템플릿
&gt; 피처의 위상 및 속성을 관리할 수 있는 위젯과 TOC를 포함한 템플릿
&gt; 탭 메뉴로 이동할 수 있는 템플릿
&gt; 여러 개의 콘텐츠를 스크롤로 이동할 수 있는 템플릿
&gt; 유연한 템플릿 배치(타이틀 위치, 색상, 폰트, 위젯 위치 등)</t>
    <phoneticPr fontId="0" type="noConversion"/>
  </si>
  <si>
    <t>웹앱 템플릿 추가 및 고도화 구축
- 모바일 템플릿</t>
    <phoneticPr fontId="15" type="noConversion"/>
  </si>
  <si>
    <t>1. 모바일 템플릿(현장조사)
- 모바일 템플릿(현장조사)
2. 사용자 Device（스마트폰, 태블릿 등） 데이터 Input 기능
- 스마트폰, 태블릿 등 데이터 Input 기능
3. 템플릿 연동 웹 레이어 설정 및 데이터 생성/조회/수정/삭제 기능 
- 템플릿 연동 웹 레이어 설정 
- 템플릿 연동 웹 레이어 데이터 생성/조회/수정/삭제 기능</t>
    <phoneticPr fontId="15" type="noConversion"/>
  </si>
  <si>
    <t>&gt; 현재 템플릿에는 모바일용 템플릿이 없어 모바일로 접근시 보기가 어려우니 모바일용 템플릿을 추가로 개발 
&gt; 모바일용 템플릿은 모바일에 최적화된 기능들로 구성하되 지도 서비스에 포함되어 있는 기본 기능들은 최대한 구현하는게 목표
&gt; 현장조사 목적 : 해당 위치 좌표값, 사진, 이력, 담당자 등의 실태조사와 같은 기본적인 정보 조사
&gt; 현장조사에 초점을 두고 모바일 템플릿 개발
&gt; 현장조사 결과를 업로드 시 내용 항목을 추가할 수 있는 기능 개발(추가할 수 있는 항목 개수 제한 필요)
&gt; 실험사업 모바일 템플릿 참고
&gt; 권한별로 현장조사 기능을 넣고 권한 없어도 기본 맵 볼 수 있도록 구현
&gt; 현장조사 중심의 모방일용 템플릿 개발(스마트폰, 태블릿 모두 적용되도록)
&gt; 현장조사 필수 항목은 고정하고, 사용자 추가 항목은 아래로 리스트 추가되는 방식으로 구현 필요
&gt; 템플릿 연동 웹 레이어 설정 및 데이터 생성/조회/수정/삭제 기능 : 기존 레이어들과 현장조사 내용을 연동시키고, 사용자가 직접 레이어를 추가할 수 있도록 구현 필요
[수정]
&gt; 템플릿이 아닌 모바일 웹 맵 제작으로 방향 수정</t>
    <phoneticPr fontId="0" type="noConversion"/>
  </si>
  <si>
    <t>웹앱 템플릿 추가 및 고도화 구축
- 탭 유형 레이아웃</t>
    <phoneticPr fontId="15" type="noConversion"/>
  </si>
  <si>
    <t>1. 탭 유형 레이아웃 제공
- 탭 유형 레이아웃 제공</t>
    <phoneticPr fontId="15" type="noConversion"/>
  </si>
  <si>
    <t>LXPFA_FP_013_005
LXPFA_FP_013_009
LXPFA_FP_013_010
LXPFA_FP_013_011</t>
    <phoneticPr fontId="15" type="noConversion"/>
  </si>
  <si>
    <t>&gt; 전체 템플릿에 대해 탭을 on/off 할 수 있는 기능 구현</t>
    <phoneticPr fontId="0" type="noConversion"/>
  </si>
  <si>
    <t>웹앱 템플릿 추가 및 고도화 구축
- 글머리 기호 유형 레이아웃</t>
    <phoneticPr fontId="15" type="noConversion"/>
  </si>
  <si>
    <t>2. 글머리 기호 유형 레이아웃 제공
- 글머리 기호 유형 레이아웃 제공</t>
    <phoneticPr fontId="15" type="noConversion"/>
  </si>
  <si>
    <t>LXPFA_FP_013_006
LXPFA_FP_013_012
LXPFA_FP_013_013</t>
    <phoneticPr fontId="15" type="noConversion"/>
  </si>
  <si>
    <t>웹앱 템플릿 추가 및 고도화 구축
- 패널 및 범례 설정</t>
    <phoneticPr fontId="15" type="noConversion"/>
  </si>
  <si>
    <t>3. 패널 위치 / 패널 크기 / 범례위치 설정
- 패널 위치 설정
- 패널 크기 설정
- 범례위치 설정</t>
    <phoneticPr fontId="15" type="noConversion"/>
  </si>
  <si>
    <t>LXPFA_FP_013_014
LXPFA_FP_013_015
LXPFA_FP_013_016
LXPFA_FP_013_017</t>
    <phoneticPr fontId="15" type="noConversion"/>
  </si>
  <si>
    <t>패널 위치 / 패널 크기 / 범례위치 설정
- 패널 위치 설정
- 패널 크기 설정
- 범례위치 설정</t>
    <phoneticPr fontId="15" type="noConversion"/>
  </si>
  <si>
    <t>1. 해당 기능 개발자와 확인 필요</t>
    <phoneticPr fontId="0" type="noConversion"/>
  </si>
  <si>
    <t>웹앱 템플릿 추가 및 고도화 구축
- 맵옵션 설정</t>
    <phoneticPr fontId="15" type="noConversion"/>
  </si>
  <si>
    <t>4. 맵옵션 설정
- 맵위치 동기화
- 위치 및 피처 찾기</t>
    <phoneticPr fontId="15" type="noConversion"/>
  </si>
  <si>
    <t>LXPFA_FP_013_007
LXPFA_FP_013_018
LXPFA_FP_013_019
LXPFA_FP_013_020
LXPFA_FP_013_021</t>
    <phoneticPr fontId="15" type="noConversion"/>
  </si>
  <si>
    <t>&gt; 맵위치 설정기능 구현
&gt; 위치 검색 기능 추가
&gt; 현재 ip주소로 위치 이동</t>
    <phoneticPr fontId="0" type="noConversion"/>
  </si>
  <si>
    <t>LXPFA_SFR_013_2D_008</t>
    <phoneticPr fontId="15" type="noConversion"/>
  </si>
  <si>
    <t>웹앱 템플릿 추가 및 고도화 구축
- BI 솔루션 연계</t>
    <phoneticPr fontId="15" type="noConversion"/>
  </si>
  <si>
    <t>5. BI 솔루션과 연계하여 컨텐츠 영역 설정 및 삽입
- 컨텐츠 영역 설정
- 컨텐츠 영역 삽입</t>
    <phoneticPr fontId="15" type="noConversion"/>
  </si>
  <si>
    <t>LXPFA_FP_013_008
LXPFA_FP_013_022
LXPFA_FP_013_023
LXPFA_FP_013_024</t>
    <phoneticPr fontId="15" type="noConversion"/>
  </si>
  <si>
    <t>&gt; 통계, 수치 정보 가시화 용도, 화면에서 프레임을 나눠 BI 연계하여 통계 정보 가시화하는 기능 구현
&gt;  BI는 팝업으로 연계하여 컨텐츠 영역 표시, 최소화 버튼을 통해 지도 화면을 가리지 않도록 구현</t>
    <phoneticPr fontId="0" type="noConversion"/>
  </si>
  <si>
    <t>1. BI 솔루션 연계 방안을 구체적으로 확인 필요
2. 현재 BI 솔루션에 대한 정보 제공 필요</t>
    <phoneticPr fontId="0" type="noConversion"/>
  </si>
  <si>
    <t>웹앱 템플릿 추가 및 고도화 구축
- 사용자 디바이스 데이터 인풋</t>
    <phoneticPr fontId="15" type="noConversion"/>
  </si>
  <si>
    <t>1. 사용자 Device（스마트폰, 태블릿 등） 데이터 Input 기능
- 스마트폰, 태블릿 등 데이터 Input 기능</t>
    <phoneticPr fontId="15" type="noConversion"/>
  </si>
  <si>
    <r>
      <t xml:space="preserve">3.1.13 </t>
    </r>
    <r>
      <rPr>
        <strike/>
        <sz val="11"/>
        <rFont val="맑은 고딕"/>
        <family val="3"/>
        <charset val="129"/>
        <scheme val="minor"/>
      </rPr>
      <t>웹앱 템플릿 추가 및 고도화 구축</t>
    </r>
    <phoneticPr fontId="15" type="noConversion"/>
  </si>
  <si>
    <t>&gt; 현장조사 중심의 모방일용 템플릿 개발(스마트폰, 태블릿 모두 적용되도록)</t>
    <phoneticPr fontId="0" type="noConversion"/>
  </si>
  <si>
    <t>감리 지적 사항
요구사항정의 단계 감리결과보고서</t>
    <phoneticPr fontId="15" type="noConversion"/>
  </si>
  <si>
    <t>웹앱 템플릿 추가 및 고도화 구축
- 모바일 템플릿 연동 레이어 설정</t>
    <phoneticPr fontId="15" type="noConversion"/>
  </si>
  <si>
    <t>2. 템플릿 연동 웹 레이어 설정 및 데이터 생성/조회/수정/삭제 기능 
- 템플릿 연동 웹 레이어 설정 
- 템플릿 연동 웹 레이어 데이터 생성/조회/수정/삭제 기능</t>
    <phoneticPr fontId="15" type="noConversion"/>
  </si>
  <si>
    <t>LXPFA_SFR_013_2D_009</t>
    <phoneticPr fontId="15" type="noConversion"/>
  </si>
  <si>
    <t>웹앱 템플릿 추가 및 고도화 구축
- 부서데이터관리 템플릿 기능</t>
    <phoneticPr fontId="15" type="noConversion"/>
  </si>
  <si>
    <t>1. 부서 공유 데이터 이력관리 및 데이터 조회 로그 가시화
- 부서 공유 데이터 연계
- 부서 공유 데이터 이력관리 및 데이터 조회 로그 가시화</t>
    <phoneticPr fontId="15" type="noConversion"/>
  </si>
  <si>
    <t>LXPFA_FP_013_031
LXPFA_FP_013_032
LXPFA_FP_013_033
LXPFA_FP_013_034
LXPFA_FP_013_035</t>
    <phoneticPr fontId="15" type="noConversion"/>
  </si>
  <si>
    <t>&gt; 데이터 이력관리 기능과 데이터를 누가 조회하고 있는지 알 수 있는 기능 개발
&gt; 지정한 데이터에대한 로그를 확인할 수 있는 기능</t>
    <phoneticPr fontId="0" type="noConversion"/>
  </si>
  <si>
    <t>웹앱 템플릿 추가 및 고도화 구축
- 웹앱 접근 권한 설정</t>
    <phoneticPr fontId="15" type="noConversion"/>
  </si>
  <si>
    <t>1. 응용지도 페이지 접근설정（비로그인/로그인)
- 회원 DB 연계
- 응용지도 페이지 접근설정 (비로그인/로그인)
2. 로그인 상태에 따라 응용지도의 레이어 가시화 설정
- 로그인 상태 응용지도 레이어 가시화 설정</t>
    <phoneticPr fontId="15" type="noConversion"/>
  </si>
  <si>
    <t>LXPFA_FP_013_036
LXPFA_FP_013_037
LXPFA_FP_013_038
LXPFA_FP_013_039</t>
    <phoneticPr fontId="15" type="noConversion"/>
  </si>
  <si>
    <t>&gt; 로그인/비로그인 화면 구분하여 개발
&gt; 비 로그인시에도 지도와 일정 기능 오픈</t>
    <phoneticPr fontId="0" type="noConversion"/>
  </si>
  <si>
    <t>1. 접근권한 구분 기준 확인 필요 -&gt; 리스트업 필요(추후)</t>
    <phoneticPr fontId="0" type="noConversion"/>
  </si>
  <si>
    <t>LXPFA_SFR_014_2D_001</t>
    <phoneticPr fontId="15" type="noConversion"/>
  </si>
  <si>
    <t>위젯 추가 및 관리
- 부동산정보（토지/건물 등） 검색 위젯</t>
    <phoneticPr fontId="15" type="noConversion"/>
  </si>
  <si>
    <t>1. 부동산정보（토지/건물 등） 검색 위젯 설정
- 부동산정보 검색 설정정보 조회. 저장, 수정, 삭제 기능(모바일용 위젯 포함）</t>
    <phoneticPr fontId="15" type="noConversion"/>
  </si>
  <si>
    <t>(SFR-014) 위젯 추가 및 관리</t>
    <phoneticPr fontId="15" type="noConversion"/>
  </si>
  <si>
    <t>3.14 위젯 추가 및 관리 (SFR-014)</t>
    <phoneticPr fontId="0" type="noConversion"/>
  </si>
  <si>
    <t>46~47</t>
    <phoneticPr fontId="0" type="noConversion"/>
  </si>
  <si>
    <t>1. 보유하고 있는 부동산정보 DB중에 표출할 데이터 선별 필요
2. 부동산 정보 검색 신규 개발 후 기존 위젯소스를 활용하여 개발가능</t>
    <phoneticPr fontId="0" type="noConversion"/>
  </si>
  <si>
    <t>데이터 파트</t>
    <phoneticPr fontId="15" type="noConversion"/>
  </si>
  <si>
    <t>위젯 추가 및 관리
- 데이터 추가 위젯</t>
    <phoneticPr fontId="15" type="noConversion"/>
  </si>
  <si>
    <t>1. 데이터 추가 위젯 설정
- 데이터 추가 설정정보 조회, 저장, 수정, 삭제</t>
    <phoneticPr fontId="15" type="noConversion"/>
  </si>
  <si>
    <t>&gt; 기존에 있는 기능을 위젯으로 추가하는 기능(바로가기형식) 구현
&gt; 데이터 추가 = 레이어 업로드 (사용자 데이터 추가)</t>
    <phoneticPr fontId="0" type="noConversion"/>
  </si>
  <si>
    <t>위젯 추가 및 관리
- 지오코딩 위젯</t>
    <phoneticPr fontId="15" type="noConversion"/>
  </si>
  <si>
    <t>1. 지오코딩 위젯 설정
- 지오코딩 설정정보 조회, 저장, 수정, 삭제</t>
    <phoneticPr fontId="15" type="noConversion"/>
  </si>
  <si>
    <t>&gt; 기존에 있는 기능을 위젯으로 추가하는 기능(바로가기형식) 구현</t>
    <phoneticPr fontId="0" type="noConversion"/>
  </si>
  <si>
    <t>위젯 추가 및 관리
- 지도 TOC 도구 위젯</t>
    <phoneticPr fontId="15" type="noConversion"/>
  </si>
  <si>
    <t>1. 지도 TOC 도구 위젯 설정
- TOC 설정정보 조회, 저장, 수정, 삭제</t>
    <phoneticPr fontId="15" type="noConversion"/>
  </si>
  <si>
    <t>&gt; 기존에 있는 기능을 위젯으로 추가하는 기능(바로가기형식) 구현
&gt; 지도 toc 도구 = 레이어 설정을 팝업처럼 on off (충북-공유재산 toc도구 참고, dt 레이어 팝업처럼)</t>
    <phoneticPr fontId="0" type="noConversion"/>
  </si>
  <si>
    <t>SFR-014</t>
    <phoneticPr fontId="0" type="noConversion"/>
  </si>
  <si>
    <t>위젯 추가 및 관리
- 레이어 Style도구 위젯</t>
    <phoneticPr fontId="15" type="noConversion"/>
  </si>
  <si>
    <t>1. 레이어 Style도구 위젯 설정
- 레이어 스타일 설정정보 조회, 저장, 수정, 삭제</t>
    <phoneticPr fontId="15" type="noConversion"/>
  </si>
  <si>
    <t>위젯 추가 및 관리
- 좌표변환 위젯</t>
    <phoneticPr fontId="15" type="noConversion"/>
  </si>
  <si>
    <t>1. 좌표변환 위젯 설정
- 좌표변환 설정정보 조회, 저장, 수정, 삭제</t>
    <phoneticPr fontId="15" type="noConversion"/>
  </si>
  <si>
    <t>위젯 추가 및 관리
- 데이터요약분석 위젯</t>
    <phoneticPr fontId="15" type="noConversion"/>
  </si>
  <si>
    <t xml:space="preserve">1. 데이터요약분석 위젯 설정
- 데이터요약분석 설정정보 조회, 저장, 수정, 삭제 </t>
    <phoneticPr fontId="15" type="noConversion"/>
  </si>
  <si>
    <t>위젯 추가 및 관리
- 위치찾기분석 위젯</t>
    <phoneticPr fontId="15" type="noConversion"/>
  </si>
  <si>
    <t>1. 위치찾기분석 위젯 설정
- 위치찾기분석 설정정보 조회，저장，수정，삭제</t>
    <phoneticPr fontId="15" type="noConversion"/>
  </si>
  <si>
    <t>위젯 추가 및 관리
- 공간패턴분석 위젯</t>
    <phoneticPr fontId="15" type="noConversion"/>
  </si>
  <si>
    <t>1. 공간패턴분석 위젯 설정
- 공간패턴분석 설정정보 조회, 저장, 수정，삭제</t>
    <phoneticPr fontId="15" type="noConversion"/>
  </si>
  <si>
    <t>위젯 추가 및 관리
- 근접도분석 위젯</t>
    <phoneticPr fontId="15" type="noConversion"/>
  </si>
  <si>
    <t xml:space="preserve">1. 근접도분석 위젯 설정
- 근접도분석 설정정보 조회, 저장, 수정, 삭제
</t>
    <phoneticPr fontId="15" type="noConversion"/>
  </si>
  <si>
    <t>위젯 추가 및 관리
- 데이터관리분석 위젯</t>
    <phoneticPr fontId="15" type="noConversion"/>
  </si>
  <si>
    <t xml:space="preserve">1. 데이터관리분석 위젯 설정
- 데이터관리분석 설정정보 조회, 저장，수정，삭제
</t>
    <phoneticPr fontId="15" type="noConversion"/>
  </si>
  <si>
    <t>위젯 추가 및 관리
- 범례 위젯</t>
    <phoneticPr fontId="15" type="noConversion"/>
  </si>
  <si>
    <t>1. 범례 위젯 설정
- 레이어의 속성•도메인 정보 범례 설정정보 조회, 저장, 수정, 삭제</t>
    <phoneticPr fontId="15" type="noConversion"/>
  </si>
  <si>
    <t>&gt; 분석 후 나타나는 범례를 on/off 할 수 있는 위젯 개발</t>
    <phoneticPr fontId="0" type="noConversion"/>
  </si>
  <si>
    <t>위젯 추가 및 관리
- 중첩영상 위젯</t>
    <phoneticPr fontId="15" type="noConversion"/>
  </si>
  <si>
    <t xml:space="preserve">1. 중첩영상 위젯 설정
- 영상타일 레이어 설정정보 조회, 저장, 수정，삭제 </t>
    <phoneticPr fontId="15" type="noConversion"/>
  </si>
  <si>
    <t>1. 레이어 배경지도의 순서를 정할 수 있는지 개발자 확인 필요</t>
    <phoneticPr fontId="0" type="noConversion"/>
  </si>
  <si>
    <t>위젯 추가 및 관리
- 로그인 위젯</t>
    <phoneticPr fontId="15" type="noConversion"/>
  </si>
  <si>
    <t>1. 로그인 위젯 설정
- 로그인 프로세스 위젯 설정 기능</t>
    <phoneticPr fontId="15" type="noConversion"/>
  </si>
  <si>
    <t>&gt; 기존 로그인 프로세스를 위젯으로 추가하는 기능(바로가기형식) 구현</t>
    <phoneticPr fontId="0" type="noConversion"/>
  </si>
  <si>
    <t>위젯 추가 및 관리
- 도형 그리기 위젯</t>
    <phoneticPr fontId="15" type="noConversion"/>
  </si>
  <si>
    <t>1. 도형 그리기 스타일 변경기능
- 도형 그리기 스타일 변경기능</t>
    <phoneticPr fontId="15" type="noConversion"/>
  </si>
  <si>
    <t>&gt; 기존에 있는 기능을 위젯으로 추가하는 기능(바로가기형식) 구현
&gt; 도형 그리기 이후 해당 도형에대한 스타일을 지정할 수 있는 기능</t>
    <phoneticPr fontId="0" type="noConversion"/>
  </si>
  <si>
    <t>위젯 추가 및 관리
- 측정(지점)도구 위젯</t>
    <phoneticPr fontId="15" type="noConversion"/>
  </si>
  <si>
    <t>2. 측정도구（지점） 조회 정보 추가（좌표조회 및 변환） 
- 측정도구（지점） 조회 정보 추가</t>
    <phoneticPr fontId="15" type="noConversion"/>
  </si>
  <si>
    <t>&gt; 측정도구 (지점) 조회 정보에 x,y좌표, 좌표계 등의 정보를 추가하는 기능 구현
&gt; 좌표계 변화에 따른 좌표정보 비교 및 확인할 수 있는 기능</t>
    <phoneticPr fontId="0" type="noConversion"/>
  </si>
  <si>
    <t>위젯 추가 및 관리
- 좌표표시 위젯</t>
    <phoneticPr fontId="15" type="noConversion"/>
  </si>
  <si>
    <t>3. 좌표표시 위젯의 표출 좌표계 변경 기능
- 좌표표시 위젯의 표출 좌표계 변경 기능</t>
    <phoneticPr fontId="15" type="noConversion"/>
  </si>
  <si>
    <t>LXPFA_SFR_015_2D_001</t>
    <phoneticPr fontId="15" type="noConversion"/>
  </si>
  <si>
    <t>LX플랫폼(데이터 서비스) 기능 고도화
- 맞춤형 포털 단일화</t>
    <phoneticPr fontId="15" type="noConversion"/>
  </si>
  <si>
    <t xml:space="preserve">1.LX플랫폼 데이터 서비스 포털과 사용자맞춤형 포털 단일화（양 포털의 기능 동기화 및 단일화）
- 사용자맞춤형 포털 단일화
</t>
    <phoneticPr fontId="15" type="noConversion"/>
  </si>
  <si>
    <t>26~28</t>
    <phoneticPr fontId="15" type="noConversion"/>
  </si>
  <si>
    <t>(SFR-015) LX플랫폼(데이터서비스) 기능 고도화</t>
    <phoneticPr fontId="15" type="noConversion"/>
  </si>
  <si>
    <t>3.15 LX플랫폼 (데이터 서비스) 기능 고도화 (SFR-015)</t>
    <phoneticPr fontId="0" type="noConversion"/>
  </si>
  <si>
    <t>48~50</t>
    <phoneticPr fontId="0" type="noConversion"/>
  </si>
  <si>
    <t>&gt; 사용자 맞춤형 포털, 데이터 서비스 포털 기능 통합(합집합)
  ※ 관리자페이지 : 데이터서비스 관리자페이지(마스터), 사용자맞춤형 관리자페이지(일반)
  ※ 서비스페이지 : 데이터 서비스 + 사용자 맞춤형
&gt; 목적 : 업데이트 시 같은 소스로 한꺼번에 가능하도록 하기 위함
&gt; 기존 국플(데이터서비스) 없애고, 사용자 맞춤형 포털 형태로 새로 구현</t>
    <phoneticPr fontId="0" type="noConversion"/>
  </si>
  <si>
    <t>1. LX 플랫폼과 사용자 맞춤형 포털의 데이터 체계를 단일화하고 사용자 화면을 어느 수준까지 단일화할지 합의 필요
2. 데이터 서비스와 사용자맞춤형포털의 전체적인 소스구조는 크게 상이하지 않아 중복기능을 제거하고 공통소스를 구성하여 소스 통합 필요</t>
    <phoneticPr fontId="0" type="noConversion"/>
  </si>
  <si>
    <t xml:space="preserve">개발환경 파트/인프라 파트 </t>
    <phoneticPr fontId="15" type="noConversion"/>
  </si>
  <si>
    <t>LX플랫폼(데이터 서비스) 기능 고도화
- 기관별 초기 설정</t>
    <phoneticPr fontId="15" type="noConversion"/>
  </si>
  <si>
    <t>1. 기관 별 초기 설정 정보 SI 등록 수정 등 기관별 초기 설정하는  기능
- 기관 별 초기 설정 정보 등록 수정
2. 사용자 맞춤형 포털 생성 이후 제공될 포털의 메인 UI 설정 제작 도구 개발
- 사용자 맞춤형 포털 메인 UI 설정 제작 도구 개발
3. 사용자 맞품형 포털 전체 페이지 UI 테마 템플릿（5개） 구현
- 용자 맞춤형 포털 UI 테마 템플릿（5개） 구현
4. 테마 템플릿의 기반 컨텐츠 수정 기능 개발
- 테마 템플릿의 기반 컨텐츠 수정 기능</t>
    <phoneticPr fontId="15" type="noConversion"/>
  </si>
  <si>
    <t>&gt; 사용자 맞춤형 포털 관리자페이지에 기존에 있는 기능 고도화
&gt; 메인 UI 템플릿을 제공하고 그 안에서 UI 콘텐츠 위치 등 조작이 가능하도록 구현
&gt; 기존 템플릿은 있으나 더 고도화된 템플릿 5개 구현
&gt; 충북, 세종을 템플릿으로 확정하고 남은 3개 추가 구현
&gt; 반응형 웹의 경우 전체 해상도 고려가 아닌 모바일 버전 1종을 만드는것으로 구현
[수정]
&gt; FIT, 가로형, 세로형 템플릿 제공
&gt; 각 템플릿별로 사용자가 자유롭게 메인 페이지를 꾸밀 수 있는 기능 제공</t>
    <phoneticPr fontId="0" type="noConversion"/>
  </si>
  <si>
    <t>1. 외부 플랫폼 템플릿 조사 필요(유동적인 템플릿 변경이 가능한 것으로)
2. 기존 템플릿 안에서 UI 혹은 컨텐츠를 수정할 수 있는 기능이 100% 유동적일 수는 없을 것으로 보임</t>
    <phoneticPr fontId="0" type="noConversion"/>
  </si>
  <si>
    <t>LX플랫폼(데이터 서비스) 기능 고도화
- 사용자 별 초기 설정</t>
    <phoneticPr fontId="15" type="noConversion"/>
  </si>
  <si>
    <t>1. 사용자 별 초기 설정 정보 조회. 등록, 수정 삭제 등 사용자별 초기 설정 기능
- 사용자 별 초기 설정 정보 조회. 등록, 수정 삭제
2. 웹맵（기본지도） 설정 개인화
- 위젯, 기본 레이어, 배경지도 설정</t>
    <phoneticPr fontId="15" type="noConversion"/>
  </si>
  <si>
    <t>LXPFA_FP_015_017
LXPFA_FP_015_018
LXPFA_FP_015_019
LXPFA_FP_015_020
LXPFA_FP_015_021
LXPFA_FP_015_022
LXPFA_FP_015_023
LXPFA_FP_015_024
LXPFA_FP_015_025
LXPFA_FP_015_026
LXPFA_FP_015_027
LXPFA_FP_015_028</t>
    <phoneticPr fontId="15" type="noConversion"/>
  </si>
  <si>
    <t>&gt; 마이페이지에 [웹맵 개인설정] 카테고리를 추가하고 해당 메뉴에서 웹맵의 개인 설정 진행 후 저장/수정/삭제 기능 구현
&gt; 배경지도, 레이어, 위젯 개인 설정</t>
    <phoneticPr fontId="0" type="noConversion"/>
  </si>
  <si>
    <r>
      <t xml:space="preserve">1. 로그인 계정별로 사용자의 웹맵 설정환경을 저장하고 관리하는 기능 개발 필요
2. 현재 소스나 기존 사용자 매뉴얼을 확인한 결과 없는 기능이고 웹맵 개인 설정 기능의 범위 선정 필요
</t>
    </r>
    <r>
      <rPr>
        <sz val="11"/>
        <color theme="1"/>
        <rFont val="맑은 고딕"/>
        <family val="3"/>
        <charset val="129"/>
      </rPr>
      <t>3. 배경지도를 선택할 때 POD에서 가져올지 개인 PC의 외부망으로 지도를 들고올지 선택할 수 있도록 하는 방안 검토(행망 망정책이 열려 있을 경우)</t>
    </r>
    <phoneticPr fontId="0" type="noConversion"/>
  </si>
  <si>
    <t>LX플랫폼(데이터 서비스) 기능 고도화
- 데이터관리 고도화</t>
    <phoneticPr fontId="15" type="noConversion"/>
  </si>
  <si>
    <t>1. 파일, 테이블，사진폴더, 사진파일 등의 관리기능별 단독 폴더구조 구성
- 파일, 테이블，사진폴더, 사진파일 등  관리기능별 단독 폴더구조 구성
- 사진/동영상/첨부파일 CRUD 기능
2. 파일관리 및 테이블관리의 데이터 활용 지오코딩 및 웹레이어 생성
- 파일 테이블관리 데이터 활용 지오코딩 및 웹레이어 생성
- 웹레이어 속성정보 CRUD</t>
    <phoneticPr fontId="15" type="noConversion"/>
  </si>
  <si>
    <t>&gt; 사용자 맞춤형 포털의 [데이터 공간]에 사진 파일, 동영상 파일, 첨부 파일 관리 폴더 추가
&gt; 현재 파일 테이블 관리의 지오코딩 기능 고도화 및 웹 레이어로 생성하는 기능 구현
&gt; [파일 관리] 폴더에 사진, 동영상, 첨부파일 기능 추가</t>
    <phoneticPr fontId="0" type="noConversion"/>
  </si>
  <si>
    <t>1. 사용자별 데이터 업로드 시 용량 제한 정책을 인프라 팀과 논의하여 수립 필요</t>
    <phoneticPr fontId="0" type="noConversion"/>
  </si>
  <si>
    <t>LX플랫폼(데이터 서비스) 기능 고도화
- 사진•동영상•첨부파일 폴더관리</t>
    <phoneticPr fontId="15" type="noConversion"/>
  </si>
  <si>
    <t xml:space="preserve">1. 사진•동영상•첨부파일 폴더 생성, 수정，삭제 등 포털의 사진폴더 관리 기능 제공
- 폴더 생성, 수정, 삭제 기능
</t>
    <phoneticPr fontId="15" type="noConversion"/>
  </si>
  <si>
    <t>LXPFA_FP_015_041
LXPFA_FP_015_042
LXPFA_FP_015_043
LXPFA_FP_015_044
LXPFA_FP_015_048</t>
    <phoneticPr fontId="15" type="noConversion"/>
  </si>
  <si>
    <t>LX플랫폼(데이터 서비스) 기능 고도화
- 사진•동영상•첨부파일 웹 레이어 속성 연계</t>
    <phoneticPr fontId="15" type="noConversion"/>
  </si>
  <si>
    <t>2. 웹 레이어 속성정보 연계 및 컬럼설정 기능
- 웹레이어 속성정보 연계설정 기능
- 웹레이어 속성정보 컬럼설정 기능
- 특정 웹레이어 속성정보 연계</t>
    <phoneticPr fontId="15" type="noConversion"/>
  </si>
  <si>
    <t>LXPFA_FP_015_045
LXPFA_FP_015_046
LXPFA_FP_015_047
LXPFA_FP_015_050</t>
    <phoneticPr fontId="15" type="noConversion"/>
  </si>
  <si>
    <t>&gt; [데이터 공간]에 업로드한 파일과 웹 레이어와 연계하여 컬럼을 추가하는 기능 개발</t>
    <phoneticPr fontId="0" type="noConversion"/>
  </si>
  <si>
    <t>LX플랫폼(데이터 서비스) 기능 고도화
- 사진•동영상 VIEW</t>
    <phoneticPr fontId="15" type="noConversion"/>
  </si>
  <si>
    <t>3. 사진•동영상 팝업 VIEW 기능
- 사진•동영상 팝업 VIEW 기능</t>
    <phoneticPr fontId="15" type="noConversion"/>
  </si>
  <si>
    <t>LXPFA_FP_015_049</t>
    <phoneticPr fontId="15" type="noConversion"/>
  </si>
  <si>
    <t>LX플랫폼(데이터 서비스) 기능 고도화
- 사진•동영상•첨부파일 관리</t>
    <phoneticPr fontId="15" type="noConversion"/>
  </si>
  <si>
    <t>1. 사진，동영상，첨부파일 목록 조회, 업로드 삭제 등 사진•동영상•첨부 파일 관리，이미지 뷰어，파일다운로드의 기능 제공
- 목록 조회
- 업로드
- 삭제
- 파일 다운로드</t>
    <phoneticPr fontId="15" type="noConversion"/>
  </si>
  <si>
    <t>LX플랫폼(데이터 서비스) 기능 고도화
- 사진•동영상•첨부파일 웹 레이어 속성 연계2</t>
    <phoneticPr fontId="15" type="noConversion"/>
  </si>
  <si>
    <t>2. 특정 웹레이어 속성정보 연계
- 특정 웹레이어 속성정보 연계</t>
    <phoneticPr fontId="15" type="noConversion"/>
  </si>
  <si>
    <r>
      <t xml:space="preserve">3.1.15 </t>
    </r>
    <r>
      <rPr>
        <strike/>
        <sz val="11"/>
        <rFont val="맑은 고딕"/>
        <family val="3"/>
        <charset val="129"/>
        <scheme val="minor"/>
      </rPr>
      <t>LX플랫폼(데이터 서비스) 기능 고도화</t>
    </r>
    <phoneticPr fontId="15" type="noConversion"/>
  </si>
  <si>
    <t>LXPFA_SFR_015_2D_009</t>
    <phoneticPr fontId="15" type="noConversion"/>
  </si>
  <si>
    <t>LX플랫폼(데이터 서비스) 기능 고도화
- 동영상 자동 실행</t>
    <phoneticPr fontId="15" type="noConversion"/>
  </si>
  <si>
    <t>2. 팝업 구성 시 동영상 자동 실행
- 팝업 구성 시 동영상 자동 실행</t>
    <phoneticPr fontId="15" type="noConversion"/>
  </si>
  <si>
    <t>LX플랫폼(데이터 서비스) 기능 고도화
- 동영상 스트리밍 링크 설정</t>
    <phoneticPr fontId="15" type="noConversion"/>
  </si>
  <si>
    <t xml:space="preserve">3. 관리중인 동영상 및 스트리밍 영상 링크 설정 기능
- 관리중인 동영상 및 스트리밍 영상 링크 설정 기능
</t>
    <phoneticPr fontId="15" type="noConversion"/>
  </si>
  <si>
    <t>LXPFA_FP_015_051
LXPFA_FP_015_052
LXPFA_FP_015_053
LXPFA_FP_015_054</t>
    <phoneticPr fontId="15" type="noConversion"/>
  </si>
  <si>
    <t>LX플랫폼(데이터 서비스) 기능 고도화
- 사진•동영상•첨부파일 속성테이블 연동 다운로드</t>
    <phoneticPr fontId="15" type="noConversion"/>
  </si>
  <si>
    <t xml:space="preserve">4. 서비스 페이지 속성테이블 연동 다운로드
- 서비스 페이지 속성테이블 연동 다운로드
</t>
    <phoneticPr fontId="15" type="noConversion"/>
  </si>
  <si>
    <t>&gt; 웹 레이어에서 컬럼과 사진을 연동하는 기능
&gt; 사진폴더 설정에서도 웹 레이어 컬럼과 연계하는 기능 구현
&gt; 서비스 페이지의 속성테이블에 포함되어있는, 사진, 영상, 첨부파일을 바로 다운로드 받을 수 있는 기능(용량 범위는 개발쪽 판단하에 확정 필요)</t>
    <phoneticPr fontId="0" type="noConversion"/>
  </si>
  <si>
    <t>1. 서비스 페이지의 속성테이블에서 파일을 다운로드 받을 때 용량 범위 제한 논의 필요</t>
    <phoneticPr fontId="0" type="noConversion"/>
  </si>
  <si>
    <t>LX플랫폼(데이터 서비스) 기능 고도화
- 영상지도 파일관리</t>
    <phoneticPr fontId="15" type="noConversion"/>
  </si>
  <si>
    <t xml:space="preserve">1. 영상파일 업로드 및 상세정보 등록
- 영상파일 업로드
- 영상파일 상세정보 등록
2. 영상지도 관리（파일/폴더), 상세정보 조회/미리보기 
- 영상지도 관리（파일/폴더）
- 상세정보 조회/미리보기
</t>
    <phoneticPr fontId="15" type="noConversion"/>
  </si>
  <si>
    <t xml:space="preserve">&gt; 사용자 업로드 후 승인절차 진행하여 관리자가 파일을 업로드하는 형태로 기능 구현
&gt; 사용자별 파일 업로드 용량 등의 기준 제시 필요
&gt; 사용자가 올리는 영상지도(레스터 파일 형태이며 상세정보를 등록하는 기능 구현 -&gt; 컬럼의 항목은 사용자가 추가해서 생성할 수 있도록)
&gt; 사용자가 업로드한 영상지도를 데이터 관리체계의 타일체계와 시스템연계할 수 있도록 기능 구현
&gt; 영상지도 업로드 후 승인절차 : 인프라쪽 확인하여 승인절차 없앨 수 있다면 없애는 방향으로 진행
&gt; 승인절차 진행한다면, 영상지도 업로드는 데이터 공간에서, 승인절차는 관리자페이지에서 진행
</t>
    <phoneticPr fontId="0" type="noConversion"/>
  </si>
  <si>
    <t>1. 영상지도의 경우 대용량이 많은데 용량 제한 확인 필요(인프라)</t>
    <phoneticPr fontId="0" type="noConversion"/>
  </si>
  <si>
    <t>인프라 파트</t>
    <phoneticPr fontId="15" type="noConversion"/>
  </si>
  <si>
    <t>LX플랫폼(데이터 서비스) 기능 고도화
- 속성테이블 영역 고도화</t>
    <phoneticPr fontId="15" type="noConversion"/>
  </si>
  <si>
    <t>1. 속성테이블 영역 고도화
- 속성테이블 이미지 보기
- 이미지뷰어 연계
- 컬럼별 속성값 필터, 삭제 및 별칭 일괄 업로드
- 속성테이블 객체 지오메트리 컬럼 가시화</t>
    <phoneticPr fontId="15" type="noConversion"/>
  </si>
  <si>
    <t>&gt; 사진 뷰어 기능 구현
&gt; 별칭 일괄 업로드 : 속성 설정창에서 별칭을 일괄적으로 업로드할 수 있는 기능(엑셀이나 csv파일 등으로) 구현
&gt; 속성테이블에서 지오메트리 서버와 연계하여 컬럼을 가시화하고 수정할 수 있도록 구현
 &gt; 추가한 레이어들에 대한 총괄적인 필터 설정 필요(단, 컬럼명이 동일해야 함) 
   - ex) 3개 레이어 추가했을 때 3개의 각 레이어별로 필터 3번 돌리는 방식
 &gt; 컬럼 삭제 기능 : 권한별로 컬럼 삭제하는 기능
&gt; 속성테이블 설정에서 컬럼별 데이터 타입 변경 기능 구현(추가)</t>
    <phoneticPr fontId="0" type="noConversion"/>
  </si>
  <si>
    <r>
      <t>LX플랫폼(데이터 서비스) 기능 고도화
- 웹맵</t>
    </r>
    <r>
      <rPr>
        <sz val="11"/>
        <rFont val="맑은 고딕"/>
        <family val="3"/>
        <charset val="129"/>
      </rPr>
      <t>∙</t>
    </r>
    <r>
      <rPr>
        <sz val="11"/>
        <rFont val="맑은 고딕"/>
        <family val="3"/>
        <charset val="129"/>
        <scheme val="minor"/>
      </rPr>
      <t>웹앱 고도화</t>
    </r>
    <phoneticPr fontId="15" type="noConversion"/>
  </si>
  <si>
    <t>2. 웹맵.웹앱 고도화
- 데이터 및 스타일을 포함한 지도 공유 체계 개편
- 검색 리스트 정렬 등 레이어 검색 기능 고도화
-  TOC 기능 고도화（그룹 Level 5단계 적용
- 스타일 기능 고도화（레이어 중 레벨별 라벨설정 등)
- 객체 편집 중 점，선, 면 스냅 기능
- 위치 측정 기능 고도화（좌표 표시 및 변환기능)
- 특정 레이어의 컬럼（Date/timetype） 기점 알림 기능</t>
    <phoneticPr fontId="15" type="noConversion"/>
  </si>
  <si>
    <t>&gt; 웹 레이어를 공유할 때 스타일까지 함께 전달할 수 있는 기능 제공
- POD 신규 서비스를 추가하여 Qgis 서버 getTile 호출 시 xml  데이터를 치환하여 외부 공인 IP가 아닌 POD IP가 포함된 URL 발행하는 기능 구현(추가)
&gt; 레이어 정렬이 오름차순, 내림차순 등 정렬기능 다양화
&gt; 레이어 펼쳤을 때 기본적으로 클래스 나눠서 나오도록 기능 구현 -&gt; 맵 저장시 설정하도록 구현
&gt; 클래스 5단계로 나누기
&gt; 줌 레벨별로 스타일을 구분해서 설정이 가능하도록하는 기능 구현
&gt; 단계별 줌 레벨 설정 : 18단계별로 사용자 설정하도록 구현 필요
&gt; 18단계 중 사용자가 설정하지 못한 단계에 대해서는 디폴드값으로 표출되도록 구현
&gt; 유형/범위별 스타일에 대한 줌 레벨 설정은 추후 협의하나 단일스타일만 가능해도 될 듯
&gt; 다른 객체와의 스냅 기능 구현
&gt; 측정도구의 지점 클릭시 epsg를 바꾸면 좌표도 바꾸는 기능 구현
&gt;  특정 레이어의 컬럼 기점 알림 기능 : 데이터 타입중 datetime 일시에 메인페이지에서 알람을 보내는 기능 구현
&gt; 알림 표출은 메인페이지에서 되도록 구현
- 페이지 오류 시 오류 번호(400, 500 등)가 아닌 대체 페이지 구현(추가)</t>
    <phoneticPr fontId="0" type="noConversion"/>
  </si>
  <si>
    <t>LX플랫폼(데이터 서비스) 기능 고도화
- 웹 레이어 고도화</t>
    <phoneticPr fontId="15" type="noConversion"/>
  </si>
  <si>
    <t>3. 기존 웹레이어 고도화
-  WMS/WFS 전환 추가 기능
- 레이어 삭제 옵션（레이어 / 데이터 삭제 선택 기능)
- 빈 웹레이어（도형/속성） 생성 기능 개발</t>
    <phoneticPr fontId="15" type="noConversion"/>
  </si>
  <si>
    <t>LX플랫폼(데이터 서비스) 기능 고도화
- 레이어 스타일 고도화(내 맵 관리)</t>
    <phoneticPr fontId="15" type="noConversion"/>
  </si>
  <si>
    <t>1. 레이어 설정 복사 기능 개발（심볼 및 윤곽선 등 스타일）
- 레이어 설정 복사 기능 개발（심볼 및 윤곽선 등 스타일)
2. 레이어 설정 검색, 미리보기 기능 제공</t>
    <phoneticPr fontId="15" type="noConversion"/>
  </si>
  <si>
    <t>&gt; 레이어 설정검색은 목록 검색 , 레이어 스타일 즐겨찾기 기능 구현
&gt; 레이어 스타일 저장, 불러오기 기능 구현</t>
    <phoneticPr fontId="0" type="noConversion"/>
  </si>
  <si>
    <t>1. 레이어 스타일 즐겨찾기의 경우 사용자별 관리기능 필요</t>
    <phoneticPr fontId="0" type="noConversion"/>
  </si>
  <si>
    <t>LX플랫폼(데이터 서비스) 기능 고도화
- 사용자 데이터 전처리 및 정제 함수 기능</t>
    <phoneticPr fontId="15" type="noConversion"/>
  </si>
  <si>
    <t xml:space="preserve">1. 사용자 업로드 데이터（공간정보, 파일기반 테이블 등） 전처리 및 정제함수 사용 기능 개발
- 사용자 업로드 데이터（공간정보, 파일기반 테이블 등)
</t>
    <phoneticPr fontId="15" type="noConversion"/>
  </si>
  <si>
    <t>&gt; 기존 데이터 관리체계에 전처리 및 정제함수가 올라가 있음
&gt; 수집 연계 후 적재 시 전처리 기능이 있는데 사용자가 올리는 파일도 전처리 및 정제함수 활용할 수 있는 기능 구현</t>
    <phoneticPr fontId="0" type="noConversion"/>
  </si>
  <si>
    <t>LXPFA_SFR_016_2D_001</t>
    <phoneticPr fontId="15" type="noConversion"/>
  </si>
  <si>
    <t>LX플랫폼(데이터 서비스) 분석기능 개발 및 고도화
- 도형채우기(분석기능)</t>
    <phoneticPr fontId="15" type="noConversion"/>
  </si>
  <si>
    <r>
      <rPr>
        <sz val="11"/>
        <rFont val="맑은 고딕"/>
        <family val="3"/>
        <charset val="129"/>
        <scheme val="minor"/>
      </rPr>
      <t>1. 도형 채우기
- 도형 채우기</t>
    </r>
    <phoneticPr fontId="15" type="noConversion"/>
  </si>
  <si>
    <t>LXPFA_FP_016_001
LXPFA_FP_016_002
LXPFA_FP_016_003
LXPFA_FP_016_009</t>
    <phoneticPr fontId="15" type="noConversion"/>
  </si>
  <si>
    <t>&gt; 카테고리는 데이터관리 분석으로 구현</t>
    <phoneticPr fontId="0" type="noConversion"/>
  </si>
  <si>
    <t>LX플랫폼(데이터 서비스) 분석기능 개발 및 고도화
-  속성 추출(분석기능)</t>
    <phoneticPr fontId="15" type="noConversion"/>
  </si>
  <si>
    <t>&gt; 카테고리는 데이터요약 분석이며, 레스터와 포인트 2개의 데이터에서 접점을 뽑아내는 기능 구현</t>
    <phoneticPr fontId="0" type="noConversion"/>
  </si>
  <si>
    <t>LX플랫폼(데이터 서비스) 분석기능 개발 및 고도화
- 객체 정보 속성 입력(분석기능)</t>
    <phoneticPr fontId="15" type="noConversion"/>
  </si>
  <si>
    <t>&gt; 카테고리는 데이터 관리 분석 (면적, 둘레)이며, 피처의 지오메트리 기능</t>
    <phoneticPr fontId="0" type="noConversion"/>
  </si>
  <si>
    <t>LX플랫폼(데이터 서비스) 분석기능 개발 및 고도화
- 데이터관리 분석(분석기능)</t>
    <phoneticPr fontId="15" type="noConversion"/>
  </si>
  <si>
    <r>
      <rPr>
        <sz val="11"/>
        <rFont val="맑은 고딕"/>
        <family val="3"/>
        <charset val="129"/>
        <scheme val="minor"/>
      </rPr>
      <t>4. feature vertice to points
- feature vertice to points
5. multipart to singlepart
- multipart to singlepart
6. Minimum Bounding Geometry
- Minimum Bounding Geometry</t>
    </r>
    <phoneticPr fontId="15" type="noConversion"/>
  </si>
  <si>
    <t>LX플랫폼(데이터 서비스) 분석기능 개발 및 고도화
- 라인 생성 및 필드 계산(분석기능)</t>
    <phoneticPr fontId="15" type="noConversion"/>
  </si>
  <si>
    <r>
      <rPr>
        <sz val="11"/>
        <rFont val="맑은 고딕"/>
        <family val="3"/>
        <charset val="129"/>
        <scheme val="minor"/>
      </rPr>
      <t>7. XY to Line
- XY to Line
8. Calculate Field（xy 필드 계산 등)
- Calculate Field（xy 필드 계산 등)</t>
    </r>
    <phoneticPr fontId="15" type="noConversion"/>
  </si>
  <si>
    <t>&gt; 카테고리는 위치찾기 분석 (새위치 파생)이며,qgis 참조
&gt; 테이블의 x-y좌표 각각의 시작과 끝 필드 값을 통해 측지선 또는 평면선 라인 피쳐 생성 기능 구현
&gt; 카테고리는 데이터 관리 분석이며, 지오메트리의 Calculate 필드의 경우 라인의 길이, 둘레, 면적 등 계산, 일반 Calculate 필드의 경우 문자 합 등 계산 기능 구현</t>
    <phoneticPr fontId="0" type="noConversion"/>
  </si>
  <si>
    <t>LX플랫폼(데이터 서비스) 분석기능 개발 및 고도화
- XY좌표 포인트 레이어 생성(분석기능)</t>
    <phoneticPr fontId="15" type="noConversion"/>
  </si>
  <si>
    <t>LX플랫폼(데이터 서비스) 분석기능 개발 및 고도화
- 아이나비 API 4종 연계(경로탐색 고도화)</t>
    <phoneticPr fontId="15" type="noConversion"/>
  </si>
  <si>
    <r>
      <rPr>
        <sz val="11"/>
        <rFont val="맑은 고딕"/>
        <family val="3"/>
        <charset val="129"/>
        <scheme val="minor"/>
      </rPr>
      <t>1. 기존 탐색기능 외 추가 탐색옵션 개발 및 고도화(경로탐색)
- 추가 탐색옵션 개발 및 고도화(경로탐색)</t>
    </r>
    <phoneticPr fontId="15" type="noConversion"/>
  </si>
  <si>
    <t>LXPFA_FP_016_011
LXPFA_FP_016_012
LXPFA_FP_016_013
LXPFA_FP_016_014
LXPFA_FP_016_015
LXPFA_FP_016_016
LXPFA_FP_016_017</t>
    <phoneticPr fontId="15" type="noConversion"/>
  </si>
  <si>
    <t>&gt; 기존 아이나비 API 6개 중 2개만 구현되어 있으며, 남은 4개의 API 4개 추가 개발</t>
    <phoneticPr fontId="0" type="noConversion"/>
  </si>
  <si>
    <t>LX플랫폼(데이터 서비스) 분석기능 개발 및 고도화
- 에러로그 및 진행률 표출</t>
    <phoneticPr fontId="15" type="noConversion"/>
  </si>
  <si>
    <r>
      <rPr>
        <sz val="11"/>
        <rFont val="맑은 고딕"/>
        <family val="3"/>
        <charset val="129"/>
        <scheme val="minor"/>
      </rPr>
      <t>2. 실행 중 중단 및 에러로그 상세정보조회, 진행률 가시하，참조데이터 데이터체계 연계 등 지오코딩 기능 고도화
- 지오코딩 기능실행 중 중단 및 에러로그 상세정보조회
- 지오코딩 기능진행률 가시화
- 지오코딩 기능참조데이터 데이터체계 연계</t>
    </r>
    <phoneticPr fontId="15" type="noConversion"/>
  </si>
  <si>
    <t>LXPFA_FP_016_018
LXPFA_FP_016_019
LXPFA_FP_016_020
LXPFA_FP_016_021
LXPFA_FP_016_022
LXPFA_FP_016_023
LXPFA_FP_016_024</t>
    <phoneticPr fontId="15" type="noConversion"/>
  </si>
  <si>
    <t>&gt; 전체 분석 서비스 시 진행률 로딩바 구현</t>
    <phoneticPr fontId="0" type="noConversion"/>
  </si>
  <si>
    <t>LX플랫폼(데이터 서비스) 분석기능 개발 및 고도화
- 워크플로우 고도화</t>
    <phoneticPr fontId="15" type="noConversion"/>
  </si>
  <si>
    <r>
      <rPr>
        <sz val="11"/>
        <rFont val="맑은 고딕"/>
        <family val="3"/>
        <charset val="129"/>
        <scheme val="minor"/>
      </rPr>
      <t>3. 워크플로우 실행 스케줄 관리 및 누적/갱신 어댑터 개발 및 고도화
- 워크플로우 실행 스케줄 관리
- 누적/갱신 어댑터 개발 및 고도화</t>
    </r>
    <phoneticPr fontId="15" type="noConversion"/>
  </si>
  <si>
    <t>&gt; 기존 구현된 워크플로우의 스케줄 관리 기능 구현</t>
    <phoneticPr fontId="0" type="noConversion"/>
  </si>
  <si>
    <t>LXPFA_SFR_017_2D_001</t>
    <phoneticPr fontId="15" type="noConversion"/>
  </si>
  <si>
    <t>포털 저작도구 고도화(융복합 지도 및 데이터)
- 융복합 대상 데이터셋 목록 검색</t>
    <phoneticPr fontId="15" type="noConversion"/>
  </si>
  <si>
    <t>(SFR-017) 포털 저작도구 고도화(융복합 지도 및 데이터)</t>
    <phoneticPr fontId="15" type="noConversion"/>
  </si>
  <si>
    <t>57~59</t>
    <phoneticPr fontId="0" type="noConversion"/>
  </si>
  <si>
    <t>1. 구현 방안에 대한 개발방법론 필요
2.. 요구사항의 명확한 의미 파악이 필요(최기웅 대리와 추가 인터뷰 진행 필요)</t>
    <phoneticPr fontId="0" type="noConversion"/>
  </si>
  <si>
    <t>포털 저작도구 고도화(융복합 지도 및 데이터)
- 융복합 데이터 저작도구 개발</t>
    <phoneticPr fontId="15" type="noConversion"/>
  </si>
  <si>
    <t>1. 융복합 조인 컬럼 조회
- 융복합 조인 컬럼 조회
2. 융복합 레이어 제작 및 결과（도형/속성） 조회, 가시화
- 융복합 레이어 제작 및 결과（도형/속성） 조회
- 융복합 레이어 제작 및 결과（도형/속성） 가시화
3. 웹레이어 사용자 지정영역 데이터 및 객체 분석 기능
- 웹레이어 사용자 지정영역 데이터 및 객체 분석 기능
- 웹레이어 대상 사용자 지정영역 분할
- 웹레이어 대상 사용자 지정영역 면적계산 필드 추가
- 웹레이어 대상 사용자 지정영역 내외부 면적계산</t>
    <phoneticPr fontId="15" type="noConversion"/>
  </si>
  <si>
    <t>&gt; 1. 레이어 marge 시 Join할 컬럼 선택
&gt; 2. 융복합 대상 데이터셋 목록 검색의 사용자 지정영역 데이터 융복합의 상세 기능
&gt; 3. 레이어에서 사용자 지정영역을 분할한 후 신규 레이어 발행 (발행된 신규 레이어의 면적 및 둘레 계산)
*LXPFA_2D_회의록(요구사항 2차정의)_230713</t>
    <phoneticPr fontId="15" type="noConversion"/>
  </si>
  <si>
    <t>포털 저작도구 고도화(융복합 지도 및 데이터)
- 지도 영역 검색</t>
    <phoneticPr fontId="15" type="noConversion"/>
  </si>
  <si>
    <t>1. 지도 영역（행정구역，사용자영역, 사용자 레이어） 검색
- 지도 영역 행정구역 검색
- 지도 영역 사용자영역 검색
- 지도 영역 사용자 레이어 검색</t>
    <phoneticPr fontId="15" type="noConversion"/>
  </si>
  <si>
    <t>포털 저작도구 고도화(융복합 지도 및 데이터)
- 검색 데이터 상세정보</t>
    <phoneticPr fontId="15" type="noConversion"/>
  </si>
  <si>
    <t>2. 검색 데이터 상세정보
- 검색 데이터 상세정보</t>
    <phoneticPr fontId="15" type="noConversion"/>
  </si>
  <si>
    <t>포털 저작도구 고도화(융복합 지도 및 데이터)
- 인덱스 기준정보</t>
    <phoneticPr fontId="15" type="noConversion"/>
  </si>
  <si>
    <t>LXPFA_FP_017_026
LXPFA_FP_017_027
LXPFA_FP_017_028</t>
    <phoneticPr fontId="15" type="noConversion"/>
  </si>
  <si>
    <t>포털 저작도구 고도화(융복합 지도 및 데이터)
- 데이터 행정구역 분할</t>
    <phoneticPr fontId="15" type="noConversion"/>
  </si>
  <si>
    <t>4. 대상 데이터 행정구역 Cliping
- 대상 데이터 행정구역 Cliping</t>
    <phoneticPr fontId="15" type="noConversion"/>
  </si>
  <si>
    <t>포털 저작도구 고도화(융복합 지도 및 데이터)
- 분할된 파일 생성 및 웹 레이어 등록</t>
    <phoneticPr fontId="15" type="noConversion"/>
  </si>
  <si>
    <t>5. Cliping 파일 생성 및 웹레이어 등록
- Cliping 파일 생성 및 웹레이어 등록</t>
    <phoneticPr fontId="15" type="noConversion"/>
  </si>
  <si>
    <t>LXPFA_SFR_018_2D_001</t>
    <phoneticPr fontId="15" type="noConversion"/>
  </si>
  <si>
    <t>LX플랫폼(포털별) 운영관리 체계
- 통계기능 고도화</t>
    <phoneticPr fontId="15" type="noConversion"/>
  </si>
  <si>
    <t>1. 포털사용자/기능사용량/메뉴접속량 등 플랫폼 통계 기능 고도화
- 포털사용자/기능사용량/메뉴접속량
2. 기관（사용자맞춤형포털 등）별 스토리지 데이터 사용량 통계 
- 기관（사용자맞춤형포털 등）별 스토리지 데이터 사용량 통계 
3. 기관별 DBMS 사용량 통계
- 기관별 DBMS 사용량 통계</t>
    <phoneticPr fontId="15" type="noConversion"/>
  </si>
  <si>
    <t>29~30</t>
    <phoneticPr fontId="15" type="noConversion"/>
  </si>
  <si>
    <t xml:space="preserve">(SFR-018) LX플랫폼(포털별) 운영관리 체계 </t>
    <phoneticPr fontId="15" type="noConversion"/>
  </si>
  <si>
    <t>LXPFA_FP_018_001
LXPFA_FP_018_002
LXPFA_FP_018_003
LXPFA_FP_018_004
LXPFA_FP_018_005
LXPFA_FP_018_006
LXPFA_FP_018_007
LXPFA_FP_018_008
LXPFA_FP_018_009
LXPFA_FP_018_010
LXPFA_FP_018_011
LXPFA_FP_018_012</t>
    <phoneticPr fontId="15" type="noConversion"/>
  </si>
  <si>
    <t>3.18 LX플랫폼 (포털별) 운영관리 체계 (SFR-018)</t>
    <phoneticPr fontId="0" type="noConversion"/>
  </si>
  <si>
    <t>60~61</t>
    <phoneticPr fontId="0" type="noConversion"/>
  </si>
  <si>
    <r>
      <t xml:space="preserve">3.1.18 </t>
    </r>
    <r>
      <rPr>
        <sz val="11"/>
        <rFont val="맑은 고딕"/>
        <family val="3"/>
        <charset val="129"/>
        <scheme val="minor"/>
      </rPr>
      <t>LX플랫폼(포털별)운영관리 체계</t>
    </r>
    <phoneticPr fontId="15" type="noConversion"/>
  </si>
  <si>
    <t>1. 통계 데이터에 대한 신뢰도가 떨어짐</t>
    <phoneticPr fontId="0" type="noConversion"/>
  </si>
  <si>
    <t>LX플랫폼(포털별) 운영관리 체계
- 사용자별 데이터 제한 관리</t>
    <phoneticPr fontId="15" type="noConversion"/>
  </si>
  <si>
    <t xml:space="preserve">1. 사용자별 데이터 업로드 용량 제한 관리 
- 사용자별 데이터 업로드 용량 제한 관리 </t>
    <phoneticPr fontId="15" type="noConversion"/>
  </si>
  <si>
    <t>LXPFA_FP_018_013
LXPFA_FP_018_014</t>
    <phoneticPr fontId="15" type="noConversion"/>
  </si>
  <si>
    <t>LX플랫폼(포털별) 운영관리 체계
- 영상타일링 레이어 관리</t>
    <phoneticPr fontId="15" type="noConversion"/>
  </si>
  <si>
    <t>1. 기관별 사용자 맞춤형 포털의 웹레이어 영상지도 관리 기능
- 기관별 사용자 맞춤형 포털의 웹레이어 영상지도 관리 기능</t>
    <phoneticPr fontId="15" type="noConversion"/>
  </si>
  <si>
    <t>LXPFA_SFR_018_2D_004</t>
    <phoneticPr fontId="15" type="noConversion"/>
  </si>
  <si>
    <t>LX플랫폼(포털별) 운영관리 체계
- 인사/부서 데이터 연계</t>
    <phoneticPr fontId="15" type="noConversion"/>
  </si>
  <si>
    <t>1. 기관별 사용자정보/부서（LDAP） 연계 기능
- 기관별 사용자정보/부서（LDAP） 연계 기능
2. 데이터연계 Agent를 활용한 지자체 사용자정보 및 LDAP 연계 체계 구성
- 데이터연계 Agent를 활용한 지자체 사용자정보 및 LDAP 연계 체계 구성</t>
    <phoneticPr fontId="15" type="noConversion"/>
  </si>
  <si>
    <t>LXPFA_FP_018_018
LXPFA_FP_018_019
LXPFA_FP_018_020
LXPFA_FP_018_021
LXPFA_FP_018_022
LXPFA_FP_018_023
LXPFA_FP_018_024
LXPFA_FP_018_025
LXPFA_FP_018_026
LXPFA_FP_018_027</t>
    <phoneticPr fontId="15" type="noConversion"/>
  </si>
  <si>
    <t>&gt; 지자체에서 관리하는 인사부서 데이터를 agent를 활용하여 연계
&gt; 지자체에서 해당 데이터가 없을 경우 dir.go.kr(정부디렉터리) 시스템을 통하여 LDAP 연계</t>
    <phoneticPr fontId="0" type="noConversion"/>
  </si>
  <si>
    <t>SFR-018</t>
    <phoneticPr fontId="0" type="noConversion"/>
  </si>
  <si>
    <t>LX플랫폼(포털별) 운영관리 체계
- 인사/부서 연계관리 기능</t>
    <phoneticPr fontId="0" type="noConversion"/>
  </si>
  <si>
    <t>2. 데이터연계 Agent를 활용한 지자체 사용자정보 및 LDAP 연계 체계 구성
- 데이터연계 Agent를 활용한 지자체 사용자정보 및 LDAP 연계 체계 구성</t>
    <phoneticPr fontId="0" type="noConversion"/>
  </si>
  <si>
    <r>
      <t xml:space="preserve">3.1.18 </t>
    </r>
    <r>
      <rPr>
        <strike/>
        <sz val="11"/>
        <rFont val="맑은 고딕"/>
        <family val="3"/>
        <charset val="129"/>
        <scheme val="minor"/>
      </rPr>
      <t>LX플랫폼(포털별)운영관리 체계</t>
    </r>
    <phoneticPr fontId="15" type="noConversion"/>
  </si>
  <si>
    <t>LXPFA_SFR_018_2D_005</t>
    <phoneticPr fontId="15" type="noConversion"/>
  </si>
  <si>
    <t>LX플랫폼(포털별) 운영관리 체계
- 시스템 접근 권한, 사용자별 서비스 접근 권한 등 관리 고도화</t>
    <phoneticPr fontId="15" type="noConversion"/>
  </si>
  <si>
    <t>1. 사용자 통합, 접근 설정，포털별 접근 범위 설정 관리, 권한관리 통합 시 프로세스 최적화
- 사용자 통합
- 접근 설정
- 포털별 접근 범위（서비스，기능, 데이터 등） 설정 관리
- 권한관리 통합 시 프로세스 최적화（신청, 승인, 반려, 관리 등의 프로세스틀 간략화 및 일괄 관리토록 구성)
2. 수요기관 포털용 서비스 설정 기능 고도화
- 수요기관 포털용 서비스 설정 기능 고도화</t>
    <phoneticPr fontId="15" type="noConversion"/>
  </si>
  <si>
    <t>LXPFA_FP_018_028
LXPFA_FP_018_029
LXPFA_FP_018_030
LXPFA_FP_018_031</t>
    <phoneticPr fontId="15" type="noConversion"/>
  </si>
  <si>
    <t>&gt; 추후 개발이 어느정도 된 후 전체적인 권한 인터뷰 진행</t>
    <phoneticPr fontId="0" type="noConversion"/>
  </si>
  <si>
    <t>1. 실제 권한 데이터 분리는 데이터 파트와 협의 필요</t>
    <phoneticPr fontId="0" type="noConversion"/>
  </si>
  <si>
    <t>SFR-023</t>
    <phoneticPr fontId="15" type="noConversion"/>
  </si>
  <si>
    <t>LXPFA_SFR_023_2D_001</t>
    <phoneticPr fontId="15" type="noConversion"/>
  </si>
  <si>
    <t>입지분석(L.Value) 기반의 부동산 가치평가_분석 정보 수집</t>
    <phoneticPr fontId="15" type="noConversion"/>
  </si>
  <si>
    <t>분석을 위한 정보수집(교통, 교육, 생활, 자연 등)
  · 외부 API 자동 수집을 통한 데이터 연계</t>
    <phoneticPr fontId="15" type="noConversion"/>
  </si>
  <si>
    <t>LXPFA_FP_023_043
LXPFA_FP_023_044</t>
    <phoneticPr fontId="15" type="noConversion"/>
  </si>
  <si>
    <t>3.23 입지분석 (LValue) 기반의 부동산 가치 평가 (SFR-023)</t>
    <phoneticPr fontId="0" type="noConversion"/>
  </si>
  <si>
    <t>Ⅲ. 1.23 입지분석(L.Value) 기반의 부동산 가치평가 구성 방법</t>
    <phoneticPr fontId="15" type="noConversion"/>
  </si>
  <si>
    <t>입지분석(L.Value) 기반의 부동산 가치평가_부동산 조회 기능</t>
    <phoneticPr fontId="15" type="noConversion"/>
  </si>
  <si>
    <t>부동산(토지, 임야, 건물, 시설물 등) 조회 기능</t>
    <phoneticPr fontId="15" type="noConversion"/>
  </si>
  <si>
    <t>LXPFA_FP_023_001
LXPFA_FP_023_002</t>
    <phoneticPr fontId="15" type="noConversion"/>
  </si>
  <si>
    <t>입지분석(L.Value) 기반의 부동산 가치평가_매칭 키값과 시설 간 데이터 생성</t>
    <phoneticPr fontId="15" type="noConversion"/>
  </si>
  <si>
    <t>LXPFA_FP_023_001
LXPFA_FP_023_002
LXPFA_FP_023_003
LXPFA_FP_023_004</t>
    <phoneticPr fontId="15" type="noConversion"/>
  </si>
  <si>
    <t>입지분석(L.Value) 기반의 부동산 가치평가_특성에 의한 변환 측정치</t>
    <phoneticPr fontId="15" type="noConversion"/>
  </si>
  <si>
    <t xml:space="preserve">특성에 의한 변환 측정치
  · 교통, 교육, 생활, 자연, 도시분석, 토지, 아파트, 빌라 등 표준치 변환
</t>
    <phoneticPr fontId="15" type="noConversion"/>
  </si>
  <si>
    <t>LXPFA_FP_023_005
LXPFA_FP_023_006
LXPFA_FP_023_007
LXPFA_FP_023_008
LXPFA_FP_023_009
LXPFA_FP_023_010
LXPFA_FP_023_011
LXPFA_FP_023_012</t>
    <phoneticPr fontId="15" type="noConversion"/>
  </si>
  <si>
    <t>입지분석(L.Value) 기반의 부동산 가치평가_종합지수 및 항목별 가중치 조정</t>
    <phoneticPr fontId="15" type="noConversion"/>
  </si>
  <si>
    <t>종합지수 및 항목별 가중치 조정
  · 측정점수(토지, 아파트, 빌라, 교통, 환경, 생활, 교육 등)에 의한 지표 자동화</t>
    <phoneticPr fontId="15" type="noConversion"/>
  </si>
  <si>
    <t>LXPFA_FP_023_013
LXPFA_FP_023_014
LXPFA_FP_023_015
LXPFA_FP_023_016
LXPFA_FP_023_017
LXPFA_FP_023_018
LXPFA_FP_023_019
LXPFA_FP_023_020
LXPFA_FP_023_021
LXPFA_FP_023_022
LXPFA_FP_023_023
LXPFA_FP_023_024
LXPFA_FP_023_025
LXPFA_FP_023_026
LXPFA_FP_023_027
LXPFA_FP_023_028
LXPFA_FP_023_029
LXPFA_FP_023_030
LXPFA_FP_023_031
LXPFA_FP_023_032
LXPFA_FP_023_033
LXPFA_FP_023_034</t>
    <phoneticPr fontId="15" type="noConversion"/>
  </si>
  <si>
    <t>입지분석(L.Value) 기반의 부동산 가치평가_종합지수(L지수) 조회</t>
    <phoneticPr fontId="15" type="noConversion"/>
  </si>
  <si>
    <t>종합지수(L지수) 조회
  · 조회대상별 종합점수 및 항목점수 조회</t>
    <phoneticPr fontId="15" type="noConversion"/>
  </si>
  <si>
    <t>LXPFA_FP_023_035
LXPFA_FP_023_036
LXPFA_FP_023_037
LXPFA_FP_023_038
LXPFA_FP_023_039
LXPFA_FP_023_040
LXPFA_FP_023_041
LXPFA_FP_023_042</t>
    <phoneticPr fontId="15" type="noConversion"/>
  </si>
  <si>
    <t>입지분석(L.Value) 기반의 부동산 가치평가_분석지도(WFS, WMS, WMTS) 표출</t>
    <phoneticPr fontId="15" type="noConversion"/>
  </si>
  <si>
    <t>분석지도(WFS, WMS, WMTS) 표출
  · 배경지도 또는 레이어에 분석지도 표출</t>
    <phoneticPr fontId="15" type="noConversion"/>
  </si>
  <si>
    <t>입지분석(L.Value) 기반의 부동산 가치평가_분석 기능(지표산출)</t>
    <phoneticPr fontId="15" type="noConversion"/>
  </si>
  <si>
    <t>분석 기능(지표산출)
  · 부동산의 가치 요인(유익시설물 등)과 하락 요인(유해 시설물 등)을 판단하여 각각의 점수 부여
  · 점수들을 합산하여 토지 특성(거리, 도로접면 등)에 따라 시설물 점수 보정 및 부동산 지수 산출
  · 등급 부여
  · 유익 및 유해 시설물들 각각의 규모 및 종류에 다라 점수 부여
  · 성범죄자 정보, 거주지 등 유해 시설물을 판단 등</t>
    <phoneticPr fontId="15" type="noConversion"/>
  </si>
  <si>
    <t>LXPFA_FP_023_045
LXPFA_FP_023_046
LXPFA_FP_023_047</t>
    <phoneticPr fontId="15" type="noConversion"/>
  </si>
  <si>
    <t>LXPFA_SFR_024_2D_001</t>
    <phoneticPr fontId="15" type="noConversion"/>
  </si>
  <si>
    <t>민원정보 분석 플랫품 고도화
- 민원정보 분석 데이터 연계 확대</t>
    <phoneticPr fontId="15" type="noConversion"/>
  </si>
  <si>
    <t>1. 민원정보 분석을 위한 데이터 연계 확대
- 민원정보 분석 데이터 연계 확대</t>
    <phoneticPr fontId="15" type="noConversion"/>
  </si>
  <si>
    <t>(SFR-024)민원정보 분석 플랫폼</t>
    <phoneticPr fontId="15" type="noConversion"/>
  </si>
  <si>
    <t>72~73</t>
    <phoneticPr fontId="0" type="noConversion"/>
  </si>
  <si>
    <t>3.1.24 시흥시 민원정보 분석 플랫폼 및 디지털 시장실 고도화</t>
    <phoneticPr fontId="15" type="noConversion"/>
  </si>
  <si>
    <t>&gt; 민원분석 플랫폼 홈폐지이지 디지털 시장 홈페이지 통폐합
&gt; 민원분석 플랫폼 '핫키워드', '네트워크 분석 항목' 제거
&gt; 부서별, 분야별 일별 텝 제거 요청
 * 230411 시흥시 스마트시정 요구사항 구체화(안).hwp 참조
&gt; 부서별 키워드 표시 요청
&gt; 조회기간을 고정이 아닌 기간을 정하여 검색 하도록 요청
&gt; API 호출 관련 관리 기능 요청</t>
    <phoneticPr fontId="15" type="noConversion"/>
  </si>
  <si>
    <t>- 민원정보 분석을 위한 데이터 항목 정의 및 시흥시와 추가 협의
- 통합범위 논의 필요
&gt; (통합) 시흥시 시장실의 경우 LX 플랫폼으로 완전히 통합 및 전환할 필요 없음(단독으로 구성되어도 상관없음)
&gt; 단 시흥시의 기능들 중 LX플랫폼 2D 프레임워크에 넣으면 좋을만한 기능들을 추려서 추가</t>
    <phoneticPr fontId="0" type="noConversion"/>
  </si>
  <si>
    <t>민원정보 분석 플랫품 고도화
- 텍스트마이닝，민원이슈，유사사례 등 데이터 수집•적제 기능 고도화</t>
    <phoneticPr fontId="15" type="noConversion"/>
  </si>
  <si>
    <t xml:space="preserve">2. 텍스트마이닝，민원이슈，유사사례 등 데이터 수집•적제 기능 고도화
- 텍스트마이닝，민원이슈，유사사례 등 데이터 수집•적제 기능 고도화
</t>
    <phoneticPr fontId="15" type="noConversion"/>
  </si>
  <si>
    <t>LXPFA_FP_024_004
LXPFA_FP_024_005</t>
    <phoneticPr fontId="15" type="noConversion"/>
  </si>
  <si>
    <t>&gt; LX 플렛폼을 이용한 데이터 수집 기능 이용
  * 단 API 직접 호출로 표시할 수 있는 자료는 적재하지 않고 바로 표출
&gt; 실시간 도시현황, 시정데이터는 가능한 모두 OPEN API로 연계
&gt; 부득이한 경우에만 사용자가 수기로 입력할 수 있는 관리자 페이지 제가</t>
    <phoneticPr fontId="15" type="noConversion"/>
  </si>
  <si>
    <t>- (시흥시) 플랫폼 산출물(데이터 항목, 플랫폼 구성도 및 소스코드 등) 필요
-  BI 매트릭스 지도 연계 기능 확인이 필요함</t>
    <phoneticPr fontId="0" type="noConversion"/>
  </si>
  <si>
    <t>민원정보 분석 플랫품 고도화
- 시각화 기능 고도화</t>
    <phoneticPr fontId="15" type="noConversion"/>
  </si>
  <si>
    <t>3. 시각화 기능（키워드클라우드, 트리맵, 차트 등） 고도화
- 시각화 기능（키워드클라우드, 트리맵, 차트 등） 고도화</t>
    <phoneticPr fontId="15" type="noConversion"/>
  </si>
  <si>
    <t xml:space="preserve">LXPFA_FP_024_006
LXPFA_FP_024_007
LXPFA_FP_024_008
LXPFA_FP_024_009
LXPFA_FP_024_010
LXPFA_FP_024_011
LXPFA_FP_024_012
LXPFA_FP_024_013
LXPFA_FP_024_014
</t>
    <phoneticPr fontId="15" type="noConversion"/>
  </si>
  <si>
    <t>&gt; 사이트 통합 검색 기능 추가
&gt; 시각화툴을 활용한 시각화 기능 구현 검토 예정
&gt; 민원 월별 추이 차트 - 범프차트(순위 입력) 변경 요청
&gt; 별도의 솔루션 연계없이 자바스크립트 라이브러리 활용</t>
    <phoneticPr fontId="15" type="noConversion"/>
  </si>
  <si>
    <t>민원정보 분석 플랫품 고도화
- 결과 리포팅 기능 고도화</t>
    <phoneticPr fontId="15" type="noConversion"/>
  </si>
  <si>
    <t>4. 시각화로 도출된 결과 리포팅 기능 고도화
- 실시간 민원정보 연계 및 자료 표출 기능 고도화 
- 시각화로 도출된 결과 리포팅 기능 고도화</t>
    <phoneticPr fontId="15" type="noConversion"/>
  </si>
  <si>
    <t>&gt; 시각화 툴을 활용한 레포팅 기능 구현
 *BI MATRIX 검토 예정
&gt; 별도의 솔루션 연계없이 자바스크립트 라이브러리 활용</t>
    <phoneticPr fontId="0" type="noConversion"/>
  </si>
  <si>
    <t>디지털 시장실 고도화
- 내•외부시스템 데이터 연계 고도화</t>
    <phoneticPr fontId="15" type="noConversion"/>
  </si>
  <si>
    <t>1. 내•외부시스템 데이터 연계 고도화
- 내•외부시스템 데이터 연계 고도화</t>
    <phoneticPr fontId="15" type="noConversion"/>
  </si>
  <si>
    <t>&gt; 내부망/외부망 연결 정보를 통한 내부공개 메뉴 표시 기능 구현
&gt; 호조별/통합플랫폼/시정영상/보고서 메뉴는 내부 아이피에서만 화면 표시</t>
    <phoneticPr fontId="0" type="noConversion"/>
  </si>
  <si>
    <t>2. 도시프로잭트, 통계, 재난，실시간 상황정보（교통，연론동향 등） 등 실시간 정보 연계 및 시각화 고도화</t>
    <phoneticPr fontId="15" type="noConversion"/>
  </si>
  <si>
    <t>디지털 시장실 고도화
- 대시보드 고도화</t>
    <phoneticPr fontId="15" type="noConversion"/>
  </si>
  <si>
    <t>3. 대시보드（일자리창출현황, 고용을, 실업률, 교통</t>
    <phoneticPr fontId="15" type="noConversion"/>
  </si>
  <si>
    <t xml:space="preserve"> 디지털 시장실 고도화
- 기능 고도화</t>
    <phoneticPr fontId="15" type="noConversion"/>
  </si>
  <si>
    <t>4. 미세먼지, 날씨, 악취강도，인구수，세대별구성수, 대기질정보 등） 기능 고도화</t>
    <phoneticPr fontId="15" type="noConversion"/>
  </si>
  <si>
    <t>&gt; 실시간 도시현황-대기환경 정보 표시 (미세먼지, 초미세먼지, 이산화질소, 오존 정보)
&gt; 기존 인구 및 시정지표 항목 통폐합(LX_DTP_PM_회의록_230324)</t>
    <phoneticPr fontId="15" type="noConversion"/>
  </si>
  <si>
    <t xml:space="preserve"> - 내외부망 연계 방안 협의 필요(LX클라우도 이용시 연계 방법)</t>
    <phoneticPr fontId="0" type="noConversion"/>
  </si>
  <si>
    <t xml:space="preserve">디지털 시장실 고도화
- SNS 기능 고도화 </t>
    <phoneticPr fontId="15" type="noConversion"/>
  </si>
  <si>
    <t xml:space="preserve">5. SNS（시정소식, 페이스북，블로그, 카카오스토리, 유투브 등） 연계 및 출력 기능 고도화 </t>
    <phoneticPr fontId="15" type="noConversion"/>
  </si>
  <si>
    <t>&gt; SNS 현황(홍보영상, 블로그) 홈화면 표시
&gt; 카드뉴스 게시내용 PDF 내용 화면 표시 (LX_DTP_PM_회의록_230324)
&gt; BIGKinds 사이트 뉴스 분석을 이용한 시흥시 뉴스 내용 및 분석 내용 표시 (LX_DTP_PM_회의록_230512)</t>
    <phoneticPr fontId="15" type="noConversion"/>
  </si>
  <si>
    <t>LXPFA_SFR_024_2D_010</t>
    <phoneticPr fontId="15" type="noConversion"/>
  </si>
  <si>
    <t>디지털 시장실 고도화
- 홈페이지 고도화</t>
    <phoneticPr fontId="15" type="noConversion"/>
  </si>
  <si>
    <t>디지털 시장실 홈페이지 고도화</t>
    <phoneticPr fontId="15" type="noConversion"/>
  </si>
  <si>
    <t>&gt; 반응형 웹페이지 구현
&gt; 만족도 조사 기능 구현
&gt; 시정 소개 영문화 페이지 추가
&gt; 민원분석 플랫폼/디지털 시장 관리자 페이지 통폐합
*LX_DTP_PM_회의록_230324</t>
    <phoneticPr fontId="15" type="noConversion"/>
  </si>
  <si>
    <t>LXPFA_SFR_025_2D_001</t>
    <phoneticPr fontId="15" type="noConversion"/>
  </si>
  <si>
    <t xml:space="preserve">기 분석•활용 서비스 모델 모듈화 및 고도화
- 실험사업 및 플랫폼 사업에서 개발된 서비스모델 모듈화 및 고도화 </t>
    <phoneticPr fontId="15" type="noConversion"/>
  </si>
  <si>
    <t xml:space="preserve">1. 실험사업 및 LX플랫폼 사업에서 도출한 분석설계서 등을 바탕으로 서비스 모델에 대한 모듈화（마이크로서비스 아키텍처） 및 고도화
</t>
    <phoneticPr fontId="15" type="noConversion"/>
  </si>
  <si>
    <t>34~35</t>
    <phoneticPr fontId="15" type="noConversion"/>
  </si>
  <si>
    <t>(SFR-025) 기 분석, 활용 서비스 모델 모듈화 및 고도화</t>
    <phoneticPr fontId="15" type="noConversion"/>
  </si>
  <si>
    <t>3.1.25 LX플랫폼 서비스 모델 모듈화 및 고도화 개요</t>
    <phoneticPr fontId="15" type="noConversion"/>
  </si>
  <si>
    <t>1. 전주는 실험사업 기반이므로, 현재 운영자 및 사용자가 존재하지 않음
2. 전주의 10개 분석 서비스 기능 동작이 하지 않음
3. 13종에 대한 모듈화 과업 범위는 사업을 수행하면서 계속 논의 필요</t>
    <phoneticPr fontId="0" type="noConversion"/>
  </si>
  <si>
    <t>김태겸/정찬욱</t>
    <phoneticPr fontId="0" type="noConversion"/>
  </si>
  <si>
    <t>기 분석•활용 서비스 모델 모듈화 및 고도화
- 교육과정 등에서 개발된 서비스 모델 모듈화</t>
    <phoneticPr fontId="15" type="noConversion"/>
  </si>
  <si>
    <t>2. 교육과정 등에서 개발된 서비스 모델 모듈화 - 발주처와 협의하여 활용 가능한 서비스 모델 모듈화</t>
    <phoneticPr fontId="15" type="noConversion"/>
  </si>
  <si>
    <t>LXPFA_SFR_025_2D_001 실험사업 및 플랫폼 사업에서 개발된 서비스모델 모듈화 및 고도화와 동일하여 통합
*LXPFA_2D_회의록(2D 기능 관련 회의)_230831</t>
    <phoneticPr fontId="15" type="noConversion"/>
  </si>
  <si>
    <t>김태겸/임지수</t>
    <phoneticPr fontId="0" type="noConversion"/>
  </si>
  <si>
    <t>LXPFA_SFR_027_2D_001</t>
    <phoneticPr fontId="15" type="noConversion"/>
  </si>
  <si>
    <t>실험사업 기반 지자체 플랫폼 통합
- 충북 공간정보 플랫폼 기능 통합</t>
    <phoneticPr fontId="15" type="noConversion"/>
  </si>
  <si>
    <t>1. 충북 공간정보 플랫폼에서 구현한 공간정보 시각화, 분석, 관리기능 및 1,2단계 서비스 등을 LX플랫폼 기반으로 통합
- 충북 공간정보 플랫폼에서 구현한 공간정보 시각화, 분석, 관리기능 및 1,2단계 서비스 등을 LX플랫폼 기반으로 통합</t>
    <phoneticPr fontId="15" type="noConversion"/>
  </si>
  <si>
    <t>(SFR-027)실험사업 기반 지자체 플폼 통합_1단계 구축
(SFR-027)실험사업 기반 지자체 플폼 통합_2단계 구축</t>
    <phoneticPr fontId="15" type="noConversion"/>
  </si>
  <si>
    <t>3.27 실험사업 기반 지자체 플랫폼 통합 (SFR-027)</t>
    <phoneticPr fontId="0" type="noConversion"/>
  </si>
  <si>
    <t>3.1.27 실험사업 기반 충북 플랫폼을 LX플랫폼 기반으로 통합 구현 방법</t>
    <phoneticPr fontId="15" type="noConversion"/>
  </si>
  <si>
    <t>&gt; 충북 플랫폼의 공간 기능은 LX 플랫폼의 업무 공간 아래에 넣고 메뉴 구성 및 리뉴얼 등은 충북 사업단에서 진행
&gt; 본 사업에서는 LX플랫폼 기반으로 충북 플랫폼 기능이 동작할 수 있도록 구현</t>
    <phoneticPr fontId="0" type="noConversion"/>
  </si>
  <si>
    <t>실험사업 기반 지자체 플랫폼 통합
- 충북 공간정보 플랫폼 데이터 이관 및 연계 설정 변경</t>
    <phoneticPr fontId="15" type="noConversion"/>
  </si>
  <si>
    <t>2. 1.2단계 서비스 구현을 위해 수집•연계된 데이터를 LX플랫폼 데이터 체계로 이관 및 연계 설정 변경
- 1.2단계 서비스 구현을 위해 수집•연계된 데이터를 LX플랫폼 데이터 체계로 이관 및 연계 설정 변경</t>
    <phoneticPr fontId="15" type="noConversion"/>
  </si>
  <si>
    <t>&gt; 9종의 충북플랫폼 스키마를 3종의 LX플랫폼 스키마로 변경</t>
    <phoneticPr fontId="0" type="noConversion"/>
  </si>
  <si>
    <t>1. 충북 플랫폼 UD 스키마 데이터 요청</t>
    <phoneticPr fontId="0" type="noConversion"/>
  </si>
  <si>
    <t>실험사업 기반 지자체 플랫폼 통합
- 충북 공간정보 플랫폼 통합 계획 수립</t>
    <phoneticPr fontId="15" type="noConversion"/>
  </si>
  <si>
    <t>3. 충북 플랫품 추진 일정 및 사업범위를 고려하여 통합 계획을 구체적 으로 수립하고，발주처와 충북 플랫폼 사업단과 협의하여 추진
- 충북 플랫품 추진 일정 및 사업범위를 고려하여 통합 계획을 구체적 으로 수립하고，발주처와 충북 플랫폼 사업단과 협의하여 추진</t>
    <phoneticPr fontId="15" type="noConversion"/>
  </si>
  <si>
    <t>실험사업 기반 지자체 플랫폼 통합
- 충북 공간정보 플랫폼 성능 확인 및 개선사항 조치</t>
    <phoneticPr fontId="15" type="noConversion"/>
  </si>
  <si>
    <t>4. 통합•이관 후 성능（속도） 및 정상동작 등을 확인하고, 오류 및 개선 사항 등 발생 시 이에 적극적으로 대응•조치 실시
- 통합•이관 후 성능（속도） 및 정상동작 등을 확인하고, 오류 및 개선 사항 등 발생 시 이에 적극적으로 대응•조치 실시</t>
    <phoneticPr fontId="15" type="noConversion"/>
  </si>
  <si>
    <t>해당 요구사항은 비기능 요구사항(성능테스트)으로 판단하여 기능에서 제외하여 관리</t>
    <phoneticPr fontId="15" type="noConversion"/>
  </si>
  <si>
    <t>LXPFA_FP_003_001
LXPFA_FP_003_002
LXPFA_FP_003_003
LXPFA_FP_003_004</t>
    <phoneticPr fontId="15" type="noConversion"/>
  </si>
  <si>
    <t>LXPFA_FP_003_005
LXPFA_FP_003_006
LXPFA_FP_003_007
LXPFA_FP_003_008
LXPFA_FP_003_009</t>
    <phoneticPr fontId="15" type="noConversion"/>
  </si>
  <si>
    <t>LXPFA_FP_003_010
LXPFA_FP_003_011
LXPFA_FP_003_012
LXPFA_FP_003_013</t>
    <phoneticPr fontId="15" type="noConversion"/>
  </si>
  <si>
    <t>LXPFA_FP_003_069
LXPFA_FP_003_070
LXPFA_FP_003_071
LXPFA_FP_003_072
LXPFA_FP_003_073</t>
    <phoneticPr fontId="15" type="noConversion"/>
  </si>
  <si>
    <t>플러그인 개발
- 도형 DB 생성（DB변환, 불러오기, 내보내기</t>
    <phoneticPr fontId="15" type="noConversion"/>
  </si>
  <si>
    <t>Ⅲ.1.12 도형 DB 생성(DB변환, 불러오기, 내보내기) 구현방안</t>
    <phoneticPr fontId="15" type="noConversion"/>
  </si>
  <si>
    <t>Ⅲ.1.12 2D 도면 자동화 기능 고도화 구현방안</t>
    <phoneticPr fontId="15" type="noConversion"/>
  </si>
  <si>
    <t>LXPFA_SFR_010_3D_005</t>
    <phoneticPr fontId="15" type="noConversion"/>
  </si>
  <si>
    <t>LXPFA_SFR_010_3D_001</t>
    <phoneticPr fontId="15" type="noConversion"/>
  </si>
  <si>
    <t>LXPFA_SFR_010_3D_002</t>
    <phoneticPr fontId="15" type="noConversion"/>
  </si>
  <si>
    <t>LXPFA_SFR_010_3D_004</t>
    <phoneticPr fontId="15" type="noConversion"/>
  </si>
  <si>
    <t>LXPFA_SFR_010_3D_003</t>
    <phoneticPr fontId="15" type="noConversion"/>
  </si>
  <si>
    <t>LXPFA_SFR_010_3D_008</t>
    <phoneticPr fontId="15" type="noConversion"/>
  </si>
  <si>
    <t>LXPFA_SFR_010_3D_009</t>
    <phoneticPr fontId="15" type="noConversion"/>
  </si>
  <si>
    <t>23.09.01</t>
    <phoneticPr fontId="15" type="noConversion"/>
  </si>
  <si>
    <t>개발환경 파트에서 서비스 제작도구관련 아키텍처 및 기능구현 후 2D 파트 논의 후 결정</t>
    <phoneticPr fontId="15" type="noConversion"/>
  </si>
  <si>
    <t xml:space="preserve">회의 결과 현재 아키텍처 방향성을 고려하여 3D 파트만 구성이 가능하다고 판단되어 2D 파트에서는 해당 서비스 제작도구 관련 개발 내용 삭제 </t>
    <phoneticPr fontId="15" type="noConversion"/>
  </si>
  <si>
    <t>LXPFA_2D_회의록(2D L.Value 및 서비스 제작 도구 관련 회의)_230901</t>
    <phoneticPr fontId="15" type="noConversion"/>
  </si>
  <si>
    <t>1. 신규 템플릿에 대해 벤치마킹할 화면 자료 전달 필요(LX)
&gt; 전달완료
- 아크에서 참조
https://enterprise.arcgis.com/ko/portal/10.7/use/story-map-tour.htm
https://enterprise.arcgis.com/ko/portal/10.7/use/compare.htm
https://enterprise.arcgis.com/ko/portal/10.7/use/elevation-profile.htm
https://enterprise.arcgis.com/ko/portal/10.7/use/time-aware.htm
2. 외부 지도서비스에 대한 추가적인 정보 조사 필요(AST)</t>
    <phoneticPr fontId="0" type="noConversion"/>
  </si>
  <si>
    <t>1. 고도화 방안 방향 설정 필요
 &gt; 고도화 방안 방향에 대해서 추가 전달(LX)
2. 고해상도 모니터를 사용하는 사용자가 셋팅한 화면이 저해상도 화면을 사용하는 사용자 화면과는 상이할 수 있음</t>
    <phoneticPr fontId="0" type="noConversion"/>
  </si>
  <si>
    <t>1. 모바일용 템플릿에  Web용으로 구현된 모든 기능들을 전환하여 넣는데에는 무리가 있고 목적에 맞게 일부 범위만 구현 필요(실태조사에 필요한 항목 : 위치 정보, 사진 업로드, 사진, 이력, 담당자 정보 등)
&gt; 모바일용 템플릿으로 구현할 수 있는 범위를 우선적으로 정리할 필요가 있음. 해상도 문제로 부득이하게 제외되어야하는 부분 확인해야함 
1. 현재 시스템은 모바일 화면에 적용할 수 있는 반응형 UI가 개발되어 있지않아, 모바일 템플릿 개발이 필요
2. 전체적인 모바일 템플릿 개발이 아닌 현장조사중심의 모바일 템플릿을 개발 예정
 &gt; 현장조사의 항목 정의 필요
 &gt; 기본적인 지도 서비스 기능들 구현 필요</t>
    <phoneticPr fontId="0" type="noConversion"/>
  </si>
  <si>
    <t>23.11.09</t>
    <phoneticPr fontId="15" type="noConversion"/>
  </si>
  <si>
    <t>전체 템플릿 별 탭 기능 개발</t>
    <phoneticPr fontId="15" type="noConversion"/>
  </si>
  <si>
    <t xml:space="preserve">설정한 템플릿을 그룹화 하여 탭별로 확인할 수 있도록 구현 </t>
    <phoneticPr fontId="15" type="noConversion"/>
  </si>
  <si>
    <t>다양한 글머리 기호유형 제공</t>
    <phoneticPr fontId="15" type="noConversion"/>
  </si>
  <si>
    <t>웹 앱에대한 설명을 보여줄 수 있는 기능으로 변경</t>
    <phoneticPr fontId="15" type="noConversion"/>
  </si>
  <si>
    <t>&gt; 다양한 글머리 기호 유형 제공
(변경) 담당PI 요구사항 내용 변경
&gt; 웹 앱에 대한 설명을 적을 수 있는 기능 추가</t>
    <phoneticPr fontId="0" type="noConversion"/>
  </si>
  <si>
    <t>BI연계하여 차트 표시</t>
    <phoneticPr fontId="15" type="noConversion"/>
  </si>
  <si>
    <t>기존에 있는 차트생성 기능을 그대로 활용하여 다른 템플릿에도 구현하는 방향으로 수정</t>
    <phoneticPr fontId="15" type="noConversion"/>
  </si>
  <si>
    <t>LXPFA_2D_회의록(L.Value 및 BI 솔루션 관련 회의)_V.0.9_20230908</t>
    <phoneticPr fontId="15" type="noConversion"/>
  </si>
  <si>
    <t>23.09.08</t>
    <phoneticPr fontId="15" type="noConversion"/>
  </si>
  <si>
    <t>1. 협업공간이란 구글 스프레드시트 처럼 공동작업 공간으로 보면 되는것인지? 또한 실시간 유무 확인 필요
&gt; 실시간은 아님(개발자 확인 필요)
&gt; 충북플랫폼 [협업공간] 기능 참조</t>
    <phoneticPr fontId="0" type="noConversion"/>
  </si>
  <si>
    <r>
      <rPr>
        <strike/>
        <sz val="11"/>
        <color theme="1"/>
        <rFont val="맑은 고딕"/>
        <family val="3"/>
        <charset val="129"/>
        <scheme val="minor"/>
      </rPr>
      <t>&gt; 토지 정보 : 크라스 or 연속지적도 연계
&gt; 건물 정보 : 세움터 or 건축물대장 연계</t>
    </r>
    <r>
      <rPr>
        <sz val="11"/>
        <color theme="1"/>
        <rFont val="맑은 고딕"/>
        <family val="3"/>
        <charset val="129"/>
        <scheme val="minor"/>
      </rPr>
      <t xml:space="preserve">
&gt; 통합 DB 활용하여 표출할 수 있는 위젯 개발
&gt; 프로세스(예시) : 위젯 버튼 클릭 -&gt; 연속지적도 -&gt; 필지/건물 클릭 -&gt; 필지/건물 정보 표시
&gt; 위젯 종류를 한번에 볼 수 있도록(전체보기 형식으로) 구현
&gt; 세움터, 크라스 설정할 수 있는 설정창
위젯 &gt; 데이터 설정창 &gt; 크라스, 세움터 못쓸시 기본 목록만 (위젯 생성시에 설정할 수 있도록)
&gt; 필지 정보 및 건축물 정보는 LX 통합 DB에 있는 내용만 표시하기로 결정(전체 리스트는 LX에서 결정 후 전달)</t>
    </r>
    <phoneticPr fontId="0" type="noConversion"/>
  </si>
  <si>
    <t>1. 분석 종류에 해당하는 범례 선정 후 위젯 기능 개발
2. 범례의 다양한 표출 방법 고려 필요(등간격, 표준화 분포도, 사용자 지정 등)</t>
    <phoneticPr fontId="0" type="noConversion"/>
  </si>
  <si>
    <r>
      <t xml:space="preserve">&gt; 레이어 형식으로 영상을 올리는 기능 구현
&gt; 레이어 배경지도의 순서를 정할 수 있는 레이어 배경지도 순서 관리체계 개발
중첩영상 위젯 = 배경지도처럼 조회만 가능하게
                  = 배경지도의 순서 바꿀 수 있도록
                  = 레이어가 아닌 배경지도가 변경되도록
                  = 영상 분류체계를 그대로 가져와서(데이터 관리쪽에서 가져옴)
&gt; 사용자 업로드 영상을 표시
&gt; 드론 촬영 영상 연계하여 같이 설정할 수 있도록 구현(추가)
</t>
    </r>
    <r>
      <rPr>
        <sz val="11"/>
        <color rgb="FFFF0000"/>
        <rFont val="맑은 고딕"/>
        <family val="3"/>
        <charset val="129"/>
        <scheme val="minor"/>
      </rPr>
      <t>상세정의 추가 및 변경 : LX드론관제시스템에서 드론 촬영 영상 연계 및 해당 영상을 순서를 바꾸며 확인 가능하게 구현
사용자 업로드 영상 : 사용자 파일관리에서 영상 관리 파일 활용</t>
    </r>
    <phoneticPr fontId="0" type="noConversion"/>
  </si>
  <si>
    <t xml:space="preserve">LXPFA_FP_014_001
LXPFA_FP_014_002
LXPFA_FP_014_003
LXPFA_FP_014_004
LXPFA_FP_014_005
LXPFA_FP_014_006
LXPFA_FP_014_007
</t>
    <phoneticPr fontId="15" type="noConversion"/>
  </si>
  <si>
    <r>
      <t xml:space="preserve">3.1.14 </t>
    </r>
    <r>
      <rPr>
        <sz val="11"/>
        <color theme="1"/>
        <rFont val="맑은 고딕"/>
        <family val="3"/>
        <charset val="129"/>
        <scheme val="minor"/>
      </rPr>
      <t>웹 위젯 추가 및 관리 기능</t>
    </r>
    <phoneticPr fontId="15" type="noConversion"/>
  </si>
  <si>
    <t xml:space="preserve">LXPFA_FP_014_001
LXPFA_FP_014_002
LXPFA_FP_014_003
LXPFA_FP_014_004
LXPFA_FP_014_005
LXPFA_FP_014_008
LXPFA_FP_014_009
LXPFA_FP_014_010
</t>
    <phoneticPr fontId="15" type="noConversion"/>
  </si>
  <si>
    <t xml:space="preserve">LXPFA_FP_014_001
LXPFA_FP_014_002
LXPFA_FP_014_003
LXPFA_FP_014_004
LXPFA_FP_014_005
LXPFA_FP_014_012
LXPFA_FP_014_013
</t>
    <phoneticPr fontId="15" type="noConversion"/>
  </si>
  <si>
    <t>&gt; 좌표표시 위젯에서 좌표계를 변환하여 변환된 좌표계를 표시하는 기능 구현
&gt; 좌표조회 위젯
= 측정도구 조회 정보 추가 : 위경도를 좀 더 다른 좌표체계로 표시
= 표출 좌표계변경 기능 :  마우스따라서 xy좌표 이동하는것
&gt; 지도에서 좌표계를 선택하여 변경되는 좌표 표시</t>
    <phoneticPr fontId="0" type="noConversion"/>
  </si>
  <si>
    <t>LXPFA_FP_015_029
LXPFA_FP_015_030
LXPFA_FP_015_031
LXPFA_FP_015_032
LXPFA_FP_015_033
LXPFA_FP_015_034
LXPFA_FP_015_035
LXPFA_FP_015_036
LXPFA_FP_015_037
LXPFA_FP_015_038
LXPFA_FP_015_039
LXPFA_FP_015_040</t>
    <phoneticPr fontId="15" type="noConversion"/>
  </si>
  <si>
    <r>
      <rPr>
        <strike/>
        <sz val="11"/>
        <color theme="1"/>
        <rFont val="맑은 고딕"/>
        <family val="3"/>
        <charset val="129"/>
        <scheme val="minor"/>
      </rPr>
      <t>&gt; 웹맵 내부에서 영상을 확인하기 위한 링크 설정 기능 구현</t>
    </r>
    <r>
      <rPr>
        <sz val="11"/>
        <color rgb="FF0070C0"/>
        <rFont val="맑은 고딕"/>
        <family val="3"/>
        <charset val="129"/>
        <scheme val="minor"/>
      </rPr>
      <t xml:space="preserve">
</t>
    </r>
    <r>
      <rPr>
        <sz val="11"/>
        <color rgb="FFFF0000"/>
        <rFont val="맑은 고딕"/>
        <family val="3"/>
        <charset val="129"/>
        <scheme val="minor"/>
      </rPr>
      <t>&gt; 메인 템플릿에서 영상을 확인하기 위한 링크 설정 기능</t>
    </r>
    <phoneticPr fontId="0" type="noConversion"/>
  </si>
  <si>
    <t xml:space="preserve"> </t>
    <phoneticPr fontId="15" type="noConversion"/>
  </si>
  <si>
    <r>
      <t xml:space="preserve">&gt; WMS/WFS 전환 발행 하면 웹 레이어에 추가되는 기능 구현
</t>
    </r>
    <r>
      <rPr>
        <strike/>
        <sz val="11"/>
        <color theme="1"/>
        <rFont val="맑은 고딕"/>
        <family val="3"/>
        <charset val="129"/>
        <scheme val="minor"/>
      </rPr>
      <t>&gt; 동일한 데이터로 발행한 WMS/WFS를 삭제할 경우 사전 알림 표시(팝업 형태)</t>
    </r>
    <r>
      <rPr>
        <sz val="11"/>
        <color theme="1"/>
        <rFont val="맑은 고딕"/>
        <family val="3"/>
        <charset val="129"/>
        <scheme val="minor"/>
      </rPr>
      <t xml:space="preserve">
&gt; 빈 레이어 : 빈 껍데기의 웹 레이어를 만드는 기능 구현
&gt; 레이어 삭제 시 원본 데이터도 같이 삭제할 지 선택할 수 있는 기능 구현</t>
    </r>
    <phoneticPr fontId="0" type="noConversion"/>
  </si>
  <si>
    <t>23.09.19</t>
    <phoneticPr fontId="15" type="noConversion"/>
  </si>
  <si>
    <t>- L.value 산출물 분석 
- (일정) 2D 프레임워크 구현 이후 개발 진행
&gt; LX 가이드 동영상 공유 완료
&gt; 산출물 공유 완료</t>
    <phoneticPr fontId="0" type="noConversion"/>
  </si>
  <si>
    <t>23.07.07</t>
    <phoneticPr fontId="15" type="noConversion"/>
  </si>
  <si>
    <t>담당자
오정석</t>
    <phoneticPr fontId="15" type="noConversion"/>
  </si>
  <si>
    <t>담당자 심정환 변경</t>
    <phoneticPr fontId="15" type="noConversion"/>
  </si>
  <si>
    <t>2023.10.31</t>
    <phoneticPr fontId="15" type="noConversion"/>
  </si>
  <si>
    <t>내/외부 면적 계산은 웹맵의 위젯(저작도구) 형태로 구현</t>
    <phoneticPr fontId="15" type="noConversion"/>
  </si>
  <si>
    <t>내/외부 면적 계산은 공간분석의 데이터 관리 분석에 구현</t>
    <phoneticPr fontId="15" type="noConversion"/>
  </si>
  <si>
    <t>1. 아이나비 API 제공 및 내용 확인 필요
아이나비 개발 가이드라인 및 개발환경에 구현되는지 강효두 대리님 확인 요청
&gt; 전달완료
 - 남은 4가지 기능 내용
 - API 및 샘플 테스트 가이드라인</t>
    <phoneticPr fontId="0" type="noConversion"/>
  </si>
  <si>
    <t>1. 해당 요구사항의 정확한 의미 파악이 필요하여 강효두 대리님 확인 요청
 &gt; 워크플로우로 스케줄러를 설정하면 그 결과러 주제도(웹레이어)가 표출되는데 이에 대한 관리가능한 것을 뜻함 즉, 누적으로 날짜를 넣든 규칙적으로 누적이 되든, 동일한 레이어명으로 갱신하는 등의 설정을 말함</t>
    <phoneticPr fontId="0" type="noConversion"/>
  </si>
  <si>
    <t>&gt;국토지리정보원 공간정보 플랫폼 우클릭 시 표출되는 공간검색을 참고하여 구현
&gt;지정된 영역의 모든 레이어 정보를 표출해주고 사용자 선택 데이터 융복합하여 표출
&gt; 그리기 기능 외 상단 버튼 추가
&gt; 범용 데이터셋 리스트 (데이터 파트와 협의하여 적재 및 분류 프로세스 필요)
&gt; 여러 개의 데이터셋 표출</t>
    <phoneticPr fontId="0" type="noConversion"/>
  </si>
  <si>
    <t xml:space="preserve">&gt; 막대 그래프 기능은 구현되어 있으나 고도화 및 통계 세부화
&gt; LX플랫폼 마스터 권한으로 지자체 플랫폼 통계를 모두 조회할 수 있어야 하며, 추가되는 플랫폼도 보여지게 구현
</t>
    <phoneticPr fontId="0" type="noConversion"/>
  </si>
  <si>
    <t>&gt; 웹맵 호출 시 베이스맵 위에 중첩하고자 하는 영상지도 관리 기능
&gt; 지자체별로 웹맵 최초 호출 시 베이스맵 및 영상지도 조회 및 관리 기능
(LXPFA_2D회의록(2D기능 회의)_231031.hwp)</t>
    <phoneticPr fontId="15" type="noConversion"/>
  </si>
  <si>
    <t>1. 제한하는 용량은 어디까지인지?
 &gt; 데이터 파트랑 이야기 필요함</t>
    <phoneticPr fontId="0" type="noConversion"/>
  </si>
  <si>
    <r>
      <rPr>
        <sz val="11"/>
        <color theme="1"/>
        <rFont val="맑은 고딕"/>
        <family val="3"/>
        <charset val="129"/>
        <scheme val="minor"/>
      </rPr>
      <t xml:space="preserve">&gt; 사용자가 업로드할 수 있는 항목을 확인하여 리스트업
&gt; 1) 리스트업하여 각 항목에 대해 용량 제한
   2) 전체 항목 용량 제한
   두 가지 방안을 잡고 추후 논의
</t>
    </r>
    <r>
      <rPr>
        <sz val="11"/>
        <color rgb="FF0070C0"/>
        <rFont val="맑은 고딕"/>
        <family val="3"/>
        <charset val="129"/>
        <scheme val="minor"/>
      </rPr>
      <t xml:space="preserve">
</t>
    </r>
    <r>
      <rPr>
        <sz val="11"/>
        <color rgb="FFFF0000"/>
        <rFont val="맑은 고딕"/>
        <family val="3"/>
        <charset val="129"/>
        <scheme val="minor"/>
      </rPr>
      <t>&gt; 사용자가 업로드할 수 있는 기능의 전체 항목에 대해 용량 제한 하는 것으로 정의 (LXPFA_2D_회의록(2D기능 회의)_231031.hwp)</t>
    </r>
    <phoneticPr fontId="0" type="noConversion"/>
  </si>
  <si>
    <t>1. LX 자체적으로 성능 테스트하는 가이드 및 툴이 있는지? 없으면 제이미터나 무료 툴 사용해서 해도 되는지?
 &gt; 성능 툴은 정해진게 없음(오픈소스 사용)</t>
    <phoneticPr fontId="0" type="noConversion"/>
  </si>
  <si>
    <t>23.11.16</t>
    <phoneticPr fontId="15" type="noConversion"/>
  </si>
  <si>
    <t>산출물명</t>
  </si>
  <si>
    <t>문서정보</t>
    <phoneticPr fontId="15" type="noConversion"/>
  </si>
  <si>
    <t>제·개정일</t>
    <phoneticPr fontId="15" type="noConversion"/>
  </si>
  <si>
    <t>Version</t>
    <phoneticPr fontId="15" type="noConversion"/>
  </si>
  <si>
    <t>제·개정 내용</t>
    <phoneticPr fontId="15" type="noConversion"/>
  </si>
  <si>
    <t>제정</t>
    <phoneticPr fontId="15" type="noConversion"/>
  </si>
  <si>
    <t>부서 데이터 관리 템플릿 에서 부서 데이터의 로그를 조회</t>
    <phoneticPr fontId="15" type="noConversion"/>
  </si>
  <si>
    <t>웹맵에서 사용자가 레이어 속성을 변경한 이력 등을 남기고 관리할 수 있는 기능으로 변경, 레이어 변경 로그가 없을 경우 수기로 기록하여 남길 수 있도록 구현</t>
    <phoneticPr fontId="15" type="noConversion"/>
  </si>
  <si>
    <t>24.01.10</t>
    <phoneticPr fontId="15" type="noConversion"/>
  </si>
  <si>
    <t>LXPFA_2D_회의록(웹 엡 차트 및 부서 데이터 관리 회의)_240110</t>
    <phoneticPr fontId="15" type="noConversion"/>
  </si>
  <si>
    <t>사용자가 분석 실행 시 유해 시설물 데이터를 직접 추가하여 저해여부 설정(분석 실행 시 마이너스 값으로 산출)</t>
    <phoneticPr fontId="15" type="noConversion"/>
  </si>
  <si>
    <t>LXPFA_2D_회의록(2D 기능 관련 회의)_231116</t>
    <phoneticPr fontId="15" type="noConversion"/>
  </si>
  <si>
    <t xml:space="preserve">공간분석 후 나타나는 범례에 대한 위젯 </t>
    <phoneticPr fontId="15" type="noConversion"/>
  </si>
  <si>
    <t>유형별/범위별 심볼 스타일 설정 후 설정한 스타일별 범례를 표시하는 위젯</t>
    <phoneticPr fontId="15" type="noConversion"/>
  </si>
  <si>
    <t>사용자 데이터/레이어 추가, 통합 DB 데이터 활용하여 부동산 비교 분석 실행</t>
    <phoneticPr fontId="15" type="noConversion"/>
  </si>
  <si>
    <t>분석 대상 데이터 설정, 데이터 상세설정, 분석모델 선택 등의 분석 상세설정 기능 구현</t>
    <phoneticPr fontId="15" type="noConversion"/>
  </si>
  <si>
    <t>데이터별 가중치 설정 기능 구현</t>
    <phoneticPr fontId="15" type="noConversion"/>
  </si>
  <si>
    <t xml:space="preserve">부동산 비교 분석 결과 순위별 결과 표시 </t>
    <phoneticPr fontId="15" type="noConversion"/>
  </si>
  <si>
    <t xml:space="preserve"> - 분석결과 데이터 유형별 차트 표시
 - 분석 시 최대 30분까지 소요될 수 있어 분석 완료 시 암림 위젯에 분석 완료 알림 표출 기능 구현</t>
    <phoneticPr fontId="15" type="noConversion"/>
  </si>
  <si>
    <t>&gt; 일자리 현황 홈화면에만 표시
 (230411 시흥시 스마트시정 요구사항 구체화(안) 참고)
&gt; 일반/노인/장애인 -&gt; 일반/청년/노인/장애인 항목 변경
&gt; 일자리 데이터 수기로 입력 관리</t>
    <phoneticPr fontId="0" type="noConversion"/>
  </si>
  <si>
    <r>
      <t>&gt; 실시간 도시현황 (교통정보,대기환경,</t>
    </r>
    <r>
      <rPr>
        <strike/>
        <sz val="11"/>
        <color theme="1"/>
        <rFont val="맑은 고딕"/>
        <family val="3"/>
        <charset val="129"/>
        <scheme val="minor"/>
      </rPr>
      <t>감염병 발생</t>
    </r>
    <r>
      <rPr>
        <sz val="11"/>
        <color theme="1"/>
        <rFont val="맑은 고딕"/>
        <family val="3"/>
        <charset val="129"/>
        <scheme val="minor"/>
      </rPr>
      <t xml:space="preserve">) 표시
   </t>
    </r>
    <r>
      <rPr>
        <sz val="11"/>
        <color rgb="FFFF0000"/>
        <rFont val="맑은 고딕"/>
        <family val="3"/>
        <charset val="129"/>
        <scheme val="minor"/>
      </rPr>
      <t>-&gt; '감염병 발생'이 아닌 '유기동물 보호' 표시로 변경</t>
    </r>
    <r>
      <rPr>
        <sz val="11"/>
        <color theme="1"/>
        <rFont val="맑은 고딕"/>
        <family val="3"/>
        <charset val="129"/>
        <scheme val="minor"/>
      </rPr>
      <t xml:space="preserve">
 * 화면 표시에 사용할 지도 선정 필요
&gt; LX 2D 지도를 활용한 테마지도 (도시프로젝트 및 빅데이터 분석) 구현
&gt; 지도 연계는 LX플랫폼, 카카오, 네이버, 브이월드 등 자유롭게 사용 가능</t>
    </r>
    <phoneticPr fontId="0" type="noConversion"/>
  </si>
  <si>
    <t xml:space="preserve"> - 기존 L.Value 시스템은 사용 불가로 판단되며 범용 서비스 중 하나로 개발
 - 부동산 입지 추천으로 데이터별 거리별 가중치로 점수 부과하여 맵에 표시해주는 형태로 개발
 - 사용자가 데이터를 업로드할 수 있는 방향으로 개발
 - 서비스명은 부동산 비교분석 서비스로 변경
 - 담당자 심정환 변경</t>
    <phoneticPr fontId="15" type="noConversion"/>
  </si>
  <si>
    <t xml:space="preserve"> - 기존 L.Value시스템을 LX플랫폼으로 이전
 - 담당자 안용준</t>
    <phoneticPr fontId="15" type="noConversion"/>
  </si>
  <si>
    <t xml:space="preserve"> - 담당자 심정환 변경
 - '감염병 발생'이 아닌 '유기동물 보호'로 컨텐츠 변경</t>
    <phoneticPr fontId="15" type="noConversion"/>
  </si>
  <si>
    <t xml:space="preserve"> - 담당자
오정석
 - 실시간 도시현황 : 교통정보, 대기환경, 감염병 발생으로 구성</t>
    <phoneticPr fontId="15" type="noConversion"/>
  </si>
  <si>
    <t>LXPFA_2D_회의록(2D기능 회의)_231031</t>
    <phoneticPr fontId="15" type="noConversion"/>
  </si>
  <si>
    <t>&gt; 전주 10종, 충북 2종, 세종 1종 모듈화 범위
&gt; 분석 서비스 통으로 모듈화 진행
&gt; 범용적으로 사용할 수 있도록 최소한의 서비스 모듈화
&gt; 충북 공유재산 서비스는 제외
(지자체 공유재산 데이터 연계 이슈로 인한 제외)
*LXPFA_2D_회의록(요구사항 2차정의)_230713
&gt; 전주시 10종 중 민간데이터 사용 및 동작하지 않는 서비스가 존재함에따라, 서비스 신규 기획이 필요하며, 분석 기법은 데이터 현황에 맞추어 참조하여 구현
신규 기획이 필요하여, 우선 3개의 서비스를 기획하여 진행하고 설계감리 이후 주에 1종씩 추가 기획하여 진행 예정
*LXPFA_2D_회의록(2D 기능 관련 회의)_230831</t>
    <phoneticPr fontId="0" type="noConversion"/>
  </si>
  <si>
    <t>24.01.12</t>
  </si>
  <si>
    <t>분석 서비스 범위
10종 (전주시 10종)</t>
    <phoneticPr fontId="15" type="noConversion"/>
  </si>
  <si>
    <t>분석 서비스 범위 12종
(전주시 10종,
충북 1종,
세종 1종)</t>
    <phoneticPr fontId="15" type="noConversion"/>
  </si>
  <si>
    <t>LXPFA_2D_회의록(웹 앱 전체 템플릿 관련 회의)_231109
LXPFA_2D_회의록(웹앱 탭기능 관련 회의)_231116</t>
    <phoneticPr fontId="15" type="noConversion"/>
  </si>
  <si>
    <t>LXPFA_2D_회의록(2D L.Value 및 서비스 제작 도구 관련 회의)_230901
LXPFA_2D_회의록(L.Value 및 BI 솔루션 관련 회의)_V.0.9_20230908
LXPFA_2D_회의록(L.Value 개발 방법론 회의)_V.0.9_230919
LXPFA_2D_회의록(2D 개발(워크플로우, L.value)관련 회의)_231018
LXPFA_2D_회의록(2D 기능 관련 회의)_231116
LXPFA_2D_회의록(L.value 관련 회의)_231116
LXPFA_2D_회의록(2D 범용서비스 UI 통합 관련 회의)_V.1.0_240124</t>
    <phoneticPr fontId="15" type="noConversion"/>
  </si>
  <si>
    <t>LXPFA_2D_회의록(시흥시 고도화 회의)_V.0.9_20230707</t>
    <phoneticPr fontId="15" type="noConversion"/>
  </si>
  <si>
    <t>LXPFA_2D_회의록(시흥시 고도화 회의)_V.0.9_20230707
LXPFA_2D_회의록(시흥시 개발 상황 보고)_V1.0_240322</t>
    <phoneticPr fontId="15" type="noConversion"/>
  </si>
  <si>
    <t>LXPFA_2D_회의록(전주시 분석 서비스)_V0.1_240112</t>
    <phoneticPr fontId="15" type="noConversion"/>
  </si>
  <si>
    <t>(SFR-008)3D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t>
    <phoneticPr fontId="15" type="noConversion"/>
  </si>
  <si>
    <t>LXPFA_FP_008_001
LXPFA_FP_008_002
LXPFA_FP_008_003
LXPFA_FP_008_004
LXPFA_FP_008_005
LXPFA_FP_008_006
LXPFA_FP_008_007
LXPFA_FP_008_008
LXPFA_FP_008_009
LXPFA_FP_008_010
LXPFA_FP_008_011
LXPFA_FP_008_012
LXPFA_FP_008_013
LXPFA_FP_008_014
LXPFA_FP_008_015
LXPFA_FP_008_016
LXPFA_FP_008_017
LXPFA_FP_008_018
LXPFA_FP_008_019
LXPFA_FP_008_020
LXPFA_FP_008_021
LXPFA_FP_008_022
LXPFA_FP_008_023
LXPFA_FP_008_024
LXPFA_FP_008_025
LXPFA_FP_008_026
LXPFA_FP_008_027
LXPFA_FP_008_028
LXPFA_FP_008_029
LXPFA_FP_008_030
LXPFA_FP_008_031
LXPFA_FP_008_032
LXPFA_FP_008_033
LXPFA_FP_008_034
LXPFA_FP_008_035
LXPFA_FP_008_036
LXPFA_FP_008_037
LXPFA_FP_008_038
LXPFA_FP_008_039
LXPFA_FP_008_040
LXPFA_FP_008_041
LXPFA_FP_008_042
LXPFA_FP_008_043
LXPFA_FP_008_044
LXPFA_FP_008_045
LXPFA_FP_008_046
LXPFA_FP_008_047
LXPFA_FP_008_048</t>
    <phoneticPr fontId="15" type="noConversion"/>
  </si>
  <si>
    <t>(SFR-008)3D 데이터 모델러 기능 고도화
(SFR-008)3D 데이터 모델러 기능 고도화</t>
    <phoneticPr fontId="15" type="noConversion"/>
  </si>
  <si>
    <t>LXPFA_FP_008_049
LXPFA_FP_008_050</t>
    <phoneticPr fontId="15" type="noConversion"/>
  </si>
  <si>
    <t>(SFR-008)3D 데이터 모델러 기능 고도화
(SFR-008)3D 데이터 모델러 기능 고도화
(SFR-008)3D 데이터 모델러 기능 고도화
(SFR-008)3D 데이터 모델러 기능 고도화</t>
    <phoneticPr fontId="15" type="noConversion"/>
  </si>
  <si>
    <t>LXPFA_FP_008_051
LXPFA_FP_008_052
LXPFA_FP_008_053
LXPFA_FP_008_054</t>
    <phoneticPr fontId="15" type="noConversion"/>
  </si>
  <si>
    <t>LXPFA_FP_008_063
LXPFA_FP_008_064
LXPFA_FP_008_065
LXPFA_FP_008_066</t>
    <phoneticPr fontId="15" type="noConversion"/>
  </si>
  <si>
    <t>LXPFA_FP_008_067</t>
    <phoneticPr fontId="15" type="noConversion"/>
  </si>
  <si>
    <t>LXPFA_FP_008_068
LXPFA_FP_008_069</t>
    <phoneticPr fontId="15" type="noConversion"/>
  </si>
  <si>
    <t>(SFR-008)3D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t>
    <phoneticPr fontId="15" type="noConversion"/>
  </si>
  <si>
    <t>LXPFA_FP_008_070
LXPFA_FP_008_071
LXPFA_FP_008_072
LXPFA_FP_008_073
LXPFA_FP_008_074
LXPFA_FP_008_075
LXPFA_FP_008_076
LXPFA_FP_008_077</t>
    <phoneticPr fontId="15" type="noConversion"/>
  </si>
  <si>
    <t>(SFR-008)3D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t>
    <phoneticPr fontId="15" type="noConversion"/>
  </si>
  <si>
    <t>LXPFA_FP_008_055
LXPFA_FP_008_056
LXPFA_FP_008_057
LXPFA_FP_008_058
LXPFA_FP_008_059
LXPFA_FP_008_060
LXPFA_FP_008_061
LXPFA_FP_008_062
LXPFA_FP_008_078
LXPFA_FP_008_079
LXPFA_FP_008_080
LXPFA_FP_008_081
LXPFA_FP_008_082
LXPFA_FP_008_083
LXPFA_FP_008_084
LXPFA_FP_008_085</t>
    <phoneticPr fontId="15" type="noConversion"/>
  </si>
  <si>
    <t>(SFR-008)3D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
(SFR-008)3D 데이터 모델러 기능 고도화</t>
    <phoneticPr fontId="15" type="noConversion"/>
  </si>
  <si>
    <t>LXPFA_FP_008_086_001
LXPFA_FP_008_086_002
LXPFA_FP_008_086_003
LXPFA_FP_008_086_004
LXPFA_FP_008_086_005
LXPFA_FP_008_086_006
LXPFA_FP_008_086_007
LXPFA_FP_008_086_008
LXPFA_FP_008_086_009
LXPFA_FP_008_086_010
LXPFA_FP_008_086_011
LXPFA_FP_008_086_012
LXPFA_FP_008_086_013
LXPFA_FP_008_086_014
LXPFA_FP_008_086_015
LXPFA_FP_008_086_016
LXPFA_FP_008_086_017
LXPFA_FP_008_086_018
LXPFA_FP_008_086_019
LXPFA_FP_008_086_020
LXPFA_FP_008_086_021
LXPFA_FP_008_086_022
LXPFA_FP_008_086_023
LXPFA_FP_008_086_024
LXPFA_FP_008_086_025
LXPFA_FP_008_086_026
LXPFA_FP_008_086_027
LXPFA_FP_008_086_028
LXPFA_FP_008_086_029
LXPFA_FP_008_086_030
LXPFA_FP_008_086_031
LXPFA_FP_008_086_032
LXPFA_FP_008_086_033
LXPFA_FP_008_086_034
LXPFA_FP_008_086_035
LXPFA_FP_008_086_036
LXPFA_FP_008_086_037
LXPFA_FP_008_086_038
LXPFA_FP_008_086_039
LXPFA_FP_008_086_040
LXPFA_FP_008_086_041
LXPFA_FP_008_086_042</t>
    <phoneticPr fontId="15" type="noConversion"/>
  </si>
  <si>
    <t>(SFR-008)3D 데이터 모델러 기능 고도화
(SFR-008)3D 데이터 모델러 기능 고도화
(SFR-008)3D 데이터 모델러 기능 고도화
(SFR-008)3D 데이터 모델러 기능 고도화
(SFR-008)3D 데이터 모델러 기능 고도화
(SFR-008)3D 데이터 모델러 기능 고도화</t>
    <phoneticPr fontId="15" type="noConversion"/>
  </si>
  <si>
    <t>LXPFA_FP_008_086_043
LXPFA_FP_008_086_044
LXPFA_FP_008_086_045
LXPFA_FP_008_086_046
LXPFA_FP_008_086_047
LXPFA_FP_008_086_048</t>
    <phoneticPr fontId="15" type="noConversion"/>
  </si>
  <si>
    <t>(SFR-009)가시화 서비스 3차원 기능 고도화
(SFR-009)가시화 서비스 3차원 기능 고도화
(SFR-009)가시화 서비스 3차원 기능 고도화
(SFR-009)가시화 서비스 3차원 기능 고도화
(SFR-009)가시화 서비스 3차원 기능 고도화</t>
    <phoneticPr fontId="15" type="noConversion"/>
  </si>
  <si>
    <t>LXPFA_FP_009_001
LXPFA_FP_009_002
LXPFA_FP_009_003
LXPFA_FP_009_004
LXPFA_FP_009_005</t>
    <phoneticPr fontId="15" type="noConversion"/>
  </si>
  <si>
    <t>LXPFA_FP_009_006
LXPFA_FP_009_007
LXPFA_FP_009_008
LXPFA_FP_009_009
LXPFA_FP_009_010</t>
    <phoneticPr fontId="15" type="noConversion"/>
  </si>
  <si>
    <t>LXPFA_FP_009_011
LXPFA_FP_009_012
LXPFA_FP_009_013
LXPFA_FP_009_014
LXPFA_FP_009_015</t>
    <phoneticPr fontId="15" type="noConversion"/>
  </si>
  <si>
    <t>(SFR-009)가시화 서비스 3차원 기능 고도화
(SFR-009)가시화 서비스 3차원 기능 고도화
(SFR-009)가시화 서비스 3차원 기능 고도화
(SFR-009)가시화 서비스 3차원 기능 고도화
(SFR-009)가시화 서비스 3차원 기능 고도화
(SFR-009)가시화 서비스 3차원 기능 고도화
(SFR-009)가시화 서비스 3차원 기능 고도화
(SFR-009)가시화 서비스 3차원 기능 고도화</t>
    <phoneticPr fontId="15" type="noConversion"/>
  </si>
  <si>
    <t>LXPFA_FP_009_016
LXPFA_FP_009_016
LXPFA_FP_009_017
LXPFA_FP_009_018
LXPFA_FP_009_019
LXPFA_FP_009_020
LXPFA_FP_009_021
LXPFA_FP_009_022</t>
    <phoneticPr fontId="15" type="noConversion"/>
  </si>
  <si>
    <t>(SFR-021)영상데이터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
(SFR-021)영상데이터 관리체계 구축</t>
    <phoneticPr fontId="15" type="noConversion"/>
  </si>
  <si>
    <t>LXPFA_FP_021_001
LXPFA_FP_021_002
LXPFA_FP_021_003
LXPFA_FP_021_004
LXPFA_FP_021_005
LXPFA_FP_021_006
LXPFA_FP_021_007
LXPFA_FP_021_008
LXPFA_FP_021_009
LXPFA_FP_021_010
LXPFA_FP_021_011
LXPFA_FP_021_012
LXPFA_FP_021_013
LXPFA_FP_021_014
LXPFA_FP_021_015
LXPFA_FP_021_016
LXPFA_FP_021_017
LXPFA_FP_021_018
LXPFA_FP_021_019
LXPFA_FP_021_020
LXPFA_FP_021_021
LXPFA_FP_021_022
LXPFA_FP_021_023
LXPFA_FP_021_024
LXPFA_FP_021_025
LXPFA_FP_021_026
LXPFA_FP_021_027
LXPFA_FP_021_028
LXPFA_FP_021_029
LXPFA_FP_021_030
LXPFA_FP_021_031
LXPFA_FP_021_032
LXPFA_FP_021_033
LXPFA_FP_021_034
LXPFA_FP_021_035
LXPFA_FP_021_036
LXPFA_FP_021_037
LXPFA_FP_021_038
LXPFA_FP_021_039
LXPFA_FP_021_040
LXPFA_FP_021_041
LXPFA_FP_021_042
LXPFA_FP_021_043
LXPFA_FP_021_044
LXPFA_FP_021_045</t>
    <phoneticPr fontId="15" type="noConversion"/>
  </si>
  <si>
    <t>- 통합운영관리 포털 내 행정망 자원 연동
- 행정망 IP 및 네트워크 분리를 통한 VM 생성 관리</t>
    <phoneticPr fontId="0" type="noConversion"/>
  </si>
  <si>
    <t>LXPFA_FP_003_014
LXPFA_FP_003_015
LXPFA_FP_003_016
LXPFA_FP_003_017
LXPFA_FP_003_018</t>
    <phoneticPr fontId="15" type="noConversion"/>
  </si>
  <si>
    <t xml:space="preserve">- 통합운영관리 포털을 통해 VM생성 시 VM 자원활용 모니터링을 위한 스크립트 자동 실행 기능 구현
</t>
    <phoneticPr fontId="0" type="noConversion"/>
  </si>
  <si>
    <t>LXPFA_FP_003_019
LXPFA_FP_003_020
LXPFA_FP_003_021
LXPFA_FP_003_022
LXPFA_FP_003_023
LXPFA_FP_003_024
LXPFA_FP_003_025
LXPFA_FP_003_026
LXPFA_FP_003_027
LXPFA_FP_003_028
LXPFA_FP_003_029
LXPFA_FP_003_030
LXPFA_FP_003_031
LXPFA_FP_003_032
LXPFA_FP_003_033</t>
    <phoneticPr fontId="15" type="noConversion"/>
  </si>
  <si>
    <t xml:space="preserve"> - 인프라 권한 사용자 접속 시 해당 지자체별 인프라 사용현황 모니터링 페이지 표시</t>
    <phoneticPr fontId="15" type="noConversion"/>
  </si>
  <si>
    <t>(SFR-003)PaaS 형상관리
- 컨테이너 관리 기능
- PaaS 시크릿 관리 기능
- PaaS 컨피그맵 관리 기능
- PaaS 빌드컨피그 관리 기능
-PaaS 커스텀 리소스 관리 기능
-PaaS 디플로이먼트 설정 관리 기능
-PaaS 크론잡 관리 기능
-PaaS 잡 관리 기능
-PaaS 인그레스 관리 기능</t>
    <phoneticPr fontId="15" type="noConversion"/>
  </si>
  <si>
    <t>LXPFA_FP_003_034, LXPFA_FP_003_035
LXPFA_FP_003_036, LXPFA_FP_003_037
LXPFA_FP_003_038, LXPFA_FP_003_039
LXPFA_FP_003_040, LXPFA_FP_003_041
LXPFA_FP_003_042, LXPFA_FP_003_043
LXPFA_FP_003_044, LXPFA_FP_003_045
LXPFA_FP_003_046, LXPFA_FP_003_047
LXPFA_FP_003_048, LXPFA_FP_003_049
LXPFA_FP_003_050, LXPFA_FP_003_051
LXPFA_FP_003_052, LXPFA_FP_003_053
LXPFA_FP_003_085, LXPFA_FP_003_086
LXPFA_FP_003_087, LXPFA_FP_003_088
LXPFA_FP_003_089, LXPFA_FP_003_090
LXPFA_FP_003_091, LXPFA_FP_003_092
LXPFA_FP_003_093, LXPFA_FP_003_094
LXPFA_FP_003_095, LXPFA_FP_003_096
LXPFA_FP_003_097, LXPFA_FP_003_098
LXPFA_FP_003_099, LXPFA_FP_003_100</t>
    <phoneticPr fontId="15" type="noConversion"/>
  </si>
  <si>
    <t>- 데이터 증가에 대비한 PaaS 스케일 아웃 설정 관리
 - PaaS 기능 활용을 위한 다양한 관리 기능 구현</t>
    <phoneticPr fontId="0" type="noConversion"/>
  </si>
  <si>
    <t>(SFR-003) 프레임워크 및 라이브러리 설정
- VM 및 컨테이너 라이브러리 등록/관리 기능</t>
    <phoneticPr fontId="15" type="noConversion"/>
  </si>
  <si>
    <t>LXPFA_FP_003_059
LXPFA_FP_003_060
LXPFA_FP_003_061
LXPFA_FP_003_062</t>
    <phoneticPr fontId="15" type="noConversion"/>
  </si>
  <si>
    <t>- VM 및 Container 생성시 필요 프레임 워크 혹은 라이브러리 제공
- 지자체 프로젝트 내 VM 생성 관리 기능 구현</t>
    <phoneticPr fontId="0" type="noConversion"/>
  </si>
  <si>
    <t>LXPFA_FP_003_063
LXPFA_FP_003_064
LXPFA_FP_003_065
LXPFA_FP_003_066</t>
    <phoneticPr fontId="15" type="noConversion"/>
  </si>
  <si>
    <t>LXPFA_FP_003_067
LXPFA_FP_003_068
LXPFA_FP_003_069
LXPFA_FP_003_070
LXPFA_FP_003_071</t>
    <phoneticPr fontId="15" type="noConversion"/>
  </si>
  <si>
    <t>- 스토리지 볼륨 관리 기능 구현</t>
    <phoneticPr fontId="0" type="noConversion"/>
  </si>
  <si>
    <t>필요한 절차에 따른 스크립트 및 설정 자동화
- VM 및 이미지
- DBMS 스키마 생성
- API 키 연동
- 기타 사항 등</t>
    <phoneticPr fontId="15" type="noConversion"/>
  </si>
  <si>
    <t>LXPFA_FP_003_072
LXPFA_FP_003_073
LXPFA_FP_003_074
LXPFA_FP_003_075
LXPFA_FP_003_076
LXPFA_FP_003_077</t>
    <phoneticPr fontId="15" type="noConversion"/>
  </si>
  <si>
    <t>- 사용자 맞춤 포털 생성 시 생성되는 VM, 연동되는 DBMS(스키마 생성포함), API 제공을 위한 키 연동 등의 과정의 자동화 구현</t>
    <phoneticPr fontId="0" type="noConversion"/>
  </si>
  <si>
    <t>(SFR-003) DBMS 인프라 운영관리
- DB모니터링 및 알람 관리</t>
    <phoneticPr fontId="15" type="noConversion"/>
  </si>
  <si>
    <t>LXPFA_FP_003_078
LXPFA_FP_003_079
LXPFA_FP_003_080
LXPFA_FP_003_081
LXPFA_FP_003_082
LXPFA_FP_003_083
LXPFA_FP_003_084</t>
    <phoneticPr fontId="15" type="noConversion"/>
  </si>
  <si>
    <t xml:space="preserve">- DBMS 모니터링 페이지 및 알람 설정 기능 구현
</t>
    <phoneticPr fontId="0" type="noConversion"/>
  </si>
  <si>
    <r>
      <t xml:space="preserve">LXPFA_FP_013_001
LXPFA_FP_013_002
LXPFA_FP_013_003
LXPFA_FP_013_004
</t>
    </r>
    <r>
      <rPr>
        <sz val="11"/>
        <color rgb="FFFF0000"/>
        <rFont val="맑은 고딕"/>
        <family val="3"/>
        <charset val="129"/>
      </rPr>
      <t>LXPFA_FP_013_004_001
LXPFA_FP_013_004_002
LXPFA_FP_013_004_003
LXPFA_FP_013_004_004
LXPFA_FP_013_004_005
LXPFA_FP_013_004_006
LXPFA_FP_013_004_007
LXPFA_FP_013_004_008
LXPFA_FP_013_004_009
LXPFA_FP_013_004_010
LXPFA_FP_013_004_011
LXPFA_FP_013_004_012
LXPFA_FP_013_004_013
LXPFA_FP_013_004_014
LXPFA_FP_013_004_015
LXPFA_FP_013_004_017
LXPFA_FP_013_004_018</t>
    </r>
    <phoneticPr fontId="15" type="noConversion"/>
  </si>
  <si>
    <r>
      <t xml:space="preserve">LXPFA_FP_013_001
LXPFA_FP_013_002
LXPFA_FP_013_003
LXPFA_FP_013_004
</t>
    </r>
    <r>
      <rPr>
        <sz val="11"/>
        <color rgb="FFFF0000"/>
        <rFont val="맑은 고딕"/>
        <family val="3"/>
        <charset val="129"/>
      </rPr>
      <t>LXPFA_FP_013_004_019
LXPFA_FP_013_004_020</t>
    </r>
    <phoneticPr fontId="15" type="noConversion"/>
  </si>
  <si>
    <r>
      <t xml:space="preserve">LXPFA_FP_013_025
LXPFA_FP_013_026
LXPFA_FP_013_027
LXPFA_FP_013_028
LXPFA_FP_013_029
LXPFA_FP_013_030
</t>
    </r>
    <r>
      <rPr>
        <sz val="11"/>
        <color rgb="FFFF0000"/>
        <rFont val="맑은 고딕"/>
        <family val="3"/>
        <charset val="129"/>
      </rPr>
      <t>LXPFA_FP_013_030_001
LXPFA_FP_013_030_002
LXPFA_FP_013_030_003
LXPFA_FP_013_030_004
LXPFA_FP_013_030_005
LXPFA_FP_013_030_006
LXPFA_FP_013_030_007
LXPFA_FP_013_030_008
LXPFA_FP_013_030_009
LXPFA_FP_013_030_010
LXPFA_FP_013_030_011
LXPFA_FP_013_030_012
LXPFA_FP_013_030_013
LXPFA_FP_013_030_014
LXPFA_FP_013_030_015
LXPFA_FP_013_030_016</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</si>
  <si>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LXPFA_FP_014_005_001
LXPFA_FP_014_005_002
LXPFA_FP_014_005_003</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</si>
  <si>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LXPFA_FP_014_005_004</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</si>
  <si>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LXPFA_FP_014_005_005</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</si>
  <si>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LXPFA_FP_014_005_006</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</si>
  <si>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 xml:space="preserve">LXPFA_FP_014_005_007
LXPFA_FP_014_005_008
</t>
    </r>
    <phoneticPr fontId="15" type="noConversion"/>
  </si>
  <si>
    <r>
      <t xml:space="preserve">LXPFA_FP_014_001
LXPFA_FP_014_002
LXPFA_FP_014_003
LXPFA_FP_014_004
LXPFA_FP_014_005
</t>
    </r>
    <r>
      <rPr>
        <sz val="11"/>
        <color rgb="FFFF0000"/>
        <rFont val="맑은 고딕"/>
        <family val="3"/>
        <charset val="129"/>
      </rPr>
      <t>LXPFA_FP_014_005_009</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</si>
  <si>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LXPFA_FP_014_005_010</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</si>
  <si>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LXPFA_FP_014_005_011</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</si>
  <si>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LXPFA_FP_014_005_012</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</si>
  <si>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LXPFA_FP_014_005_013</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</si>
  <si>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LXPFA_FP_014_005_014</t>
    </r>
    <r>
      <rPr>
        <sz val="11"/>
        <color theme="1"/>
        <rFont val="맑은 고딕"/>
        <family val="3"/>
        <charset val="129"/>
      </rPr>
      <t xml:space="preserve">
</t>
    </r>
    <phoneticPr fontId="15" type="noConversion"/>
  </si>
  <si>
    <r>
      <t xml:space="preserve">LXPFA_FP_014_001
LXPFA_FP_014_002
LXPFA_FP_014_003
LXPFA_FP_014_004
LXPFA_FP_014_005
</t>
    </r>
    <r>
      <rPr>
        <sz val="11"/>
        <color rgb="FFFF0000"/>
        <rFont val="맑은 고딕"/>
        <family val="3"/>
        <charset val="129"/>
      </rPr>
      <t xml:space="preserve">LXPFA_FP_014_005_015
LXPFA_FP_014_005_016
LXPFA_FP_014_005_017
</t>
    </r>
    <phoneticPr fontId="15" type="noConversion"/>
  </si>
  <si>
    <r>
      <t xml:space="preserve">LXPFA_FP_014_001
LXPFA_FP_014_002
LXPFA_FP_014_003
LXPFA_FP_014_004
LXPFA_FP_014_005
</t>
    </r>
    <r>
      <rPr>
        <sz val="11"/>
        <color rgb="FFFF0000"/>
        <rFont val="맑은 고딕"/>
        <family val="3"/>
        <charset val="129"/>
      </rPr>
      <t>LXPFA_FP_014_005_018
LXPFA_FP_014_005_019
LXPFA_FP_014_005_020
LXPFA_FP_014_005_021
LXPFA_FP_014_005_022</t>
    </r>
    <r>
      <rPr>
        <sz val="11"/>
        <color theme="1"/>
        <rFont val="맑은 고딕"/>
        <family val="3"/>
        <charset val="129"/>
      </rPr>
      <t xml:space="preserve">
</t>
    </r>
    <phoneticPr fontId="15" type="noConversion"/>
  </si>
  <si>
    <r>
      <t xml:space="preserve">LXPFA_FP_014_001
LXPFA_FP_014_002
LXPFA_FP_014_003
LXPFA_FP_014_004
LXPFA_FP_014_005
LXPFA_FP_014_011
</t>
    </r>
    <r>
      <rPr>
        <sz val="11"/>
        <color rgb="FFFF0000"/>
        <rFont val="맑은 고딕"/>
        <family val="3"/>
        <charset val="129"/>
      </rPr>
      <t>LXPFA_FP_014_011_001</t>
    </r>
    <r>
      <rPr>
        <sz val="11"/>
        <color theme="1"/>
        <rFont val="맑은 고딕"/>
        <family val="3"/>
        <charset val="129"/>
      </rPr>
      <t xml:space="preserve">
</t>
    </r>
    <phoneticPr fontId="15" type="noConversion"/>
  </si>
  <si>
    <r>
      <t xml:space="preserve">LXPFA_FP_015_001
LXPFA_FP_015_002
LXPFA_FP_015_004
</t>
    </r>
    <r>
      <rPr>
        <sz val="11"/>
        <color rgb="FFFF0000"/>
        <rFont val="맑은 고딕"/>
        <family val="3"/>
        <charset val="129"/>
      </rPr>
      <t>LXPFA_FP_015_004_001</t>
    </r>
    <phoneticPr fontId="15" type="noConversion"/>
  </si>
  <si>
    <r>
      <t xml:space="preserve">LXPFA_FP_015_005
LXPFA_FP_015_006
LXPFA_FP_015_007
LXPFA_FP_015_008
LXPFA_FP_015_009
LXPFA_FP_015_010
LXPFA_FP_015_011
LXPFA_FP_015_012
LXPFA_FP_015_013
LXPFA_FP_015_014
LXPFA_FP_015_015
LXPFA_FP_015_016
</t>
    </r>
    <r>
      <rPr>
        <sz val="11"/>
        <color rgb="FFFF0000"/>
        <rFont val="맑은 고딕"/>
        <family val="3"/>
        <charset val="129"/>
      </rPr>
      <t xml:space="preserve">LXPFA_FP_015_016_001
LXPFA_FP_015_016_002
LXPFA_FP_015_016_003
LXPFA_FP_015_016_004
LXPFA_FP_015_016_005
LXPFA_FP_015_016_006
LXPFA_FP_015_016_007
LXPFA_FP_015_016_008
LXPFA_FP_015_016_009
LXPFA_FP_015_016_010
LXPFA_FP_015_016_011
LXPFA_FP_015_016_012
LXPFA_FP_015_016_013
LXPFA_FP_015_016_014
LXPFA_FP_015_016_015
LXPFA_FP_015_016_016
LXPFA_FP_015_016_017
LXPFA_FP_015_016_018
</t>
    </r>
    <phoneticPr fontId="15" type="noConversion"/>
  </si>
  <si>
    <t>2023.05.15</t>
    <phoneticPr fontId="15" type="noConversion"/>
  </si>
  <si>
    <t>- 사진 목록 조회
- 동영상 목록 조회
- 첨부파일 목록 조회
- 업로드 삭제
- 파일 관리
- 이미지 뷰어
- 파일 다운로드</t>
    <phoneticPr fontId="15" type="noConversion"/>
  </si>
  <si>
    <t>- 폴더 생성, 수정, 삭제 기능 
(감리 지적 사항 반영하여 요구사항 설명 변경, SFR-015 내 중복된 요구사항 정리)</t>
    <phoneticPr fontId="15" type="noConversion"/>
  </si>
  <si>
    <r>
      <t xml:space="preserve">LXPFA_FP_015_041
LXPFA_FP_015_042
LXPFA_FP_015_043
LXPFA_FP_015_044
LXPFA_FP_015_048
</t>
    </r>
    <r>
      <rPr>
        <sz val="11"/>
        <color rgb="FFFF0000"/>
        <rFont val="맑은 고딕"/>
        <family val="3"/>
        <charset val="129"/>
      </rPr>
      <t>LXPFA_FP_015_049_001</t>
    </r>
    <phoneticPr fontId="15" type="noConversion"/>
  </si>
  <si>
    <t>- 목록 조회
- 업로드
- 파일관리
-이미지 뷰어
- 파일 다운로드</t>
    <phoneticPr fontId="15" type="noConversion"/>
  </si>
  <si>
    <t>- 목록 조회
- 업로드
- 삭제
- 파일 다운로드                                                                                                                                                                                                                                                               (감리 지적 사항 반영하여 요구사항 설명 변경, SFR-015 내 중복된 요구사항 정리)</t>
    <phoneticPr fontId="15" type="noConversion"/>
  </si>
  <si>
    <r>
      <t xml:space="preserve">LXPFA_FP_015_049
</t>
    </r>
    <r>
      <rPr>
        <sz val="11"/>
        <color rgb="FFFF0000"/>
        <rFont val="맑은 고딕"/>
        <family val="3"/>
        <charset val="129"/>
      </rPr>
      <t>LXPFA_FP_015_049_002</t>
    </r>
    <phoneticPr fontId="15" type="noConversion"/>
  </si>
  <si>
    <t>LXPFA_FP_015_054_001</t>
    <phoneticPr fontId="15" type="noConversion"/>
  </si>
  <si>
    <t>LXPFA_FP_015_055
LXPFA_FP_015_056
LXPFA_FP_015_057
LXPFA_FP_015_058
LXPFA_FP_015_059
LXPFA_FP_015_060
LXPFA_FP_015_061
LXPFA_FP_015_062
LXPFA_FP_015_063</t>
    <phoneticPr fontId="15" type="noConversion"/>
  </si>
  <si>
    <r>
      <t xml:space="preserve">LXPFA_FP_015_064
LXPFA_FP_015_065
LXPFA_FP_015_066
LXPFA_FP_015_067
LXPFA_FP_015_068
LXPFA_FP_015_069
LXPFA_FP_015_070
</t>
    </r>
    <r>
      <rPr>
        <sz val="11"/>
        <color rgb="FFFF0000"/>
        <rFont val="맑은 고딕"/>
        <family val="3"/>
        <charset val="129"/>
      </rPr>
      <t>LXPFA_FP_015_070_001</t>
    </r>
    <phoneticPr fontId="15" type="noConversion"/>
  </si>
  <si>
    <r>
      <rPr>
        <sz val="11"/>
        <color theme="1"/>
        <rFont val="맑은 고딕"/>
        <family val="3"/>
        <charset val="129"/>
      </rPr>
      <t xml:space="preserve">LXPFA_FP_015_073
LXPFA_FP_015_074
LXPFA_FP_015_075
LXPFA_FP_015_076
LXPFA_FP_015_077
LXPFA_FP_015_078
</t>
    </r>
    <r>
      <rPr>
        <sz val="11"/>
        <color rgb="FFFF0000"/>
        <rFont val="맑은 고딕"/>
        <family val="3"/>
        <charset val="129"/>
      </rPr>
      <t>LXPFA_FP_015_078_001
LXPFA_FP_015_078_002</t>
    </r>
    <phoneticPr fontId="15" type="noConversion"/>
  </si>
  <si>
    <r>
      <t xml:space="preserve">LXPFA_FP_015_071
LXPFA_FP_015_072
</t>
    </r>
    <r>
      <rPr>
        <sz val="11"/>
        <color rgb="FFFF0000"/>
        <rFont val="맑은 고딕"/>
        <family val="3"/>
        <charset val="129"/>
      </rPr>
      <t>LXPFA_FP_015_072_001
LXPFA_FP_015_072_002
LXPFA_FP_015_072_003</t>
    </r>
    <phoneticPr fontId="15" type="noConversion"/>
  </si>
  <si>
    <t>LXPFA_FP_015_072_004
LXPFA_FP_015_072_005
LXPFA_FP_015_072_006
LXPFA_FP_015_072_007
LXPFA_FP_015_072_008</t>
    <phoneticPr fontId="15" type="noConversion"/>
  </si>
  <si>
    <t>LXPFA_FP_015_072_009
LXPFA_FP_015_072_010
LXPFA_FP_015_072_011</t>
    <phoneticPr fontId="15" type="noConversion"/>
  </si>
  <si>
    <t>LXPFA_FP_016_001
LXPFA_FP_016_002
LXPFA_FP_016_003
LXPFA_FP_016_010_001</t>
    <phoneticPr fontId="15" type="noConversion"/>
  </si>
  <si>
    <t>LXPFA_FP_016_001
LXPFA_FP_016_002
LXPFA_FP_016_003
LXPFA_FP_016_005
LXPFA_FP_016_006
LXPFA_FP_016_007
LXPFA_FP_016_008
LXPFA_FP_016_010</t>
    <phoneticPr fontId="15" type="noConversion"/>
  </si>
  <si>
    <t>LXPFA_FP_016_001
LXPFA_FP_016_002
LXPFA_FP_016_003
LXPFA_FP_016_008_001
LXPFA_FP_016_008_002
LXPFA_FP_016_008_003
LXPFA_FP_016_008_004
LXPFA_FP_016_008_005
LXPFA_FP_016_008_006
LXPFA_FP_016_008_007
LXPFA_FP_016_008_008
LXPFA_FP_016_008_009
LXPFA_FP_016_008_010</t>
    <phoneticPr fontId="15" type="noConversion"/>
  </si>
  <si>
    <t>LXPFA_FP_016_001
LXPFA_FP_016_002
LXPFA_FP_016_003
LXPFA_FP_016_008_011
LXPFA_FP_016_008_012
LXPFA_FP_016_008_013
LXPFA_FP_016_008_014
LXPFA_FP_016_008_015
LXPFA_FP_016_008_016
LXPFA_FP_016_008_017
LXPFA_FP_016_008_018
LXPFA_FP_016_008_019
LXPFA_FP_016_008_020
LXPFA_FP_016_008_021
LXPFA_FP_016_008_022
LXPFA_FP_016_008_023
LXPFA_FP_016_008_024
LXPFA_FP_016_008_025</t>
    <phoneticPr fontId="15" type="noConversion"/>
  </si>
  <si>
    <t>LXPFA_FP_016_001
LXPFA_FP_016_002
LXPFA_FP_016_003
LXPFA_FP_016_008_026</t>
    <phoneticPr fontId="15" type="noConversion"/>
  </si>
  <si>
    <t>LXPFA_FP_017_001
LXPFA_FP_017_002
LXPFA_FP_017_003
LXPFA_FP_017_004
LXPFA_FP_017_005
LXPFA_FP_017_006
LXPFA_FP_017_007
LXPFA_FP_017_015</t>
    <phoneticPr fontId="15" type="noConversion"/>
  </si>
  <si>
    <t>LXPFA_FP_017_011
LXPFA_FP_017_012
LXPFA_FP_017_013
LXPFA_FP_017_014
LXPFA_FP_017_016
LXPFA_FP_017_017
LXPFA_FP_017_018
LXPFA_FP_017_019
LXPFA_FP_017_020
LXPFA_FP_017_021
LXPFA_FP_017_029
LXPFA_FP_017_030
LXPFA_FP_017_031
LXPFA_FP_017_032</t>
    <phoneticPr fontId="15" type="noConversion"/>
  </si>
  <si>
    <t>LXPFA_FP_017_022
LXPFA_FP_017_023
LXPFA_FP_017_025</t>
    <phoneticPr fontId="15" type="noConversion"/>
  </si>
  <si>
    <t>LXPFA_FP_017_026</t>
    <phoneticPr fontId="15" type="noConversion"/>
  </si>
  <si>
    <t>LXPFA_FP_017_008
LXPFA_FP_017_009
LXPFA_FP_017_010</t>
    <phoneticPr fontId="15" type="noConversion"/>
  </si>
  <si>
    <t>LXPFA_FP_017_033
LXPFA_FP_017_034
LXPFA_FP_017_035
LXPFA_FP_017_036
LXPFA_FP_017_037</t>
    <phoneticPr fontId="15" type="noConversion"/>
  </si>
  <si>
    <t>LXPFA_FP_018_014_001
LXPFA_FP_018_015
LXPFA_FP_018_016
LXPFA_FP_018_017
LXPFA_FP_018_017_001</t>
    <phoneticPr fontId="15" type="noConversion"/>
  </si>
  <si>
    <t>LXPFA_FP_023_042_001</t>
    <phoneticPr fontId="15" type="noConversion"/>
  </si>
  <si>
    <r>
      <t xml:space="preserve">LXPFA_FP_024_001
LXPFA_FP_024_002
LXPFA_FP_024_003
</t>
    </r>
    <r>
      <rPr>
        <sz val="11"/>
        <color rgb="FFFF0000"/>
        <rFont val="맑은 고딕"/>
        <family val="3"/>
        <charset val="129"/>
      </rPr>
      <t>LXPFA_FP_024_003_001</t>
    </r>
    <phoneticPr fontId="15" type="noConversion"/>
  </si>
  <si>
    <t>LXPFA_FP_024_014_001
LXPFA_FP_024_014_002
LXPFA_FP_024_014_003
LXPFA_FP_024_014_004
LXPFA_FP_024_014_005
LXPFA_FP_024_014_006
LXPFA_FP_024_014_007
LXPFA_FP_024_014_008
LXPFA_FP_024_014_009
LXPFA_FP_024_014_010
LXPFA_FP_024_014_011
LXPFA_FP_024_014_012</t>
    <phoneticPr fontId="15" type="noConversion"/>
  </si>
  <si>
    <t>LXPFA_FP_024_014_013</t>
    <phoneticPr fontId="15" type="noConversion"/>
  </si>
  <si>
    <r>
      <t xml:space="preserve">LXPFA_FP_024_015
LXPFA_FP_024_016
LXPFA_FP_024_017
LXPFA_FP_024_018
LXPFA_FP_024_019
LXPFA_FP_024_020
LXPFA_FP_024_021
LXPFA_FP_024_022
LXPFA_FP_024_023
LXPFA_FP_024_024
LXPFA_FP_024_025
LXPFA_FP_024_026
LXPFA_FP_024_027
LXPFA_FP_024_028
LXPFA_FP_024_029
LXPFA_FP_024_030
LXPFA_FP_024_031
LXPFA_FP_024_032
</t>
    </r>
    <r>
      <rPr>
        <sz val="11"/>
        <color rgb="FFFF0000"/>
        <rFont val="맑은 고딕"/>
        <family val="3"/>
        <charset val="129"/>
      </rPr>
      <t>LXPFA_FP_024_032_001</t>
    </r>
    <phoneticPr fontId="15" type="noConversion"/>
  </si>
  <si>
    <t>LXPFA_FP_024_032_002
LXPFA_FP_024_032_003
LXPFA_FP_024_032_004
LXPFA_FP_024_032_005
LXPFA_FP_024_032_006
LXPFA_FP_024_032_007
LXPFA_FP_024_032_008
LXPFA_FP_024_032_009
LXPFA_FP_024_032_010
LXPFA_FP_024_032_011
LXPFA_FP_024_032_012
LXPFA_FP_024_032_013
LXPFA_FP_024_032_014
LXPFA_FP_024_032_015
LXPFA_FP_024_032_016
LXPFA_FP_024_032_017
LXPFA_FP_024_032_018
LXPFA_FP_024_032_019</t>
    <phoneticPr fontId="15" type="noConversion"/>
  </si>
  <si>
    <r>
      <t xml:space="preserve">LXPFA_FP_024_033
LXPFA_FP_024_034
LXPFA_FP_024_035
LXPFA_FP_024_036
LXPFA_FP_024_037
LXPFA_FP_024_038
</t>
    </r>
    <r>
      <rPr>
        <sz val="11"/>
        <color rgb="FFFF0000"/>
        <rFont val="맑은 고딕"/>
        <family val="3"/>
        <charset val="129"/>
      </rPr>
      <t>LXPFA_FP_024_038_001</t>
    </r>
    <phoneticPr fontId="15" type="noConversion"/>
  </si>
  <si>
    <r>
      <t xml:space="preserve">LXPFA_FP_024_039
</t>
    </r>
    <r>
      <rPr>
        <sz val="11"/>
        <color rgb="FFFF0000"/>
        <rFont val="맑은 고딕"/>
        <family val="3"/>
        <charset val="129"/>
      </rPr>
      <t>LXPFA_FP_024_039_001
LXPFA_FP_024_039_002
LXPFA_FP_024_039_003
LXPFA_FP_024_039_004
LXPFA_FP_024_039_005
LXPFA_FP_024_039_006
LXPFA_FP_024_039_007</t>
    </r>
    <phoneticPr fontId="15" type="noConversion"/>
  </si>
  <si>
    <r>
      <t xml:space="preserve">LXPFA_FP_024_040
LXPFA_FP_024_041
LXPFA_FP_024_042
</t>
    </r>
    <r>
      <rPr>
        <sz val="10"/>
        <color rgb="FFFF0000"/>
        <rFont val="맑은 고딕"/>
        <family val="3"/>
        <charset val="129"/>
        <scheme val="major"/>
      </rPr>
      <t>LXPFA_FP_024_042_001</t>
    </r>
    <r>
      <rPr>
        <sz val="10"/>
        <rFont val="맑은 고딕"/>
        <family val="3"/>
        <charset val="129"/>
        <scheme val="major"/>
      </rPr>
      <t xml:space="preserve">
</t>
    </r>
    <r>
      <rPr>
        <sz val="10"/>
        <color rgb="FFFF0000"/>
        <rFont val="맑은 고딕"/>
        <family val="3"/>
        <charset val="129"/>
        <scheme val="major"/>
      </rPr>
      <t>LXPFA_FP_024_042_002
LXPFA_FP_024_042_003
LXPFA_FP_024_042_004
LXPFA_FP_024_042_004
LXPFA_FP_024_042_006
LXPFA_FP_024_042_007
LXPFA_FP_024_042_008
LXPFA_FP_024_042_009
LXPFA_FP_024_042_010
LXPFA_FP_024_042_011
LXPFA_FP_024_042_012
LXPFA_FP_024_042_013
LXPFA_FP_024_042_014
LXPFA_FP_024_042_015
LXPFA_FP_024_042_016
LXPFA_FP_024_042_017
LXPFA_FP_024_042_018
LXPFA_FP_024_042_019
LXPFA_FP_024_042_020
LXPFA_FP_024_042_021
LXPFA_FP_024_042_022
LXPFA_FP_024_042_023
LXPFA_FP_024_042_024
LXPFA_FP_024_042_025
LXPFA_FP_024_042_026
LXPFA_FP_024_042_027
LXPFA_FP_024_042_028
LXPFA_FP_024_042_029
LXPFA_FP_024_042_030
LXPFA_FP_024_042_031
LXPFA_FP_024_042_032
LXPFA_FP_024_042_033
LXPFA_FP_024_042_034
LXPFA_FP_024_042_035
LXPFA_FP_024_042_036
LXPFA_FP_024_042_037
LXPFA_FP_024_042_038
LXPFA_FP_024_042_039
LXPFA_FP_024_042_040
LXPFA_FP_024_042_041
LXPFA_FP_024_042_042
LXPFA_FP_024_042_043
LXPFA_FP_024_042_044
LXPFA_FP_024_042_045
LXPFA_FP_024_042_046
LXPFA_FP_024_042_047
LXPFA_FP_024_042_048
LXPFA_FP_024_042_049
LXPFA_FP_024_042_050
LXPFA_FP_024_042_051
LXPFA_FP_024_042_052
LXPFA_FP_024_042_053
LXPFA_FP_024_042_054
LXPFA_FP_024_042_055
LXPFA_FP_024_042_056
LXPFA_FP_024_042_057
LXPFA_FP_024_042_058
LXPFA_FP_024_042_059
LXPFA_FP_024_042_060
LXPFA_FP_024_042_061
LXPFA_FP_024_042_062
LXPFA_FP_024_042_063
LXPFA_FP_024_042_064
LXPFA_FP_024_042_065
LXPFA_FP_024_042_066
LXPFA_FP_024_042_067
LXPFA_FP_024_042_068
LXPFA_FP_024_042_069
LXPFA_FP_024_042_070
LXPFA_FP_024_042_071
LXPFA_FP_024_042_072
LXPFA_FP_024_042_073
LXPFA_FP_024_042_074
LXPFA_FP_024_042_075
LXPFA_FP_024_042_076
LXPFA_FP_024_042_077
LXPFA_FP_024_042_078
LXPFA_FP_024_042_079
LXPFA_FP_024_042_080
LXPFA_FP_024_042_081
LXPFA_FP_024_042_082
LXPFA_FP_024_042_083
LXPFA_FP_024_042_084
LXPFA_FP_024_042_085
LXPFA_FP_024_042_086
LXPFA_FP_024_042_087
LXPFA_FP_024_042_088
LXPFA_FP_024_042_089
LXPFA_FP_024_042_090
LXPFA_FP_024_042_091
LXPFA_FP_024_042_092
LXPFA_FP_024_042_093
LXPFA_FP_024_042_094
LXPFA_FP_024_042_095
LXPFA_FP_024_042_096
LXPFA_FP_024_042_097
LXPFA_FP_024_042_098
LXPFA_FP_024_042_099
LXPFA_FP_024_042_100
LXPFA_FP_024_042_101
LXPFA_FP_024_042_102
LXPFA_FP_024_042_103
LXPFA_FP_024_042_104
LXPFA_FP_024_042_105
LXPFA_FP_024_042_106
LXPFA_FP_024_042_107
LXPFA_FP_024_042_108
LXPFA_FP_024_042_109
LXPFA_FP_024_042_110
LXPFA_FP_024_042_111
LXPFA_FP_024_042_112
LXPFA_FP_024_042_113</t>
    </r>
    <phoneticPr fontId="15" type="noConversion"/>
  </si>
  <si>
    <t>LXPFA_FP_025_001_001
LXPFA_FP_025_001_002
LXPFA_FP_025_001_003
LXPFA_FP_025_001_004
LXPFA_FP_025_001_005
LXPFA_FP_025_001_006
LXPFA_FP_025_001_007
LXPFA_FP_025_001_008
LXPFA_FP_025_001_009
LXPFA_FP_025_002_001
LXPFA_FP_025_002_002
LXPFA_FP_025_002_003
LXPFA_FP_025_003_001
LXPFA_FP_025_004_001
LXPFA_FP_025_004_002
LXPFA_FP_025_004_003
LXPFA_FP_025_004_004
LXPFA_FP_025_004_005
LXPFA_FP_025_005_001
LXPFA_FP_025_005_002
LXPFA_FP_025_005_003
LXPFA_FP_025_005_004
LXPFA_FP_025_006_001
LXPFA_FP_025_007_001
LXPFA_FP_025_008_001
LXPFA_FP_025_008_002
LXPFA_FP_025_008_003
LXPFA_FP_025_008_004
LXPFA_FP_025_008_005
LXPFA_FP_025_008_006
LXPFA_FP_025_008_007
LXPFA_FP_025_009_001
LXPFA_FP_025_010_001
LXPFA_FP_025_010_002
LXPFA_FP_025_010_003
LXPFA_FP_025_010_004
LXPFA_FP_025_010_005
LXPFA_FP_025_010_006
LXPFA_FP_025_010_007
LXPFA_FP_025_010_008
LXPFA_FP_025_010_009
LXPFA_FP_025_010_010
LXPFA_FP_025_010_011
LXPFA_FP_025_011_001
LXPFA_FP_025_011_002
LXPFA_FP_025_011_003
LXPFA_FP_025_011_004
LXPFA_FP_025_012_001
LXPFA_FP_025_012_002
LXPFA_FP_025_012_003
LXPFA_FP_025_012_004
LXPFA_FP_025_012_005
LXPFA_FP_025_012_006
LXPFA_FP_025_012_007
LXPFA_FP_025_012_008
LXPFA_FP_025_013_001
LXPFA_FP_025_013_002
LXPFA_FP_025_013_003
LXPFA_FP_025_013_004
LXPFA_FP_025_013_005
LXPFA_FP_025_013_006
LXPFA_FP_025_014_001
LXPFA_FP_025_014_002
LXPFA_FP_025_014_003
LXPFA_FP_025_014_004
LXPFA_FP_025_014_005
LXPFA_FP_025_014_006
LXPFA_FP_025_014_007
LXPFA_FP_025_014_008
LXPFA_FP_025_014_009
LXPFA_FP_025_014_010
LXPFA_FP_025_014_011
LXPFA_FP_025_015_001
LXPFA_FP_025_015_002
LXPFA_FP_025_015_003
LXPFA_FP_025_015_004
LXPFA_FP_025_015_005
LXPFA_FP_025_015_006
LXPFA_FP_025_015_007
LXPFA_FP_025_015_008
LXPFA_FP_025_015_009
LXPFA_FP_025_015_010
LXPFA_FP_025_015_011
LXPFA_FP_025_015_012
LXPFA_FP_025_015_013
LXPFA_FP_025_016_001
LXPFA_FP_025_016_002
LXPFA_FP_025_016_003
LXPFA_FP_025_016_004
LXPFA_FP_025_017_001
LXPFA_FP_025_017_002
LXPFA_FP_025_017_003
LXPFA_FP_025_017_004
LXPFA_FP_025_017_005
LXPFA_FP_025_017_006
LXPFA_FP_025_018_001
LXPFA_FP_025_018_002
LXPFA_FP_025_018_003
LXPFA_FP_025_018_004
LXPFA_FP_025_018_005
LXPFA_FP_025_018_006
LXPFA_FP_025_018_007
LXPFA_FP_025_019_001
LXPFA_FP_025_019_002
LXPFA_FP_025_019_003
LXPFA_FP_025_019_004
LXPFA_FP_025_019_005
LXPFA_FP_025_019_006
LXPFA_FP_025_019_007
LXPFA_FP_025_019_008
LXPFA_FP_025_019_009
LXPFA_FP_025_019_010
LXPFA_FP_025_020_001
LXPFA_FP_025_020_002
LXPFA_FP_025_020_003
LXPFA_FP_025_020_004
LXPFA_FP_025_020_005
LXPFA_FP_025_020_006
LXPFA_FP_025_020_007
LXPFA_FP_025_020_008
LXPFA_FP_025_020_009
LXPFA_FP_025_020_010
LXPFA_FP_025_020_011
LXPFA_FP_025_020_012
LXPFA_FP_025_020_013
LXPFA_FP_025_020_014
LXPFA_FP_025_020_015
LXPFA_FP_025_020_016
LXPFA_FP_025_020_017
LXPFA_FP_025_020_018
LXPFA_FP_025_020_019
LXPFA_FP_025_020_020
LXPFA_FP_025_020_021</t>
    <phoneticPr fontId="15" type="noConversion"/>
  </si>
  <si>
    <t>LXPFA_FP_027_001
LXPFA_FP_027_002
LXPFA_FP_027_003
LXPFA_FP_027_004
LXPFA_FP_027_005
LXPFA_FP_027_006
LXPFA_FP_027_007
LXPFA_FP_027_008
LXPFA_FP_027_009
LXPFA_FP_027_010
LXPFA_FP_027_011
LXPFA_FP_027_012
LXPFA_FP_027_013
LXPFA_FP_027_014
LXPFA_FP_027_015
LXPFA_FP_027_016
LXPFA_FP_027_017
LXPFA_FP_027_018
LXPFA_FP_027_019
LXPFA_FP_027_020
LXPFA_FP_027_021
LXPFA_FP_027_022
LXPFA_FP_027_023
LXPFA_FP_027_024
LXPFA_FP_027_025
LXPFA_FP_027_026
LXPFA_FP_027_027
LXPFA_FP_027_028
LXPFA_FP_027_029
LXPFA_FP_027_030
LXPFA_FP_027_031
LXPFA_FP_027_032
LXPFA_FP_027_033
LXPFA_FP_027_034
LXPFA_FP_027_035
LXPFA_FP_027_036
LXPFA_FP_027_037
LXPFA_FP_027_038
LXPFA_FP_027_039
LXPFA_FP_027_040
LXPFA_FP_027_041
LXPFA_FP_027_042
LXPFA_FP_027_043
LXPFA_FP_027_044
LXPFA_FP_027_045
LXPFA_FP_027_046
LXPFA_FP_027_047
LXPFA_FP_027_048
LXPFA_FP_027_049
LXPFA_FP_027_050
LXPFA_FP_027_051
LXPFA_FP_027_052
LXPFA_FP_027_053
LXPFA_FP_027_054
LXPFA_FP_027_055
LXPFA_FP_027_056
LXPFA_FP_027_057
LXPFA_FP_027_058
LXPFA_FP_027_059
LXPFA_FP_027_060
LXPFA_FP_027_061
LXPFA_FP_027_062
LXPFA_FP_027_063
LXPFA_FP_027_064
LXPFA_FP_027_065
LXPFA_FP_027_066
LXPFA_FP_027_067
LXPFA_FP_027_068
LXPFA_FP_027_069
LXPFA_FP_027_070
LXPFA_FP_027_071
LXPFA_FP_027_072
LXPFA_FP_027_073
LXPFA_FP_027_074
LXPFA_FP_027_075
LXPFA_FP_027_076
LXPFA_FP_027_077
LXPFA_FP_027_078
LXPFA_FP_027_079
LXPFA_FP_027_080
LXPFA_FP_027_081
LXPFA_FP_027_082
LXPFA_FP_027_083
LXPFA_FP_027_084
LXPFA_FP_027_085
LXPFA_FP_027_086
LXPFA_FP_027_087
LXPFA_FP_027_088
LXPFA_FP_027_089
LXPFA_FP_027_090
LXPFA_FP_027_091
LXPFA_FP_027_092</t>
    <phoneticPr fontId="15" type="noConversion"/>
  </si>
  <si>
    <t>LXPFA_FP_027_093
LXPFA_FP_027_094
LXPFA_FP_027_095
LXPFA_FP_027_096
LXPFA_FP_027_097
LXPFA_FP_027_098
LXPFA_FP_027_099
LXPFA_FP_027_100
LXPFA_FP_027_101
LXPFA_FP_027_102
LXPFA_FP_027_103
LXPFA_FP_027_104
LXPFA_FP_027_105
LXPFA_FP_027_106
LXPFA_FP_027_107
LXPFA_FP_027_108
LXPFA_FP_027_109</t>
    <phoneticPr fontId="15" type="noConversion"/>
  </si>
  <si>
    <t xml:space="preserve">LXPFA_FP_004_013
LXPFA_FP_004_014
LXPFA_FP_004_015
LXPFA_FP_004_016
LXPFA_FP_004_017
LXPFA_FP_004_018
LXPFA_FP_004_019
LXPFA_FP_004_020
LXPFA_FP_004_021
LXPFA_FP_004_059
LXPFA_FP_004_060
LXPFA_FP_004_061
LXPFA_FP_004_062
LXPFA_FP_004_063
LXPFA_FP_004_064
LXPFA_FP_004_065
LXPFA_FP_004_073
LXPFA_FP_004_074
LXPFA_FP_004_075
LXPFA_FP_004_076
LXPFA_FP_004_077
LXPFA_FP_004_078
LXPFA_FP_004_079
LXPFA_FP_004_080
LXPFA_FP_004_081
</t>
    <phoneticPr fontId="0" type="noConversion"/>
  </si>
  <si>
    <t>LXPFA_FP_004_066
LXPFA_FP_004_067
LXPFA_FP_004_068
LXPFA_FP_004_082
LXPFA_FP_004_083
LXPFA_FP_004_084
LXPFA_FP_004_085
LXPFA_FP_004_086
LXPFA_FP_004_087
LXPFA_FP_004_088
LXPFA_FP_004_089
LXPFA_FP_004_090
LXPFA_FP_004_091
LXPFA_FP_004_092
LXPFA_FP_004_093
LXPFA_FP_004_094
LXPFA_FP_004_095
LXPFA_FP_004_096
LXPFA_FP_004_097
LXPFA_FP_004_098</t>
    <phoneticPr fontId="0" type="noConversion"/>
  </si>
  <si>
    <t>LXPFA_FP_004_069
LXPFA_FP_004_099</t>
    <phoneticPr fontId="0" type="noConversion"/>
  </si>
  <si>
    <t>LXPFA_FP_004_043
LXPFA_FP_004_044
LXPFA_FP_004_045
LXPFA_FP_004_046
LXPFA_FP_004_052
LXPFA_FP_004_053
LXPFA_FP_004_054
LXPFA_FP_004_055
LXPFA_FP_004_056
LXPFA_FP_004_057
LXPFA_FP_004_058
LXPFA_FP_004_100
LXPFA_FP_004_101
LXPFA_FP_004_102
LXPFA_FP_004_103
LXPFA_FP_004_104
LXPFA_FP_004_105
LXPFA_FP_004_106
LXPFA_FP_004_107
LXPFA_FP_004_108</t>
    <phoneticPr fontId="0" type="noConversion"/>
  </si>
  <si>
    <t>LXPFA_FP_004_070
LXPFA_FP_004_071
LXPFA_FP_004_072
LXPFA_FP_004_109
LXPFA_FP_004_110
LXPFA_FP_004_111
LXPFA_FP_004_112
LXPFA_FP_004_113
LXPFA_FP_004_114
LXPFA_FP_004_115</t>
    <phoneticPr fontId="0" type="noConversion"/>
  </si>
  <si>
    <t>LXPFA_FP_006_001</t>
    <phoneticPr fontId="15" type="noConversion"/>
  </si>
  <si>
    <t>LXPFA_FP_006_002</t>
    <phoneticPr fontId="15" type="noConversion"/>
  </si>
  <si>
    <t>LXPFA_FP_006_003
LXPFA_FP_006_004</t>
    <phoneticPr fontId="15" type="noConversion"/>
  </si>
  <si>
    <t>LXPFA_FP_006_005
LXPFA_FP_006_006
LXPFA_FP_006_007
LXPFA_FP_006_008</t>
    <phoneticPr fontId="15" type="noConversion"/>
  </si>
  <si>
    <t>LXPFA_FP_006_009
LXPFA_FP_006_010
LXPFA_FP_006_011
LXPFA_FP_006_012</t>
    <phoneticPr fontId="15" type="noConversion"/>
  </si>
  <si>
    <t>LXPFA_FP_006_011
LXPFA_FP_006_012
LXPFA_FP_006_013
LXPFA_FP_006_086</t>
    <phoneticPr fontId="0" type="noConversion"/>
  </si>
  <si>
    <t>LXPFA_FP_006_014
LXPFA_FP_006_015
LXPFA_FP_006_016
LXPFA_FP_006_017
LXPFA_FP_006_087
LXPFA_FP_006_088
LXPFA_FP_006_089</t>
    <phoneticPr fontId="0" type="noConversion"/>
  </si>
  <si>
    <t>LXPFA_FP_006_018
LXPFA_FP_006_019
LXPFA_FP_006_020
LXPFA_FP_006_021
LXPFA_FP_006_022
LXPFA_FP_006_090</t>
    <phoneticPr fontId="0" type="noConversion"/>
  </si>
  <si>
    <t>LXPFA_FP_006_023
LXPFA_FP_006_024
LXPFA_FP_006_025
LXPFA_FP_006_026
LXPFA_FP_006_027
LXPFA_FP_006_028
LXPFA_FP_006_029
LXPFA_FP_006_030
LXPFA_FP_006_031
LXPFA_FP_006_032
LXPFA_FP_006_091
LXPFA_FP_006_092
LXPFA_FP_006_093
LXPFA_FP_006_094
LXPFA_FP_006_095
LXPFA_FP_006_096
LXPFA_FP_006_097
LXPFA_FP_006_098</t>
    <phoneticPr fontId="0" type="noConversion"/>
  </si>
  <si>
    <t>LXPFA_FP_006_033
LXPFA_FP_006_034
LXPFA_FP_006_035
LXPFA_FP_006_036
LXPFA_FP_006_037
LXPFA_FP_006_038
LXPFA_FP_006_039
LXPFA_FP_006_040
LXPFA_FP_006_041
LXPFA_FP_006_042
LXPFA_FP_006_043
LXPFA_FP_006_044
LXPFA_FP_006_045
LXPFA_FP_006_046
LXPFA_FP_006_047
LXPFA_FP_006_048
LXPFA_FP_006_049
LXPFA_FP_006_050
LXPFA_FP_006_051</t>
    <phoneticPr fontId="0" type="noConversion"/>
  </si>
  <si>
    <t>LXPFA_FP_006_052
LXPFA_FP_006_053
LXPFA_FP_006_054
LXPFA_FP_006_055
LXPFA_FP_006_056
LXPFA_FP_006_057
LXPFA_FP_006_058
LXPFA_FP_006_059
LXPFA_FP_006_060
LXPFA_FP_006_061
LXPFA_FP_006_062
LXPFA_FP_006_063
LXPFA_FP_006_064
LXPFA_FP_006_065
LXPFA_FP_006_066
LXPFA_FP_006_067
LXPFA_FP_006_068
LXPFA_FP_006_069
LXPFA_FP_006_070
LXPFA_FP_006_071
LXPFA_FP_006_072
LXPFA_FP_006_073
LXPFA_FP_006_099
LXPFA_FP_006_100
LXPFA_FP_006_101
LXPFA_FP_006_102
LXPFA_FP_006_103</t>
    <phoneticPr fontId="0" type="noConversion"/>
  </si>
  <si>
    <t>LXPFA_FP_006_074
LXPFA_FP_006_075
LXPFA_FP_006_076
LXPFA_FP_006_077
LXPFA_FP_006_078
LXPFA_FP_006_079
LXPFA_FP_006_080
LXPFA_FP_006_081
LXPFA_FP_006_082
LXPFA_FP_006_083
LXPFA_FP_006_104</t>
    <phoneticPr fontId="0" type="noConversion"/>
  </si>
  <si>
    <t>서비스 제작 도구 개발
- 서비스 제작 템플릿 구축</t>
  </si>
  <si>
    <t>요구사항NO</t>
    <phoneticPr fontId="39" type="noConversion"/>
  </si>
  <si>
    <t>요구사항명</t>
    <phoneticPr fontId="39" type="noConversion"/>
  </si>
  <si>
    <t>요구사항-ID</t>
    <phoneticPr fontId="39" type="noConversion"/>
  </si>
  <si>
    <t>요구사항-ID명</t>
    <phoneticPr fontId="39" type="noConversion"/>
  </si>
  <si>
    <t>정의서 확인</t>
    <phoneticPr fontId="39" type="noConversion"/>
  </si>
  <si>
    <t>파트</t>
    <phoneticPr fontId="39" type="noConversion"/>
  </si>
  <si>
    <t>담당사</t>
    <phoneticPr fontId="39" type="noConversion"/>
  </si>
  <si>
    <t>계획FP-ID</t>
    <phoneticPr fontId="39" type="noConversion"/>
  </si>
  <si>
    <t>(계획)애플리케이션명</t>
    <phoneticPr fontId="39" type="noConversion"/>
  </si>
  <si>
    <t>(계획)세부업무명</t>
    <phoneticPr fontId="39" type="noConversion"/>
  </si>
  <si>
    <t>(계획)단위프로세스명</t>
    <phoneticPr fontId="39" type="noConversion"/>
  </si>
  <si>
    <t>(계획)단위프로세스 설명</t>
    <phoneticPr fontId="39" type="noConversion"/>
  </si>
  <si>
    <t>요구사항명(동일)</t>
    <phoneticPr fontId="39" type="noConversion"/>
  </si>
  <si>
    <t>변경FP-ID(안)</t>
    <phoneticPr fontId="39" type="noConversion"/>
  </si>
  <si>
    <t>메뉴ID(임시)</t>
    <phoneticPr fontId="39" type="noConversion"/>
  </si>
  <si>
    <t>애플리케이션명</t>
    <phoneticPr fontId="39" type="noConversion"/>
  </si>
  <si>
    <t>(변경)세부업무명</t>
    <phoneticPr fontId="39" type="noConversion"/>
  </si>
  <si>
    <t>(변경)단위프로세스명</t>
    <phoneticPr fontId="39" type="noConversion"/>
  </si>
  <si>
    <t>(변경)단위프로세스 설명</t>
    <phoneticPr fontId="39" type="noConversion"/>
  </si>
  <si>
    <t>FP유형</t>
    <phoneticPr fontId="39" type="noConversion"/>
  </si>
  <si>
    <t>FP-가중치</t>
    <phoneticPr fontId="39" type="noConversion"/>
  </si>
  <si>
    <t>개발유형</t>
    <phoneticPr fontId="39" type="noConversion"/>
  </si>
  <si>
    <t>FP-변경
(유지/변경/추가/삭제)</t>
    <phoneticPr fontId="39" type="noConversion"/>
  </si>
  <si>
    <t>개발-담당자</t>
    <phoneticPr fontId="39" type="noConversion"/>
  </si>
  <si>
    <t>개발-기간</t>
    <phoneticPr fontId="39" type="noConversion"/>
  </si>
  <si>
    <t>개발-시작일</t>
    <phoneticPr fontId="39" type="noConversion"/>
  </si>
  <si>
    <t>종료예정일</t>
    <phoneticPr fontId="39" type="noConversion"/>
  </si>
  <si>
    <t>진행상태
(완료/진행/지연/미도래)</t>
    <phoneticPr fontId="39" type="noConversion"/>
  </si>
  <si>
    <t>통합 개발환경 구축</t>
  </si>
  <si>
    <t>통합 개발환경 구축
- LX플랫폼 프레임워크 구성 및 고도화</t>
    <phoneticPr fontId="39" type="noConversion"/>
  </si>
  <si>
    <t>기능</t>
    <phoneticPr fontId="39" type="noConversion"/>
  </si>
  <si>
    <t>아키텍처</t>
    <phoneticPr fontId="39" type="noConversion"/>
  </si>
  <si>
    <t>온품</t>
    <phoneticPr fontId="39" type="noConversion"/>
  </si>
  <si>
    <t>API 개발</t>
  </si>
  <si>
    <t>건물 음영분석 API</t>
  </si>
  <si>
    <t>LXPFA-01포탈공통-001</t>
    <phoneticPr fontId="39" type="noConversion"/>
  </si>
  <si>
    <t>포탈공통관리</t>
    <phoneticPr fontId="39" type="noConversion"/>
  </si>
  <si>
    <t>2D관리</t>
  </si>
  <si>
    <t>화면전환</t>
  </si>
  <si>
    <t>변경</t>
    <phoneticPr fontId="39" type="noConversion"/>
  </si>
  <si>
    <t>도시면적 음영분석 API</t>
  </si>
  <si>
    <t>LXPFA-01포탈공통-002</t>
  </si>
  <si>
    <t>3D관리</t>
  </si>
  <si>
    <t xml:space="preserve">도심 바람 분석 API </t>
  </si>
  <si>
    <t>LXPFA-01포탈공통-003</t>
  </si>
  <si>
    <t>데이터관리</t>
  </si>
  <si>
    <t>토곡량 API</t>
  </si>
  <si>
    <t>LXPFA-01포탈공통-004</t>
  </si>
  <si>
    <t>인프라관리</t>
  </si>
  <si>
    <t>경사면 API</t>
  </si>
  <si>
    <t>LXPFA-01포탈공통-005</t>
  </si>
  <si>
    <t>로그인</t>
  </si>
  <si>
    <t>지하 종횡단면 분석 API</t>
  </si>
  <si>
    <t>LXPFA-01포탈공통-006</t>
  </si>
  <si>
    <t>포털메인</t>
  </si>
  <si>
    <t>화면전환</t>
    <phoneticPr fontId="39" type="noConversion"/>
  </si>
  <si>
    <t>스탠다드 버전 등록</t>
  </si>
  <si>
    <t>LXPFA-01포탈공통-167</t>
  </si>
  <si>
    <t>통계관리-통계현황</t>
    <phoneticPr fontId="39" type="noConversion"/>
  </si>
  <si>
    <t>사용자현황 조회</t>
    <phoneticPr fontId="39" type="noConversion"/>
  </si>
  <si>
    <t>1단계 기본기능 확대 버전 등록</t>
  </si>
  <si>
    <t>LXPFA-01포탈공통-168</t>
  </si>
  <si>
    <t>사용자현황 등록</t>
    <phoneticPr fontId="39" type="noConversion"/>
  </si>
  <si>
    <t>2단계 분석 기능 확대 버전 등록</t>
  </si>
  <si>
    <t>LXPFA-01포탈공통-169</t>
  </si>
  <si>
    <t>게시판등록현황 조회</t>
    <phoneticPr fontId="39" type="noConversion"/>
  </si>
  <si>
    <t>3단계 심화 서비스 포함버전 등록</t>
  </si>
  <si>
    <t>LXPFA-01포탈공통-170</t>
  </si>
  <si>
    <t>게시판등록현황 등록</t>
    <phoneticPr fontId="39" type="noConversion"/>
  </si>
  <si>
    <t>4단계 통합 버전 등록</t>
  </si>
  <si>
    <t>LXPFA-01포탈공통-171</t>
  </si>
  <si>
    <t>사용자접속현황 조회</t>
    <phoneticPr fontId="39" type="noConversion"/>
  </si>
  <si>
    <t>버전별 설명자료 조회</t>
  </si>
  <si>
    <t>LXPFA-01포탈공통-172</t>
  </si>
  <si>
    <t>사용자접속현황 등록</t>
    <phoneticPr fontId="39" type="noConversion"/>
  </si>
  <si>
    <t>통합 개발환경 구축_LX플랫폼 개발자 지원 서비스 개발
- 기본기능 개발</t>
  </si>
  <si>
    <t>개발환경 목록 조회</t>
  </si>
  <si>
    <t>LXPFA-01포탈공통-007</t>
  </si>
  <si>
    <t>권한관리-역할관리</t>
    <phoneticPr fontId="39" type="noConversion"/>
  </si>
  <si>
    <t>역할 조회</t>
  </si>
  <si>
    <t>버전별 조회</t>
  </si>
  <si>
    <t>LXPFA-01포탈공통-008</t>
  </si>
  <si>
    <t>역할 등록</t>
  </si>
  <si>
    <t>개발환경 버전 등록</t>
  </si>
  <si>
    <t>LXPFA-01포탈공통-009</t>
  </si>
  <si>
    <t>역할 수정</t>
    <phoneticPr fontId="39" type="noConversion"/>
  </si>
  <si>
    <t>디자인 및 템플릿 조회</t>
  </si>
  <si>
    <t>LXPFA-01포탈공통-010</t>
  </si>
  <si>
    <t>역할복제</t>
  </si>
  <si>
    <t>API 조회</t>
  </si>
  <si>
    <t>LXPFA-01포탈공통-011</t>
  </si>
  <si>
    <t>메뉴관리-메뉴관리</t>
    <phoneticPr fontId="39" type="noConversion"/>
  </si>
  <si>
    <t>메뉴상세</t>
    <phoneticPr fontId="39" type="noConversion"/>
  </si>
  <si>
    <t>인터페이스 조회</t>
  </si>
  <si>
    <t>LXPFA-01포탈공통-012</t>
  </si>
  <si>
    <t>메뉴등록</t>
    <phoneticPr fontId="39" type="noConversion"/>
  </si>
  <si>
    <t>가이드 조회</t>
  </si>
  <si>
    <t>LXPFA-01포탈공통-013</t>
  </si>
  <si>
    <t>메뉴수정</t>
    <phoneticPr fontId="39" type="noConversion"/>
  </si>
  <si>
    <t>범용 데이터 조회</t>
  </si>
  <si>
    <t>LXPFA-01포탈공통-014</t>
  </si>
  <si>
    <t>메뉴삭제</t>
    <phoneticPr fontId="39" type="noConversion"/>
  </si>
  <si>
    <t>개발환경 신청</t>
  </si>
  <si>
    <t>LXPFA-01포탈공통-043</t>
  </si>
  <si>
    <t>신청관리-개발계획신청관리</t>
    <phoneticPr fontId="39" type="noConversion"/>
  </si>
  <si>
    <t>개발계획신청목록</t>
    <phoneticPr fontId="39" type="noConversion"/>
  </si>
  <si>
    <t>개발 소스 등록</t>
  </si>
  <si>
    <t>LXPFA-01포탈공통-015</t>
  </si>
  <si>
    <t>플랫폼API 상세</t>
    <phoneticPr fontId="39" type="noConversion"/>
  </si>
  <si>
    <t>개발 소스 병합 테스트</t>
  </si>
  <si>
    <t>LXPFA-01포탈공통-016</t>
  </si>
  <si>
    <t>플랫폼API 등록</t>
    <phoneticPr fontId="39" type="noConversion"/>
  </si>
  <si>
    <t>오류리스트 목록 제공</t>
  </si>
  <si>
    <t>LXPFA-01포탈공통-017</t>
  </si>
  <si>
    <t>플랫폼API 수정</t>
    <phoneticPr fontId="39" type="noConversion"/>
  </si>
  <si>
    <t>오류 유형별 설명자료 제공</t>
  </si>
  <si>
    <t>LXPFA-01포탈공통-018</t>
  </si>
  <si>
    <t>플랫폼API 삭제</t>
    <phoneticPr fontId="39" type="noConversion"/>
  </si>
  <si>
    <t>오류리스트 다운로드</t>
  </si>
  <si>
    <t>LXPFA-01포탈공통-019</t>
  </si>
  <si>
    <t>메뉴관리-사용자계정관리</t>
    <phoneticPr fontId="39" type="noConversion"/>
  </si>
  <si>
    <t>사용자 조회</t>
  </si>
  <si>
    <t>개발소스 버전별 등록 현황 리스트 제공</t>
  </si>
  <si>
    <t>LXPFA-01포탈공통-020</t>
  </si>
  <si>
    <t>사용자 등록</t>
  </si>
  <si>
    <t>성공결과 제공</t>
  </si>
  <si>
    <t>LXPFA-01포탈공통-021</t>
  </si>
  <si>
    <t xml:space="preserve">최종 등록 확인 정보 제공 </t>
  </si>
  <si>
    <t>LXPFA-01포탈공통-022</t>
  </si>
  <si>
    <t>승인신청서 다운로드</t>
  </si>
  <si>
    <t>LXPFA-01포탈공통-023</t>
  </si>
  <si>
    <t>메뉴관리-신청승인담당자관리</t>
    <phoneticPr fontId="39" type="noConversion"/>
  </si>
  <si>
    <t>신청승인 담당자 조회</t>
    <phoneticPr fontId="39" type="noConversion"/>
  </si>
  <si>
    <t>신청승인 담당자 목록조회</t>
    <phoneticPr fontId="39" type="noConversion"/>
  </si>
  <si>
    <t>승인신청서 작성 및 등록</t>
  </si>
  <si>
    <t>LXPFA-01포탈공통-024</t>
  </si>
  <si>
    <t>신청승인 담당자 등록</t>
    <phoneticPr fontId="39" type="noConversion"/>
  </si>
  <si>
    <t>기 등록 서비스 정보 조회</t>
  </si>
  <si>
    <t>LXPFA-01포탈공통-025</t>
  </si>
  <si>
    <t>신청승인 담당자 수정</t>
    <phoneticPr fontId="39" type="noConversion"/>
  </si>
  <si>
    <t>기등록 서비스 정보 상세보기</t>
  </si>
  <si>
    <t>LXPFA-01포탈공통-026</t>
  </si>
  <si>
    <t>신청승인 담당자 삭제</t>
    <phoneticPr fontId="39" type="noConversion"/>
  </si>
  <si>
    <t>하천모니터링 컴포넌트</t>
  </si>
  <si>
    <t>LXPFA-01포탈공통-173</t>
  </si>
  <si>
    <t>사용자실제접속자현황 조회</t>
    <phoneticPr fontId="39" type="noConversion"/>
  </si>
  <si>
    <t>도로점용 컴포넌트</t>
  </si>
  <si>
    <t>LXPFA-01포탈공통-174</t>
  </si>
  <si>
    <t>사용자실제접속자현황 등록</t>
    <phoneticPr fontId="39" type="noConversion"/>
  </si>
  <si>
    <t>건축인허가 컴포넌트 개발</t>
  </si>
  <si>
    <t>LXPFA-01포탈공통-175</t>
  </si>
  <si>
    <t>데이터셋현황 조회</t>
    <phoneticPr fontId="39" type="noConversion"/>
  </si>
  <si>
    <t>문화재 컴포넌트 개발</t>
  </si>
  <si>
    <t>LXPFA-01포탈공통-176</t>
  </si>
  <si>
    <t>데이터셋현황 등록</t>
    <phoneticPr fontId="39" type="noConversion"/>
  </si>
  <si>
    <t>도시환경</t>
  </si>
  <si>
    <t>LXPFA-01포탈공통-177</t>
  </si>
  <si>
    <t>API활용현황 조회</t>
    <phoneticPr fontId="39" type="noConversion"/>
  </si>
  <si>
    <t>스마트도로</t>
  </si>
  <si>
    <t>LXPFA-01포탈공통-178</t>
  </si>
  <si>
    <t>API활용현황 등록</t>
    <phoneticPr fontId="39" type="noConversion"/>
  </si>
  <si>
    <t>드론</t>
  </si>
  <si>
    <t>LXPFA-01포탈공통-179</t>
  </si>
  <si>
    <t>레이어호출현황 조회</t>
    <phoneticPr fontId="39" type="noConversion"/>
  </si>
  <si>
    <t>재난재해</t>
  </si>
  <si>
    <t>LXPFA-01포탈공통-180</t>
  </si>
  <si>
    <t>레이어호출현황 등록</t>
    <phoneticPr fontId="39" type="noConversion"/>
  </si>
  <si>
    <t>도시분석</t>
  </si>
  <si>
    <t>LXPFA-01포탈공통-181</t>
  </si>
  <si>
    <t>플랫폼별사용현황 조회</t>
    <phoneticPr fontId="39" type="noConversion"/>
  </si>
  <si>
    <t>통합 개발환경 구축_개발자 지원 서비스 관리 기능
- 소스관리기능 개발</t>
  </si>
  <si>
    <t>유형 A</t>
  </si>
  <si>
    <t>LXPFA-01포탈공통-148</t>
  </si>
  <si>
    <t>포탈관리-코드관리</t>
    <phoneticPr fontId="39" type="noConversion"/>
  </si>
  <si>
    <t>대분류코드 조회</t>
    <phoneticPr fontId="39" type="noConversion"/>
  </si>
  <si>
    <t>유형 B</t>
  </si>
  <si>
    <t>LXPFA-01포탈공통-149</t>
  </si>
  <si>
    <t>대분류코드 등록</t>
    <phoneticPr fontId="39" type="noConversion"/>
  </si>
  <si>
    <t>유형 C</t>
  </si>
  <si>
    <t>LXPFA-01포탈공통-150</t>
  </si>
  <si>
    <t>대분류코드 수정</t>
    <phoneticPr fontId="39" type="noConversion"/>
  </si>
  <si>
    <t>유형 D</t>
  </si>
  <si>
    <t>LXPFA-01포탈공통-151</t>
  </si>
  <si>
    <t>대분류코드 삭제</t>
    <phoneticPr fontId="39" type="noConversion"/>
  </si>
  <si>
    <t>서비스 중 단위기능으로 구현가능 대상 1</t>
  </si>
  <si>
    <t>LXPFA-01포탈공통-182</t>
  </si>
  <si>
    <t>플랫폼별사용현황 등록</t>
    <phoneticPr fontId="39" type="noConversion"/>
  </si>
  <si>
    <t>LXPFA-01포탈공통-183</t>
  </si>
  <si>
    <t>테이블현황 조회</t>
    <phoneticPr fontId="39" type="noConversion"/>
  </si>
  <si>
    <t>LXPFA-01포탈공통-184</t>
  </si>
  <si>
    <t>테이블현황 등록</t>
    <phoneticPr fontId="39" type="noConversion"/>
  </si>
  <si>
    <t>LXPFA-01포탈공통-185</t>
  </si>
  <si>
    <t>통계관리-모니터링</t>
    <phoneticPr fontId="39" type="noConversion"/>
  </si>
  <si>
    <t>모니터링 조회</t>
    <phoneticPr fontId="39" type="noConversion"/>
  </si>
  <si>
    <t>LXPFA-01포탈공통-186</t>
  </si>
  <si>
    <t>모니터링 등록</t>
    <phoneticPr fontId="39" type="noConversion"/>
  </si>
  <si>
    <t>종횡단면 분석 템플릿</t>
  </si>
  <si>
    <t>LXPFA-01포탈공통-152</t>
  </si>
  <si>
    <t>중분류코드 조회</t>
    <phoneticPr fontId="39" type="noConversion"/>
  </si>
  <si>
    <t>경사면 분석 템플릿</t>
  </si>
  <si>
    <t>LXPFA-01포탈공통-153</t>
  </si>
  <si>
    <t>중분류코드 등록</t>
    <phoneticPr fontId="39" type="noConversion"/>
  </si>
  <si>
    <t>경사방향 분석 템플릿</t>
  </si>
  <si>
    <t>LXPFA-01포탈공통-154</t>
  </si>
  <si>
    <t>중분류코드 수정</t>
    <phoneticPr fontId="39" type="noConversion"/>
  </si>
  <si>
    <t>토곡량 분석 템플릿</t>
  </si>
  <si>
    <t>LXPFA-01포탈공통-155</t>
  </si>
  <si>
    <t>중분류코드 삭제</t>
    <phoneticPr fontId="39" type="noConversion"/>
  </si>
  <si>
    <t>건물 음영 분석 템플릿</t>
  </si>
  <si>
    <t>LXPFA-01포탈공통-156</t>
  </si>
  <si>
    <t>상세코드 조회</t>
    <phoneticPr fontId="39" type="noConversion"/>
  </si>
  <si>
    <t>도시면적 음영분석 템플릿</t>
  </si>
  <si>
    <t>LXPFA-01포탈공통-157</t>
  </si>
  <si>
    <t>상세코드 등록</t>
    <phoneticPr fontId="39" type="noConversion"/>
  </si>
  <si>
    <t>도시바람분석 템플릿</t>
  </si>
  <si>
    <t>LXPFA-01포탈공통-158</t>
  </si>
  <si>
    <t>상세코드 수정</t>
    <phoneticPr fontId="39" type="noConversion"/>
  </si>
  <si>
    <t>LXPFA_FP_004_059</t>
    <phoneticPr fontId="39" type="noConversion"/>
  </si>
  <si>
    <t>개발자 지원 서비스</t>
  </si>
  <si>
    <t>공지사항</t>
  </si>
  <si>
    <t>LXPFA_FP_004_059</t>
  </si>
  <si>
    <t>LXPFA-01포탈공통-044</t>
  </si>
  <si>
    <t>기능API목록</t>
    <phoneticPr fontId="39" type="noConversion"/>
  </si>
  <si>
    <t>자료실</t>
  </si>
  <si>
    <t>LXPFA-01포탈공통-045</t>
  </si>
  <si>
    <t>기능API상세</t>
    <phoneticPr fontId="39" type="noConversion"/>
  </si>
  <si>
    <t>FAQ</t>
  </si>
  <si>
    <t>LXPFA-01포탈공통-046</t>
  </si>
  <si>
    <t>기능API사용설정</t>
    <phoneticPr fontId="39" type="noConversion"/>
  </si>
  <si>
    <t>LXPFA-01포탈공통-047</t>
  </si>
  <si>
    <t>기능API제한설정</t>
    <phoneticPr fontId="39" type="noConversion"/>
  </si>
  <si>
    <t>질의응답 입력</t>
  </si>
  <si>
    <t>LXPFA-01포탈공통-048</t>
  </si>
  <si>
    <t>기능API사용승인</t>
    <phoneticPr fontId="39" type="noConversion"/>
  </si>
  <si>
    <t>LXPFA-01포탈공통-049</t>
  </si>
  <si>
    <t>기능API사용반려</t>
    <phoneticPr fontId="39" type="noConversion"/>
  </si>
  <si>
    <t>LXPFA-01포탈공통-050</t>
  </si>
  <si>
    <t>데이터API목록</t>
    <phoneticPr fontId="39" type="noConversion"/>
  </si>
  <si>
    <t>통합 개발환경 구축_LX플랫폼 개발자 지원 서비스 개발
- 개발 지원 샘플 및 정보 제공</t>
  </si>
  <si>
    <t>LXPFA-01포탈공통-121</t>
  </si>
  <si>
    <t>포탈관리-게시판관리</t>
    <phoneticPr fontId="39" type="noConversion"/>
  </si>
  <si>
    <t>공지사항 조회</t>
    <phoneticPr fontId="39" type="noConversion"/>
  </si>
  <si>
    <t>위젯 기능</t>
  </si>
  <si>
    <t>위젯(샘플소스 정보, 목록/상세보기, 결과보기 등)</t>
  </si>
  <si>
    <t>LXPFA-01포탈공통-122</t>
  </si>
  <si>
    <t>공지사항 등록</t>
    <phoneticPr fontId="39" type="noConversion"/>
  </si>
  <si>
    <t>지도 Javascript API 정보</t>
  </si>
  <si>
    <t>LXPFA-01포탈공통-123</t>
  </si>
  <si>
    <t>공지사항 수정</t>
    <phoneticPr fontId="39" type="noConversion"/>
  </si>
  <si>
    <t>통합 개발환경 구축_LX플랫폼 개발자 지원 서비스 개발
- 연동기능 개발</t>
  </si>
  <si>
    <t>LXPFA_FP_004_069</t>
    <phoneticPr fontId="39" type="noConversion"/>
  </si>
  <si>
    <t>LXPFA-개발자지원-024</t>
  </si>
  <si>
    <t>개발자지원</t>
    <phoneticPr fontId="39" type="noConversion"/>
  </si>
  <si>
    <t>배포현황-운영배포현황</t>
    <phoneticPr fontId="39" type="noConversion"/>
  </si>
  <si>
    <t>운영배포 조회 (GIT연동)</t>
    <phoneticPr fontId="39" type="noConversion"/>
  </si>
  <si>
    <t>통합 개발환경 구축_개발자 지원 서비스 관리 기능
- 인프라 관리기능 개발</t>
  </si>
  <si>
    <t>사용자 및 스토리지 볼륨 제한</t>
  </si>
  <si>
    <t>사용자 및 스토리지 볼륨 제한 기능 구현</t>
  </si>
  <si>
    <t>LXPFA-01포탈공통-087</t>
  </si>
  <si>
    <t>인프라관리-운영인프라관리</t>
    <phoneticPr fontId="39" type="noConversion"/>
  </si>
  <si>
    <t>운영 인프라 조회</t>
    <phoneticPr fontId="39" type="noConversion"/>
  </si>
  <si>
    <t>LXPFA_FP_004_071</t>
    <phoneticPr fontId="39" type="noConversion"/>
  </si>
  <si>
    <t>인프라 자원</t>
  </si>
  <si>
    <t>LXPFA-01포탈공통-088</t>
  </si>
  <si>
    <t>운영 인프라 등록</t>
    <phoneticPr fontId="39" type="noConversion"/>
  </si>
  <si>
    <t>LXPFA_FP_004_072</t>
    <phoneticPr fontId="39" type="noConversion"/>
  </si>
  <si>
    <t>LXPFA-01포탈공통-089</t>
  </si>
  <si>
    <t>운영 인프라 수정</t>
    <phoneticPr fontId="39" type="noConversion"/>
  </si>
  <si>
    <t>LXPFA_FP_004_073</t>
    <phoneticPr fontId="39" type="noConversion"/>
  </si>
  <si>
    <t>LXPFA-01포탈공통-051</t>
  </si>
  <si>
    <t>데이터API상세</t>
    <phoneticPr fontId="39" type="noConversion"/>
  </si>
  <si>
    <t>추가</t>
    <phoneticPr fontId="39" type="noConversion"/>
  </si>
  <si>
    <t>LXPFA_FP_004_074</t>
  </si>
  <si>
    <t>LXPFA-01포탈공통-052</t>
  </si>
  <si>
    <t>데이터API사용설정</t>
    <phoneticPr fontId="39" type="noConversion"/>
  </si>
  <si>
    <t>LXPFA_FP_004_075</t>
  </si>
  <si>
    <t>LXPFA-01포탈공통-053</t>
  </si>
  <si>
    <t>데이터API제한설정</t>
    <phoneticPr fontId="39" type="noConversion"/>
  </si>
  <si>
    <t>LXPFA_FP_004_076</t>
  </si>
  <si>
    <t>LXPFA-01포탈공통-054</t>
  </si>
  <si>
    <t>데이터API사용승인</t>
    <phoneticPr fontId="39" type="noConversion"/>
  </si>
  <si>
    <t>LXPFA_FP_004_077</t>
  </si>
  <si>
    <t>LXPFA-01포탈공통-055</t>
  </si>
  <si>
    <t>데이터API사용반려</t>
    <phoneticPr fontId="39" type="noConversion"/>
  </si>
  <si>
    <t>LXPFA_FP_004_078</t>
  </si>
  <si>
    <t>LXPFA-01포탈공통-056</t>
  </si>
  <si>
    <t>인프라정보등록</t>
    <phoneticPr fontId="39" type="noConversion"/>
  </si>
  <si>
    <t>LXPFA_FP_004_079</t>
  </si>
  <si>
    <t>LXPFA-01포탈공통-057</t>
  </si>
  <si>
    <t>인프라사용승인</t>
    <phoneticPr fontId="39" type="noConversion"/>
  </si>
  <si>
    <t>LXPFA_FP_004_080</t>
  </si>
  <si>
    <t>LXPFA-01포탈공통-058</t>
  </si>
  <si>
    <t>인프라사용반려</t>
    <phoneticPr fontId="39" type="noConversion"/>
  </si>
  <si>
    <t>LXPFA_FP_004_081</t>
  </si>
  <si>
    <t>LXPFA-01포탈공통-059</t>
  </si>
  <si>
    <t>GIT 연동</t>
    <phoneticPr fontId="39" type="noConversion"/>
  </si>
  <si>
    <t>LXPFA_FP_004_082</t>
    <phoneticPr fontId="39" type="noConversion"/>
  </si>
  <si>
    <t>LXPFA-01포탈공통-124</t>
  </si>
  <si>
    <t>공지사항 삭제</t>
    <phoneticPr fontId="39" type="noConversion"/>
  </si>
  <si>
    <t>LXPFA_FP_004_083</t>
  </si>
  <si>
    <t>LXPFA-01포탈공통-125</t>
  </si>
  <si>
    <t>자료실 조회</t>
    <phoneticPr fontId="39" type="noConversion"/>
  </si>
  <si>
    <t>LXPFA_FP_004_084</t>
  </si>
  <si>
    <t>LXPFA-01포탈공통-126</t>
  </si>
  <si>
    <t>자료실 등록</t>
    <phoneticPr fontId="39" type="noConversion"/>
  </si>
  <si>
    <t>LXPFA_FP_004_085</t>
  </si>
  <si>
    <t>LXPFA-01포탈공통-127</t>
  </si>
  <si>
    <t>자료실 수정</t>
    <phoneticPr fontId="39" type="noConversion"/>
  </si>
  <si>
    <t>LXPFA_FP_004_086</t>
  </si>
  <si>
    <t>LXPFA-01포탈공통-128</t>
  </si>
  <si>
    <t>자료실 삭제</t>
    <phoneticPr fontId="39" type="noConversion"/>
  </si>
  <si>
    <t>LXPFA_FP_004_087</t>
  </si>
  <si>
    <t>LXPFA-01포탈공통-129</t>
  </si>
  <si>
    <t>FAQ 조회</t>
    <phoneticPr fontId="39" type="noConversion"/>
  </si>
  <si>
    <t>LXPFA_FP_004_088</t>
  </si>
  <si>
    <t>LXPFA-01포탈공통-130</t>
  </si>
  <si>
    <t>FAQ 등록</t>
    <phoneticPr fontId="39" type="noConversion"/>
  </si>
  <si>
    <t>LXPFA_FP_004_089</t>
  </si>
  <si>
    <t>LXPFA-01포탈공통-131</t>
  </si>
  <si>
    <t>FAQ 수정</t>
    <phoneticPr fontId="39" type="noConversion"/>
  </si>
  <si>
    <t>LXPFA_FP_004_090</t>
  </si>
  <si>
    <t>LXPFA-01포탈공통-132</t>
  </si>
  <si>
    <t>FAQ 삭제</t>
    <phoneticPr fontId="39" type="noConversion"/>
  </si>
  <si>
    <t>LXPFA_FP_004_091</t>
  </si>
  <si>
    <t>LXPFA-01포탈공통-133</t>
  </si>
  <si>
    <t>사용자문의 조회</t>
    <phoneticPr fontId="39" type="noConversion"/>
  </si>
  <si>
    <t>LXPFA_FP_004_092</t>
  </si>
  <si>
    <t>LXPFA-01포탈공통-134</t>
  </si>
  <si>
    <t>사용자문의 등록</t>
    <phoneticPr fontId="39" type="noConversion"/>
  </si>
  <si>
    <t>LXPFA_FP_004_093</t>
  </si>
  <si>
    <t>LXPFA-01포탈공통-135</t>
  </si>
  <si>
    <t>사용자문의 수정</t>
    <phoneticPr fontId="39" type="noConversion"/>
  </si>
  <si>
    <t>LXPFA_FP_004_094</t>
  </si>
  <si>
    <t>LXPFA-01포탈공통-136</t>
  </si>
  <si>
    <t>사용자문의 삭제</t>
    <phoneticPr fontId="39" type="noConversion"/>
  </si>
  <si>
    <t>LXPFA_FP_004_095</t>
  </si>
  <si>
    <t>LXPFA-01포탈공통-144</t>
  </si>
  <si>
    <t>포탈관리-가이드관리</t>
    <phoneticPr fontId="39" type="noConversion"/>
  </si>
  <si>
    <t>개발가이드 조회</t>
    <phoneticPr fontId="39" type="noConversion"/>
  </si>
  <si>
    <t>LXPFA_FP_004_096</t>
  </si>
  <si>
    <t>LXPFA-01포탈공통-145</t>
  </si>
  <si>
    <t>LXPFA_FP_004_097</t>
  </si>
  <si>
    <t>LXPFA-01포탈공통-146</t>
  </si>
  <si>
    <t>LXPFA_FP_004_098</t>
  </si>
  <si>
    <t>LXPFA-01포탈공통-147</t>
  </si>
  <si>
    <t>LXPFA_FP_004_099</t>
    <phoneticPr fontId="39" type="noConversion"/>
  </si>
  <si>
    <t>LXPFA-개발자지원-023</t>
  </si>
  <si>
    <t>배포현황-개발배포현황</t>
    <phoneticPr fontId="39" type="noConversion"/>
  </si>
  <si>
    <t>개발배포 조회 (GIT연동)</t>
    <phoneticPr fontId="39" type="noConversion"/>
  </si>
  <si>
    <t>LXPFA_FP_004_100</t>
    <phoneticPr fontId="39" type="noConversion"/>
  </si>
  <si>
    <t>LXPFA-01포탈공통-159</t>
  </si>
  <si>
    <t>상세코드 삭제</t>
    <phoneticPr fontId="39" type="noConversion"/>
  </si>
  <si>
    <t>LXPFA_FP_004_101</t>
  </si>
  <si>
    <t>LXPFA-개발자지원-025</t>
  </si>
  <si>
    <t>게시판</t>
    <phoneticPr fontId="39" type="noConversion"/>
  </si>
  <si>
    <t>LXPFA_FP_004_102</t>
  </si>
  <si>
    <t>LXPFA-개발자지원-026</t>
  </si>
  <si>
    <t>LXPFA_FP_004_103</t>
  </si>
  <si>
    <t>LXPFA-개발자지원-027</t>
  </si>
  <si>
    <t>LXPFA_FP_004_104</t>
  </si>
  <si>
    <t>LXPFA-개발자지원-028</t>
  </si>
  <si>
    <t>문의 조회</t>
    <phoneticPr fontId="39" type="noConversion"/>
  </si>
  <si>
    <t>LXPFA_FP_004_105</t>
  </si>
  <si>
    <t>LXPFA-개발자지원-029</t>
  </si>
  <si>
    <t>문의 등록</t>
    <phoneticPr fontId="39" type="noConversion"/>
  </si>
  <si>
    <t>LXPFA_FP_004_106</t>
  </si>
  <si>
    <t>LXPFA-개발자지원-030</t>
  </si>
  <si>
    <t>가이드</t>
    <phoneticPr fontId="39" type="noConversion"/>
  </si>
  <si>
    <t>가이드 조회</t>
    <phoneticPr fontId="39" type="noConversion"/>
  </si>
  <si>
    <t>LXPFA_FP_004_107</t>
  </si>
  <si>
    <t>LXPFA-개발자지원-031</t>
  </si>
  <si>
    <t>LXPFA_FP_004_108</t>
  </si>
  <si>
    <t>LXPFA-개발자지원-032</t>
  </si>
  <si>
    <t>LXPFA_FP_004_109</t>
    <phoneticPr fontId="39" type="noConversion"/>
  </si>
  <si>
    <t>LXPFA-01포탈공통-090</t>
  </si>
  <si>
    <t>운영 인프라 삭제</t>
    <phoneticPr fontId="39" type="noConversion"/>
  </si>
  <si>
    <t>LXPFA_FP_004_110</t>
  </si>
  <si>
    <t>LXPFA-01포탈공통-091</t>
  </si>
  <si>
    <t>인프라관리-지자체인프라관리</t>
    <phoneticPr fontId="39" type="noConversion"/>
  </si>
  <si>
    <t>지자체 인프라 조회</t>
    <phoneticPr fontId="39" type="noConversion"/>
  </si>
  <si>
    <t>LXPFA_FP_004_111</t>
  </si>
  <si>
    <t>LXPFA-01포탈공통-092</t>
  </si>
  <si>
    <t>지자체 인프라 수정</t>
    <phoneticPr fontId="39" type="noConversion"/>
  </si>
  <si>
    <t>LXPFA_FP_004_112</t>
  </si>
  <si>
    <t>LXPFA-01포탈공통-093</t>
  </si>
  <si>
    <t>인프라관리-인프라상품관리</t>
    <phoneticPr fontId="39" type="noConversion"/>
  </si>
  <si>
    <t>인프라 상품 조회</t>
    <phoneticPr fontId="39" type="noConversion"/>
  </si>
  <si>
    <t>LXPFA_FP_004_113</t>
  </si>
  <si>
    <t>LXPFA-01포탈공통-094</t>
  </si>
  <si>
    <t>인프라 상품 등록</t>
    <phoneticPr fontId="39" type="noConversion"/>
  </si>
  <si>
    <t>LXPFA_FP_004_114</t>
  </si>
  <si>
    <t>LXPFA-01포탈공통-095</t>
  </si>
  <si>
    <t>인프라 상품 수정</t>
    <phoneticPr fontId="39" type="noConversion"/>
  </si>
  <si>
    <t>LXPFA_FP_004_115</t>
  </si>
  <si>
    <t>LXPFA-01포탈공통-096</t>
  </si>
  <si>
    <t>인프라 상품 삭제</t>
    <phoneticPr fontId="39" type="noConversion"/>
  </si>
  <si>
    <t>서비스 제작 도구 개발</t>
  </si>
  <si>
    <t>LXPFA_SFR_006_2D_001</t>
    <phoneticPr fontId="39" type="noConversion"/>
  </si>
  <si>
    <t>범용화된 기능, 템플릿 등을 활용한 서비스모델 제작 도구 개발</t>
  </si>
  <si>
    <t>탑재된 모듈단위 기능 조합</t>
  </si>
  <si>
    <t>LXPFA-01포탈공통-109</t>
  </si>
  <si>
    <t>포탈관리-사용자포털메인페이지</t>
    <phoneticPr fontId="39" type="noConversion"/>
  </si>
  <si>
    <t>템플릿선택 조회</t>
    <phoneticPr fontId="39" type="noConversion"/>
  </si>
  <si>
    <t>LXPFA_SFR_006_2D_002</t>
    <phoneticPr fontId="39" type="noConversion"/>
  </si>
  <si>
    <t>배경지도 API</t>
  </si>
  <si>
    <t>LXPFA-01포탈공통-110</t>
  </si>
  <si>
    <t>템플릿선택 등록</t>
    <phoneticPr fontId="39" type="noConversion"/>
  </si>
  <si>
    <t>LXPFA_SFR_006_2D_003</t>
    <phoneticPr fontId="39" type="noConversion"/>
  </si>
  <si>
    <t>정사영상 API</t>
  </si>
  <si>
    <t>LXPFA-01포탈공통-111</t>
  </si>
  <si>
    <t>템플릿선택 수정</t>
    <phoneticPr fontId="39" type="noConversion"/>
  </si>
  <si>
    <t>템플릿 목록 조회</t>
  </si>
  <si>
    <t>LXPFA-01포탈공통-112</t>
  </si>
  <si>
    <t>템플릿선택 삭제</t>
    <phoneticPr fontId="39" type="noConversion"/>
  </si>
  <si>
    <t>LXPFA_SFR_006_2D_004</t>
    <phoneticPr fontId="39" type="noConversion"/>
  </si>
  <si>
    <t>템플릿 목록 추가</t>
  </si>
  <si>
    <t>LXPFA-01포탈공통-113</t>
  </si>
  <si>
    <t>웹 맵로고 설정 조회</t>
    <phoneticPr fontId="39" type="noConversion"/>
  </si>
  <si>
    <t>템플릿 삭제 기능</t>
  </si>
  <si>
    <t>LXPFA-01포탈공통-114</t>
  </si>
  <si>
    <t>웹 맵로고 설정 등록</t>
    <phoneticPr fontId="39" type="noConversion"/>
  </si>
  <si>
    <t>템플릿 명 입력</t>
  </si>
  <si>
    <t>LXPFA-01포탈공통-115</t>
  </si>
  <si>
    <t>웹 맵로고 설정 수정</t>
    <phoneticPr fontId="39" type="noConversion"/>
  </si>
  <si>
    <t>서비스 목록 추가</t>
  </si>
  <si>
    <t>LXPFA-01포탈공통-116</t>
  </si>
  <si>
    <t>웹 맵로고 설정 삭제</t>
    <phoneticPr fontId="39" type="noConversion"/>
  </si>
  <si>
    <t>LXPFA_SFR_006_2D_005</t>
    <phoneticPr fontId="39" type="noConversion"/>
  </si>
  <si>
    <t>서비스 삭제</t>
  </si>
  <si>
    <t>LXPFA-01포탈공통-117</t>
  </si>
  <si>
    <t>탬플릿 샘플 조회</t>
    <phoneticPr fontId="39" type="noConversion"/>
  </si>
  <si>
    <t>서비스 명 입력</t>
  </si>
  <si>
    <t>LXPFA-01포탈공통-118</t>
  </si>
  <si>
    <t>탬플릿 샘플 등록</t>
    <phoneticPr fontId="39" type="noConversion"/>
  </si>
  <si>
    <t>서비스 제작 도구 개발_지도 연관 BI포함  서비스 제작도구 고도화
- 지도연계 기능 개발</t>
  </si>
  <si>
    <t>지도와 연관된 BI를 포함한 서비스 제작도구 고도화</t>
  </si>
  <si>
    <t>2D 지도 제어</t>
  </si>
  <si>
    <t>LXPFA-01포탈공통-097</t>
  </si>
  <si>
    <t>지도관리-베이스맵관리</t>
    <phoneticPr fontId="39" type="noConversion"/>
  </si>
  <si>
    <t>베이스맵 조회</t>
    <phoneticPr fontId="39" type="noConversion"/>
  </si>
  <si>
    <t>검색/선택</t>
  </si>
  <si>
    <t>LXPFA-01포탈공통-098</t>
  </si>
  <si>
    <t>베이스맵 등록</t>
    <phoneticPr fontId="39" type="noConversion"/>
  </si>
  <si>
    <t>차트, 지도 등 시각화</t>
  </si>
  <si>
    <t>LXPFA-01포탈공통-099</t>
  </si>
  <si>
    <t>베이스맵 수정</t>
    <phoneticPr fontId="39" type="noConversion"/>
  </si>
  <si>
    <t>서비스 제작 도구 개발_지도 연관 BI포함  서비스 제작도구 고도화
- 차트, 지도 등 개발 핸들링 기능 개발</t>
  </si>
  <si>
    <t>자료 업로드</t>
  </si>
  <si>
    <t>LXPFA-01포탈공통-137</t>
  </si>
  <si>
    <t>포탈관리-맵갤러리관리</t>
    <phoneticPr fontId="39" type="noConversion"/>
  </si>
  <si>
    <t>맵갤러리 조회</t>
    <phoneticPr fontId="39" type="noConversion"/>
  </si>
  <si>
    <t>각 파트별 검색/선택</t>
  </si>
  <si>
    <t>LXPFA-01포탈공통-138</t>
  </si>
  <si>
    <t>맵갤러리 승인</t>
    <phoneticPr fontId="39" type="noConversion"/>
  </si>
  <si>
    <t>각 파트별 차트, 지도 등 시각화</t>
  </si>
  <si>
    <t>LXPFA-01포탈공통-142</t>
  </si>
  <si>
    <t>맵갤러리 공개</t>
    <phoneticPr fontId="39" type="noConversion"/>
  </si>
  <si>
    <t>각 파트별 자료 업로드</t>
  </si>
  <si>
    <t>LXPFA-01포탈공통-143</t>
  </si>
  <si>
    <t>맵갤러리 비공개</t>
    <phoneticPr fontId="39" type="noConversion"/>
  </si>
  <si>
    <t>서비스 제작 도구 개발_지도 연관 BI포함  서비스 제작도구 고도화
- 데이터베이스 접근 기능 개발</t>
  </si>
  <si>
    <t>권한 설정</t>
  </si>
  <si>
    <t>LXPFA-01포탈공통-071</t>
  </si>
  <si>
    <t>API관리-API현황</t>
    <phoneticPr fontId="39" type="noConversion"/>
  </si>
  <si>
    <t>API목록</t>
    <phoneticPr fontId="39" type="noConversion"/>
  </si>
  <si>
    <t>사용자 권한 정보 조회</t>
  </si>
  <si>
    <t>LXPFA-01포탈공통-072</t>
  </si>
  <si>
    <t>API상세</t>
    <phoneticPr fontId="39" type="noConversion"/>
  </si>
  <si>
    <t>사용자 권한 정보 수정</t>
  </si>
  <si>
    <t>LXPFA-01포탈공통-073</t>
  </si>
  <si>
    <t>API등록</t>
    <phoneticPr fontId="39" type="noConversion"/>
  </si>
  <si>
    <t>저장된 파일 데이터 추가</t>
  </si>
  <si>
    <t>LXPFA-01포탈공통-074</t>
  </si>
  <si>
    <t>API수정</t>
    <phoneticPr fontId="39" type="noConversion"/>
  </si>
  <si>
    <t>BI 정보 조회</t>
  </si>
  <si>
    <t>LXPFA-01포탈공통-075</t>
  </si>
  <si>
    <t>API삭제</t>
    <phoneticPr fontId="39" type="noConversion"/>
  </si>
  <si>
    <t>구축된 서비스 모델의 등록 및 관리 기능 구현(관리자페이지)</t>
  </si>
  <si>
    <t>서비스 등록</t>
  </si>
  <si>
    <t>LXPFA-01포탈공통-105</t>
  </si>
  <si>
    <t>지도관리-영상타일관리체계</t>
    <phoneticPr fontId="39" type="noConversion"/>
  </si>
  <si>
    <t>영상타일관리체계 조회</t>
    <phoneticPr fontId="39" type="noConversion"/>
  </si>
  <si>
    <t>서비스 테스트 화면 조회</t>
  </si>
  <si>
    <t>LXPFA-01포탈공통-106</t>
  </si>
  <si>
    <t>영상타일관리체계 등록</t>
    <phoneticPr fontId="39" type="noConversion"/>
  </si>
  <si>
    <t>서비스 테스트 입력</t>
  </si>
  <si>
    <t>LXPFA-01포탈공통-107</t>
  </si>
  <si>
    <t>영상타일관리체계 수정</t>
    <phoneticPr fontId="39" type="noConversion"/>
  </si>
  <si>
    <t>서비스 승인 기능 구현</t>
  </si>
  <si>
    <t>LXPFA-01포탈공통-108</t>
  </si>
  <si>
    <t>영상타일관리체계 삭제</t>
    <phoneticPr fontId="39" type="noConversion"/>
  </si>
  <si>
    <t>서비스 목록 조회</t>
  </si>
  <si>
    <t>LXPFA-01포탈공통-077</t>
  </si>
  <si>
    <t>API관리-API기능현황</t>
    <phoneticPr fontId="39" type="noConversion"/>
  </si>
  <si>
    <t>API기능목록</t>
    <phoneticPr fontId="39" type="noConversion"/>
  </si>
  <si>
    <t>서비스 목록 수정</t>
  </si>
  <si>
    <t>LXPFA-01포탈공통-078</t>
  </si>
  <si>
    <t>API기능상세</t>
    <phoneticPr fontId="39" type="noConversion"/>
  </si>
  <si>
    <t>서비스 목록 삭제</t>
  </si>
  <si>
    <t>LXPFA-01포탈공통-079</t>
  </si>
  <si>
    <t>API기능등록</t>
    <phoneticPr fontId="39" type="noConversion"/>
  </si>
  <si>
    <t>URL 입력 기능 구현</t>
  </si>
  <si>
    <t>LXPFA-01포탈공통-080</t>
  </si>
  <si>
    <t>API기능수정</t>
    <phoneticPr fontId="39" type="noConversion"/>
  </si>
  <si>
    <t>등록된 서비스 확인 조회</t>
  </si>
  <si>
    <t>LXPFA-01포탈공통-081</t>
  </si>
  <si>
    <t>API기능삭제</t>
    <phoneticPr fontId="39" type="noConversion"/>
  </si>
  <si>
    <t>등록된 서비스 공유 버튼 입력</t>
  </si>
  <si>
    <t>LXPFA-01포탈공통-082</t>
  </si>
  <si>
    <t>API기능사용중지</t>
    <phoneticPr fontId="39" type="noConversion"/>
  </si>
  <si>
    <t>서비스 제작 도구 개발_구축된 서비스 모델의 등록 및 관리 기능 구현(관리자페이지)
- 목록관리 기능 개발</t>
  </si>
  <si>
    <t>기존컴포넌트 불러오기</t>
  </si>
  <si>
    <t>LXPFA-01포탈공통-027</t>
  </si>
  <si>
    <t>신청관리-서비스신청</t>
    <phoneticPr fontId="39" type="noConversion"/>
  </si>
  <si>
    <t>서비스목록</t>
    <phoneticPr fontId="39" type="noConversion"/>
  </si>
  <si>
    <t>컴포넌트 복사하기</t>
  </si>
  <si>
    <t>LXPFA-01포탈공통-028</t>
  </si>
  <si>
    <t>서비스등록</t>
    <phoneticPr fontId="39" type="noConversion"/>
  </si>
  <si>
    <t>컴포넌트 내 수정 템플릿 표시</t>
  </si>
  <si>
    <t>LXPFA-01포탈공통-029</t>
  </si>
  <si>
    <t>서비스수정</t>
    <phoneticPr fontId="39" type="noConversion"/>
  </si>
  <si>
    <t>템플릿 연결상세정보 표시</t>
  </si>
  <si>
    <t>LXPFA-01포탈공통-030</t>
  </si>
  <si>
    <t>서비스삭제</t>
    <phoneticPr fontId="39" type="noConversion"/>
  </si>
  <si>
    <t>템플릿별 연결상세정보 수정</t>
  </si>
  <si>
    <t>LXPFA-01포탈공통-031</t>
  </si>
  <si>
    <t>개발자목록</t>
    <phoneticPr fontId="39" type="noConversion"/>
  </si>
  <si>
    <t>사용자 컴포넌트 저장</t>
  </si>
  <si>
    <t>LXPFA-01포탈공통-032</t>
  </si>
  <si>
    <t>개발자등록</t>
    <phoneticPr fontId="39" type="noConversion"/>
  </si>
  <si>
    <t>내 컴포넌트 불어오기</t>
  </si>
  <si>
    <t>LXPFA-01포탈공통-033</t>
  </si>
  <si>
    <t>개발자수정</t>
    <phoneticPr fontId="39" type="noConversion"/>
  </si>
  <si>
    <t>이미지 로딩정보 설정</t>
  </si>
  <si>
    <t>LXPFA-01포탈공통-034</t>
  </si>
  <si>
    <t>개발자삭제</t>
    <phoneticPr fontId="39" type="noConversion"/>
  </si>
  <si>
    <t>CSS불러오기 및 적용</t>
  </si>
  <si>
    <t>LXPFA-01포탈공통-035</t>
  </si>
  <si>
    <t>개발자권한설정</t>
    <phoneticPr fontId="39" type="noConversion"/>
  </si>
  <si>
    <t>기존 템플릿 조회</t>
  </si>
  <si>
    <t>LXPFA-01포탈공통-036</t>
  </si>
  <si>
    <t>서비스신청추가</t>
    <phoneticPr fontId="39" type="noConversion"/>
  </si>
  <si>
    <t>API별 컴포넌트 자동 생성</t>
  </si>
  <si>
    <t>LXPFA-01포탈공통-037</t>
  </si>
  <si>
    <t>서비스신청삭제</t>
    <phoneticPr fontId="39" type="noConversion"/>
  </si>
  <si>
    <t>결과연결(지도) 템플릿</t>
  </si>
  <si>
    <t>LXPFA-01포탈공통-038</t>
  </si>
  <si>
    <t>서비스신청목록</t>
    <phoneticPr fontId="39" type="noConversion"/>
  </si>
  <si>
    <t>시계열 슬라이드바 템플릿</t>
  </si>
  <si>
    <t>LXPFA-01포탈공통-039</t>
  </si>
  <si>
    <t>서비스신청</t>
    <phoneticPr fontId="39" type="noConversion"/>
  </si>
  <si>
    <t>하천범람 시뮬레이션 템플릿</t>
  </si>
  <si>
    <t>LXPFA-01포탈공통-040</t>
  </si>
  <si>
    <t>바람길 시뮬레이션 템플릿 1</t>
  </si>
  <si>
    <t>LXPFA-01포탈공통-041</t>
  </si>
  <si>
    <t>서비스신청승인</t>
    <phoneticPr fontId="39" type="noConversion"/>
  </si>
  <si>
    <t>연기 시뮬레이션 1</t>
  </si>
  <si>
    <t>LXPFA-01포탈공통-042</t>
  </si>
  <si>
    <t>서비스신청반려</t>
    <phoneticPr fontId="39" type="noConversion"/>
  </si>
  <si>
    <t>화재 시뮬레이션 템플릿 1</t>
  </si>
  <si>
    <t>LXPFA-01포탈공통-160</t>
  </si>
  <si>
    <t>포탈관리-플랫폼공유관리</t>
    <phoneticPr fontId="39" type="noConversion"/>
  </si>
  <si>
    <t>플랫폼 공유관리 조회</t>
    <phoneticPr fontId="39" type="noConversion"/>
  </si>
  <si>
    <t>빛 시뮬레이션 템플릿 1</t>
  </si>
  <si>
    <t>LXPFA-01포탈공통-161</t>
  </si>
  <si>
    <t>플랫폼 공유관리 승인</t>
    <phoneticPr fontId="39" type="noConversion"/>
  </si>
  <si>
    <t>기타 시각화 시뮬레이션 템플릿 1</t>
  </si>
  <si>
    <t>LXPFA-01포탈공통-162</t>
  </si>
  <si>
    <t>플랫폼 공유관리 반려</t>
    <phoneticPr fontId="39" type="noConversion"/>
  </si>
  <si>
    <t>서비스 제작 도구 개발_구축된 서비스 모델의 등록 및 관리 기능 구현(관리자페이지)
- 타 서비스 연계 기능 개발</t>
  </si>
  <si>
    <t>CSS정보 조회</t>
  </si>
  <si>
    <t>LXPFA-01포탈공통-163</t>
  </si>
  <si>
    <t>로그관리-로그현황</t>
    <phoneticPr fontId="39" type="noConversion"/>
  </si>
  <si>
    <t>로그현황 조회</t>
    <phoneticPr fontId="39" type="noConversion"/>
  </si>
  <si>
    <t>CSS정보 등록/수정/삭제</t>
  </si>
  <si>
    <t>LXPFA-01포탈공통-164</t>
  </si>
  <si>
    <t>로그현황 등록</t>
    <phoneticPr fontId="39" type="noConversion"/>
  </si>
  <si>
    <t>CSS적용 미리보기</t>
  </si>
  <si>
    <t>LXPFA-01포탈공통-165</t>
  </si>
  <si>
    <t>로그관리-모니터링</t>
    <phoneticPr fontId="39" type="noConversion"/>
  </si>
  <si>
    <t>CSS정보</t>
  </si>
  <si>
    <t>LXPFA-01포탈공통-166</t>
  </si>
  <si>
    <t>템플릿 등록/수정/삭제</t>
  </si>
  <si>
    <t>LXPFA-01포탈공통-187</t>
  </si>
  <si>
    <t>대시보드</t>
    <phoneticPr fontId="39" type="noConversion"/>
  </si>
  <si>
    <t>조회</t>
    <phoneticPr fontId="39" type="noConversion"/>
  </si>
  <si>
    <t>템플릿 조회</t>
  </si>
  <si>
    <t>LXPFA-개발자지원-001</t>
    <phoneticPr fontId="39" type="noConversion"/>
  </si>
  <si>
    <t>로그인</t>
    <phoneticPr fontId="39" type="noConversion"/>
  </si>
  <si>
    <t>로그인 API</t>
    <phoneticPr fontId="39" type="noConversion"/>
  </si>
  <si>
    <t>템플릿 불러오기 및 적용</t>
  </si>
  <si>
    <t>LXPFA-개발자지원-002</t>
  </si>
  <si>
    <t>신청현황-개발계획신청현황</t>
    <phoneticPr fontId="39" type="noConversion"/>
  </si>
  <si>
    <t>개발계획신청 목록</t>
    <phoneticPr fontId="39" type="noConversion"/>
  </si>
  <si>
    <t>템플릿 미리보기</t>
  </si>
  <si>
    <t>LXPFA-개발자지원-003</t>
  </si>
  <si>
    <t>신청현황-개발계획신청</t>
    <phoneticPr fontId="39" type="noConversion"/>
  </si>
  <si>
    <t>API 조회</t>
    <phoneticPr fontId="39" type="noConversion"/>
  </si>
  <si>
    <t>템플릿 정보</t>
  </si>
  <si>
    <t>LXPFA-개발자지원-004</t>
  </si>
  <si>
    <t>API 신청 등록</t>
    <phoneticPr fontId="39" type="noConversion"/>
  </si>
  <si>
    <t>컨텐츠 템플릿 배치정보 조회</t>
  </si>
  <si>
    <t>LXPFA-개발자지원-005</t>
  </si>
  <si>
    <t>API 신청 수정</t>
    <phoneticPr fontId="39" type="noConversion"/>
  </si>
  <si>
    <t>컨텐츠 템플릿 배치정보 등록/수정/삭제</t>
  </si>
  <si>
    <t>LXPFA-개발자지원-006</t>
  </si>
  <si>
    <t>API 신청 삭제</t>
    <phoneticPr fontId="39" type="noConversion"/>
  </si>
  <si>
    <t>컨텐츠 배치정보</t>
  </si>
  <si>
    <t>LXPFA-개발자지원-007</t>
  </si>
  <si>
    <t>사용자별 템플릿 매핑 조회</t>
  </si>
  <si>
    <t>LXPFA-개발자지원-008</t>
  </si>
  <si>
    <t>사용자별 템플릿 매핑 정보/등록/수정/삭제</t>
  </si>
  <si>
    <t>LXPFA-개발자지원-009</t>
  </si>
  <si>
    <t>컨텐츠 템플릿별 API연동 조회</t>
  </si>
  <si>
    <t>LXPFA-개발자지원-010</t>
  </si>
  <si>
    <t>컨텐츠 템플릿별 API연동 등록/수정/삭제</t>
  </si>
  <si>
    <t>LXPFA-개발자지원-011</t>
  </si>
  <si>
    <t>인프라 개발 신청 조회</t>
    <phoneticPr fontId="39" type="noConversion"/>
  </si>
  <si>
    <t>API정보 조회</t>
  </si>
  <si>
    <t>LXPFA-개발자지원-012</t>
  </si>
  <si>
    <t>인프라 개발 신청 등록</t>
    <phoneticPr fontId="39" type="noConversion"/>
  </si>
  <si>
    <t>API정보 등록/수정/삭제</t>
  </si>
  <si>
    <t>LXPFA-개발자지원-013</t>
  </si>
  <si>
    <t>인프라 개발 신청 수정</t>
    <phoneticPr fontId="39" type="noConversion"/>
  </si>
  <si>
    <t>API호출 미리보기</t>
  </si>
  <si>
    <t>LXPFA-개발자지원-014</t>
  </si>
  <si>
    <t>인프라 개발 신청 삭제</t>
    <phoneticPr fontId="39" type="noConversion"/>
  </si>
  <si>
    <t>API사용법 조회</t>
  </si>
  <si>
    <t>LXPFA-개발자지원-015</t>
  </si>
  <si>
    <t>인프라 운영 신청 조회</t>
    <phoneticPr fontId="39" type="noConversion"/>
  </si>
  <si>
    <t>API사용법 다운로드</t>
  </si>
  <si>
    <t>LXPFA-개발자지원-016</t>
  </si>
  <si>
    <t>인프라 운영 신청 등록</t>
    <phoneticPr fontId="39" type="noConversion"/>
  </si>
  <si>
    <t>API정보</t>
  </si>
  <si>
    <t>LXPFA-개발자지원-017</t>
  </si>
  <si>
    <t>인프라 운영 신청 수정</t>
    <phoneticPr fontId="39" type="noConversion"/>
  </si>
  <si>
    <t>서비스 제작 도구 개발_구축된 서비스 모델의 등록 및 관리 기능 구현(관리자페이지)
- 공유 관리 기능 개발</t>
  </si>
  <si>
    <t>컨텐츠 템플릿 화면 매핑정보 조회</t>
  </si>
  <si>
    <t>LXPFA-01포탈공통-060</t>
  </si>
  <si>
    <t>신청관리-운영배포신청관리</t>
    <phoneticPr fontId="39" type="noConversion"/>
  </si>
  <si>
    <t>운영배포신청목록</t>
    <phoneticPr fontId="39" type="noConversion"/>
  </si>
  <si>
    <t>컨텐츠 템플릿 화면 매핑정보 등록/수정/삭제</t>
  </si>
  <si>
    <t>LXPFA-01포탈공통-061</t>
  </si>
  <si>
    <t>운영배포신청상세</t>
    <phoneticPr fontId="39" type="noConversion"/>
  </si>
  <si>
    <t>컨텐츠 템플릿 화면 매핑정보</t>
  </si>
  <si>
    <t>LXPFA-01포탈공통-062</t>
  </si>
  <si>
    <t>운영배포신청승인</t>
    <phoneticPr fontId="39" type="noConversion"/>
  </si>
  <si>
    <t>컨텐츠 템플릿 배포정보 조회</t>
  </si>
  <si>
    <t>LXPFA-01포탈공통-063</t>
  </si>
  <si>
    <t>운영배포신청반려</t>
    <phoneticPr fontId="39" type="noConversion"/>
  </si>
  <si>
    <t>컨텐츠 템플릿 배포정보 등록/수정/삭제</t>
  </si>
  <si>
    <t>LXPFA-01포탈공통-064</t>
  </si>
  <si>
    <t>자동배포</t>
    <phoneticPr fontId="39" type="noConversion"/>
  </si>
  <si>
    <t>컨텐프 템플릿 배포 미리보기</t>
  </si>
  <si>
    <t>LXPFA-01포탈공통-065</t>
  </si>
  <si>
    <t>롤백</t>
    <phoneticPr fontId="39" type="noConversion"/>
  </si>
  <si>
    <t xml:space="preserve">컨텐츠 템플릿 배포정보 </t>
  </si>
  <si>
    <t>LXPFA-01포탈공통-066</t>
  </si>
  <si>
    <t>기능API</t>
  </si>
  <si>
    <t>컨텐츠 템플릿 배포 변경이력 조회</t>
  </si>
  <si>
    <t>LXPFA-01포탈공통-067</t>
  </si>
  <si>
    <t>데이터API</t>
  </si>
  <si>
    <t>컨텐츠 템플릿 배포 변경이력 등록</t>
  </si>
  <si>
    <t>LXPFA-01포탈공통-068</t>
  </si>
  <si>
    <t>인프라</t>
  </si>
  <si>
    <t>인프라목록</t>
    <phoneticPr fontId="39" type="noConversion"/>
  </si>
  <si>
    <t>LXPFA_FP_006_083</t>
    <phoneticPr fontId="39" type="noConversion"/>
  </si>
  <si>
    <t>컨텐츠 템플릿 배포 변경이력정보</t>
  </si>
  <si>
    <t>LXPFA-01포탈공통-069</t>
  </si>
  <si>
    <t>배포관리-배포현황</t>
    <phoneticPr fontId="39" type="noConversion"/>
  </si>
  <si>
    <t>배포목록</t>
    <phoneticPr fontId="39" type="noConversion"/>
  </si>
  <si>
    <t>LXPFA_FP_006_084</t>
    <phoneticPr fontId="39" type="noConversion"/>
  </si>
  <si>
    <t>LXPFA-01포탈공통-119</t>
  </si>
  <si>
    <t>탬플릿 샘플 수정</t>
    <phoneticPr fontId="39" type="noConversion"/>
  </si>
  <si>
    <t>LXPFA_FP_006_085</t>
  </si>
  <si>
    <t>LXPFA-01포탈공통-120</t>
  </si>
  <si>
    <t>탬플릿 샘플 삭제</t>
    <phoneticPr fontId="39" type="noConversion"/>
  </si>
  <si>
    <t>LXPFA_FP_006_086</t>
    <phoneticPr fontId="39" type="noConversion"/>
  </si>
  <si>
    <t>LXPFA-01포탈공통-100</t>
  </si>
  <si>
    <t>베이스맵 삭제</t>
    <phoneticPr fontId="39" type="noConversion"/>
  </si>
  <si>
    <t>LXPFA_FP_006_087</t>
    <phoneticPr fontId="39" type="noConversion"/>
  </si>
  <si>
    <t>LXPFA-01포탈공통-139</t>
  </si>
  <si>
    <t>맵갤러리 반려</t>
    <phoneticPr fontId="39" type="noConversion"/>
  </si>
  <si>
    <t>LXPFA_FP_006_088</t>
  </si>
  <si>
    <t>LXPFA-01포탈공통-140</t>
  </si>
  <si>
    <t>LXPFA_FP_006_089</t>
  </si>
  <si>
    <t>LXPFA-01포탈공통-141</t>
  </si>
  <si>
    <t>맵갤러리 수정</t>
    <phoneticPr fontId="39" type="noConversion"/>
  </si>
  <si>
    <t>LXPFA_FP_006_090</t>
    <phoneticPr fontId="39" type="noConversion"/>
  </si>
  <si>
    <t>LXPFA-01포탈공통-076</t>
  </si>
  <si>
    <t>API사용중지</t>
    <phoneticPr fontId="39" type="noConversion"/>
  </si>
  <si>
    <t>LXPFA_FP_006_091</t>
    <phoneticPr fontId="39" type="noConversion"/>
  </si>
  <si>
    <t>LXPFA-01포탈공통-083</t>
  </si>
  <si>
    <t>API관리-API그룹현황</t>
    <phoneticPr fontId="39" type="noConversion"/>
  </si>
  <si>
    <t>API그룹 조회</t>
    <phoneticPr fontId="39" type="noConversion"/>
  </si>
  <si>
    <t>LXPFA_FP_006_092</t>
  </si>
  <si>
    <t>LXPFA-01포탈공통-084</t>
  </si>
  <si>
    <t>API그룹 등록</t>
    <phoneticPr fontId="39" type="noConversion"/>
  </si>
  <si>
    <t>LXPFA_FP_006_093</t>
  </si>
  <si>
    <t>LXPFA-01포탈공통-085</t>
  </si>
  <si>
    <t>API그룹 수정</t>
    <phoneticPr fontId="39" type="noConversion"/>
  </si>
  <si>
    <t>LXPFA_FP_006_094</t>
  </si>
  <si>
    <t>LXPFA-01포탈공통-086</t>
  </si>
  <si>
    <t>API그룹 삭제</t>
    <phoneticPr fontId="39" type="noConversion"/>
  </si>
  <si>
    <t>LXPFA_FP_006_095</t>
  </si>
  <si>
    <t>LXPFA-01포탈공통-101</t>
  </si>
  <si>
    <t>영상타일링 레이어 조회</t>
    <phoneticPr fontId="39" type="noConversion"/>
  </si>
  <si>
    <t>LXPFA_FP_006_096</t>
  </si>
  <si>
    <t>LXPFA-01포탈공통-102</t>
  </si>
  <si>
    <t>영상타일링 레이어 등록</t>
    <phoneticPr fontId="39" type="noConversion"/>
  </si>
  <si>
    <t>LXPFA_FP_006_097</t>
  </si>
  <si>
    <t>LXPFA-01포탈공통-103</t>
  </si>
  <si>
    <t>영상타일링 레이어 수정</t>
    <phoneticPr fontId="39" type="noConversion"/>
  </si>
  <si>
    <t>LXPFA_FP_006_098</t>
  </si>
  <si>
    <t>LXPFA-01포탈공통-104</t>
  </si>
  <si>
    <t>영상타일링 레이어 삭제</t>
    <phoneticPr fontId="39" type="noConversion"/>
  </si>
  <si>
    <t>LXPFA_FP_006_099</t>
    <phoneticPr fontId="39" type="noConversion"/>
  </si>
  <si>
    <t>LXPFA-개발자지원-018</t>
  </si>
  <si>
    <t>인프라 운영 신청 삭제</t>
    <phoneticPr fontId="39" type="noConversion"/>
  </si>
  <si>
    <t>LXPFA_FP_006_100</t>
  </si>
  <si>
    <t>LXPFA-개발자지원-019</t>
  </si>
  <si>
    <t>신청현황-운영배포신청현황</t>
    <phoneticPr fontId="39" type="noConversion"/>
  </si>
  <si>
    <t>운영배포신청현황 조회</t>
    <phoneticPr fontId="39" type="noConversion"/>
  </si>
  <si>
    <t>LXPFA_FP_006_101</t>
  </si>
  <si>
    <t>LXPFA-개발자지원-020</t>
  </si>
  <si>
    <t>신청현황-운영배포신청</t>
    <phoneticPr fontId="39" type="noConversion"/>
  </si>
  <si>
    <t>운영배포 신청</t>
    <phoneticPr fontId="39" type="noConversion"/>
  </si>
  <si>
    <t>LXPFA_FP_006_102</t>
  </si>
  <si>
    <t>LXPFA-개발자지원-021</t>
  </si>
  <si>
    <t>운영배포 수정</t>
    <phoneticPr fontId="39" type="noConversion"/>
  </si>
  <si>
    <t>LXPFA_FP_006_103</t>
  </si>
  <si>
    <t>LXPFA-개발자지원-022</t>
  </si>
  <si>
    <t>운영배포 삭제</t>
    <phoneticPr fontId="39" type="noConversion"/>
  </si>
  <si>
    <t>LXPFA_FP_006_104</t>
    <phoneticPr fontId="39" type="noConversion"/>
  </si>
  <si>
    <t>LXPFA-01포탈공통-070</t>
  </si>
  <si>
    <t>배포상세</t>
    <phoneticPr fontId="39" type="noConversion"/>
  </si>
  <si>
    <t>23.08.31</t>
    <phoneticPr fontId="15" type="noConversion"/>
  </si>
  <si>
    <t>교육과정 등에서 개발된 서비스 모델 모듈화</t>
    <phoneticPr fontId="15" type="noConversion"/>
  </si>
  <si>
    <t>LXPFA_SFR_025_2D_001 실험사업 및 플랫폼 사업에서 개발된 서비스모델 모듈화 및 고도화와 동일하여 통합</t>
    <phoneticPr fontId="15" type="noConversion"/>
  </si>
  <si>
    <t>LXPFA_2D_회의록(2D 기능 관련 회의)_230831</t>
    <phoneticPr fontId="15" type="noConversion"/>
  </si>
  <si>
    <t>충북 플랫품 추진 일정 및 사업범위를 고려하여 통합 계획을 구체적 으로 수립하고，발주처와 충북 플랫폼 사업단과 협의하여 추진</t>
    <phoneticPr fontId="15" type="noConversion"/>
  </si>
  <si>
    <t>23.09.15</t>
    <phoneticPr fontId="15" type="noConversion"/>
  </si>
  <si>
    <t>비기능 요구사항으로 관리 필요</t>
    <phoneticPr fontId="15" type="noConversion"/>
  </si>
  <si>
    <t>LX플랫폼_설계단계_감리보고서</t>
    <phoneticPr fontId="15" type="noConversion"/>
  </si>
  <si>
    <t>충북 플랫품 추진 일정 및 사업범위를 고려하여 통합 계획을 구체적 으로 수립하고，발주처와 충북 플랫폼 사업단과 협의하여 추진
- 충북 플랫품 추진 일정 및 사업범위를 고려하여 통합 계획을 구체적 으로 수립하고，발주처와 충북 플랫폼 사업단과 협의하여 추진</t>
    <phoneticPr fontId="15" type="noConversion"/>
  </si>
  <si>
    <t>이관계획서
이관결과서
충북 DB 중복조사</t>
    <phoneticPr fontId="15" type="noConversion"/>
  </si>
  <si>
    <t>PM
임지수과장</t>
    <phoneticPr fontId="15" type="noConversion"/>
  </si>
  <si>
    <t>발주처와 디지털 트윈국토 시범사업에서 선정 지자체의 서비스 구성에 대한 지원 방안 협의</t>
    <phoneticPr fontId="15" type="noConversion"/>
  </si>
  <si>
    <t>DB DUMP FILE 이미지</t>
    <phoneticPr fontId="0" type="noConversion"/>
  </si>
  <si>
    <t>해당 요구사항은 비기능 요구사항(성능테스트)으로 판단하여 기능에서 제외하여 충북플랫폼 이관 중 실시된 성능점검에 대한 회의록 작성으로 대체 협의 중</t>
    <phoneticPr fontId="15" type="noConversion"/>
  </si>
  <si>
    <t>회의록(협의 진행중 - 추후 업데이트 예정)</t>
    <phoneticPr fontId="0" type="noConversion"/>
  </si>
  <si>
    <t>협의중</t>
    <phoneticPr fontId="15" type="noConversion"/>
  </si>
  <si>
    <t>회의록(협의중)</t>
    <phoneticPr fontId="15" type="noConversion"/>
  </si>
  <si>
    <t>LXPFA_3D_회의록(플러그인 개발건)_V0.1_2301025</t>
    <phoneticPr fontId="15" type="noConversion"/>
  </si>
  <si>
    <t>삭제</t>
    <phoneticPr fontId="15" type="noConversion"/>
  </si>
  <si>
    <t>23.10.25</t>
    <phoneticPr fontId="15" type="noConversion"/>
  </si>
  <si>
    <t>LXPFA_SFR_012_3D_001</t>
    <phoneticPr fontId="15" type="noConversion"/>
  </si>
  <si>
    <t xml:space="preserve">기존 요구사항은 기 구축된 도면 편집 웹 서비스의 고도화를 요구하고 있으나, 기존 도면 편집 웹서비스의 구조적 한계와 품질 저하의 사유로 신규 도면 편집 웹서비스 제작으로 요구사항을 변경함 
*LXPFA_3D_회의록(플러그인 개발 건)_V0.1.hwp
*LXPFA_3D_회의록(LX플러그인 개발 관련 회의)_230802.hwp
변경된 요구사항의 기능은 크게 뷰어, 도면 불러오기, 레이어, 편집기능으로 분류하며, 도출된 기능 리스트는 아래 문서로 정의
*LXPFA_3D_웹기반 2D 도면 편집기 기능 도출.xlsx
*LXPFA_3D_회의록(플러그인 개발건)_230901.hwp
LXPFA_SFR_012_3D_001~LXPFA_SFR_012_3D_012를 LXPFA_SFR_012_3D_001~LXPFA_SFR_012_3D_004으로 통합하여 관리(LXPFA_SFR_012_3D_005~LXPFA_SFR_012_3D_012은 삭제)
</t>
    <phoneticPr fontId="15" type="noConversion"/>
  </si>
  <si>
    <t xml:space="preserve">■ 이기종의 loT 장비 운영 정책
  - IoT 장치 운영 정책 수립 
 - 수집 정보 / 수집영역 /  표출희망 데이터 
</t>
  </si>
  <si>
    <t>해당 요구사항은 비기능 요구사항(성능테스트)으로 판단하여 기능에서 제외하여 충북플랫폼 이관 중 실시된 성능점검에 대한 회의록 작성으로 대체</t>
    <phoneticPr fontId="15" type="noConversion"/>
  </si>
  <si>
    <t>LXPFA_2D_회의록_충북플랫폼 개발 일정 회의_230818</t>
    <phoneticPr fontId="15" type="noConversion"/>
  </si>
  <si>
    <t>23.08.18</t>
    <phoneticPr fontId="15" type="noConversion"/>
  </si>
  <si>
    <t>기능 협의중(투가 제안건임)</t>
    <phoneticPr fontId="15" type="noConversion"/>
  </si>
  <si>
    <t>LX플랫폼 고도화 사업</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</si>
</sst>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1" formatCode="_-* #,##0_-;\-* #,##0_-;_-* &quot;-&quot;_-;_-@_-"/>
    <numFmt numFmtId="43" formatCode="_-* #,##0.00_-;\-* #,##0.00_-;_-* &quot;-&quot;??_-;_-@_-"/>
    <numFmt numFmtId="176" formatCode="0_)"/>
    <numFmt numFmtId="177" formatCode="_ * #,##0.00_)_K_s_h_ ;_ * \(#,##0.00\)_K_s_h_ ;_ * &quot;-&quot;??_)_K_s_h_ ;_ @_ "/>
    <numFmt numFmtId="178" formatCode="&quot;$&quot;#,###"/>
    <numFmt numFmtId="179" formatCode="_(&quot;$&quot;* #,##0.0_);_(&quot;$&quot;* \(#,##0.0\);_(&quot;$&quot;* &quot;-&quot;_);_(@_)"/>
    <numFmt numFmtId="180" formatCode="_ * #,##0_ ;_ * \-#,##0_ ;_ * &quot;-&quot;_ ;_ @_ "/>
    <numFmt numFmtId="181" formatCode="_ * #,##0.00_ ;_ * \-#,##0.00_ ;_ * &quot;-&quot;??_ ;_ @_ "/>
    <numFmt numFmtId="182" formatCode="0000000"/>
    <numFmt numFmtId="183" formatCode="m&quot;/&quot;d;@"/>
    <numFmt numFmtId="184" formatCode="_-* #,##0.0_-;\-* #,##0.0_-;_-* &quot;-&quot;_-;_-@_-"/>
    <numFmt numFmtId="185" formatCode="_-* #,##0.00_-;\-* #,##0.00_-;_-* &quot;-&quot;_-;_-@_-"/>
    <numFmt numFmtId="186" formatCode="0.0"/>
  </numFmts>
  <fonts count="113">
    <font>
      <sz val="10"/>
      <name val="Arial"/>
      <family val="2"/>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name val="Arial"/>
      <family val="2"/>
    </font>
    <font>
      <sz val="8"/>
      <name val="돋움"/>
      <family val="3"/>
      <charset val="129"/>
    </font>
    <font>
      <sz val="11"/>
      <name val="돋움"/>
      <family val="3"/>
      <charset val="129"/>
    </font>
    <font>
      <sz val="10"/>
      <color indexed="8"/>
      <name val="Arial"/>
      <family val="2"/>
    </font>
    <font>
      <sz val="10"/>
      <name val="Helv"/>
      <family val="2"/>
    </font>
    <font>
      <sz val="12"/>
      <name val="뼻뮝"/>
      <family val="1"/>
      <charset val="129"/>
    </font>
    <font>
      <sz val="12"/>
      <name val="Tms Rmn"/>
      <family val="1"/>
    </font>
    <font>
      <sz val="10"/>
      <name val="MS Serif"/>
      <family val="1"/>
    </font>
    <font>
      <sz val="10"/>
      <color indexed="16"/>
      <name val="MS Serif"/>
      <family val="1"/>
    </font>
    <font>
      <sz val="8"/>
      <name val="Arial"/>
      <family val="2"/>
    </font>
    <font>
      <b/>
      <sz val="12"/>
      <name val="Arial"/>
      <family val="2"/>
    </font>
    <font>
      <sz val="8"/>
      <name val="Helv"/>
      <family val="2"/>
    </font>
    <font>
      <b/>
      <sz val="8"/>
      <color indexed="8"/>
      <name val="Helv"/>
      <family val="2"/>
    </font>
    <font>
      <sz val="11"/>
      <name val="맑은 고딕"/>
      <family val="3"/>
      <charset val="129"/>
    </font>
    <font>
      <sz val="10"/>
      <name val="맑은 고딕"/>
      <family val="3"/>
      <charset val="129"/>
      <scheme val="major"/>
    </font>
    <font>
      <sz val="11"/>
      <name val="맑은 고딕"/>
      <family val="3"/>
      <charset val="129"/>
      <scheme val="major"/>
    </font>
    <font>
      <b/>
      <sz val="10"/>
      <color indexed="8"/>
      <name val="맑은 고딕"/>
      <family val="3"/>
      <charset val="129"/>
      <scheme val="major"/>
    </font>
    <font>
      <sz val="10"/>
      <color indexed="8"/>
      <name val="맑은 고딕"/>
      <family val="3"/>
      <charset val="129"/>
      <scheme val="major"/>
    </font>
    <font>
      <sz val="12"/>
      <name val="맑은 고딕"/>
      <family val="3"/>
      <charset val="129"/>
    </font>
    <font>
      <b/>
      <sz val="10"/>
      <name val="맑은 고딕"/>
      <family val="3"/>
      <charset val="129"/>
    </font>
    <font>
      <sz val="9"/>
      <color indexed="81"/>
      <name val="Tahoma"/>
      <family val="2"/>
    </font>
    <font>
      <b/>
      <sz val="9"/>
      <color indexed="81"/>
      <name val="Tahoma"/>
      <family val="2"/>
    </font>
    <font>
      <sz val="11"/>
      <color theme="1"/>
      <name val="맑은 고딕"/>
      <family val="3"/>
      <charset val="129"/>
      <scheme val="minor"/>
    </font>
    <font>
      <sz val="9"/>
      <color indexed="81"/>
      <name val="돋움"/>
      <family val="3"/>
      <charset val="129"/>
    </font>
    <font>
      <sz val="11"/>
      <name val="굴림체"/>
      <family val="3"/>
      <charset val="129"/>
    </font>
    <font>
      <sz val="8"/>
      <name val="맑은 고딕"/>
      <family val="2"/>
      <charset val="129"/>
      <scheme val="minor"/>
    </font>
    <font>
      <sz val="10"/>
      <color indexed="8"/>
      <name val="맑은 고딕"/>
      <family val="3"/>
      <charset val="129"/>
      <scheme val="minor"/>
    </font>
    <font>
      <b/>
      <sz val="11"/>
      <name val="맑은 고딕"/>
      <family val="3"/>
      <charset val="129"/>
    </font>
    <font>
      <b/>
      <sz val="11"/>
      <name val="맑은 고딕"/>
      <family val="3"/>
      <charset val="129"/>
      <scheme val="minor"/>
    </font>
    <font>
      <sz val="11"/>
      <name val="맑은 고딕"/>
      <family val="3"/>
      <charset val="129"/>
      <scheme val="minor"/>
    </font>
    <font>
      <sz val="11"/>
      <name val="맑은 고딕"/>
      <family val="2"/>
      <charset val="129"/>
      <scheme val="minor"/>
    </font>
    <font>
      <sz val="11"/>
      <name val="Arial"/>
      <family val="2"/>
    </font>
    <font>
      <sz val="11"/>
      <color indexed="8"/>
      <name val="맑은 고딕"/>
      <family val="3"/>
      <charset val="129"/>
      <scheme val="major"/>
    </font>
    <font>
      <sz val="11"/>
      <color rgb="FF000000"/>
      <name val="맑은 고딕"/>
      <family val="3"/>
      <charset val="129"/>
    </font>
    <font>
      <sz val="11"/>
      <color theme="1"/>
      <name val="맑은 고딕"/>
      <family val="3"/>
      <charset val="129"/>
    </font>
    <font>
      <sz val="10"/>
      <color indexed="81"/>
      <name val="맑은 고딕"/>
      <family val="3"/>
      <charset val="129"/>
    </font>
    <font>
      <sz val="11"/>
      <color indexed="8"/>
      <name val="맑은 고딕"/>
      <family val="3"/>
      <charset val="129"/>
      <scheme val="minor"/>
    </font>
    <font>
      <sz val="11"/>
      <color rgb="FF0070C0"/>
      <name val="맑은 고딕"/>
      <family val="3"/>
      <charset val="129"/>
      <scheme val="minor"/>
    </font>
    <font>
      <sz val="10"/>
      <name val="맑은 고딕"/>
      <family val="3"/>
      <charset val="129"/>
    </font>
    <font>
      <sz val="11"/>
      <name val="KoPub돋움체 Bold"/>
      <family val="1"/>
      <charset val="129"/>
    </font>
    <font>
      <sz val="8.8000000000000007"/>
      <name val="맑은 고딕"/>
      <family val="3"/>
      <charset val="129"/>
    </font>
    <font>
      <sz val="11"/>
      <color rgb="FF9C0006"/>
      <name val="맑은 고딕"/>
      <family val="2"/>
      <charset val="129"/>
      <scheme val="minor"/>
    </font>
    <font>
      <sz val="11"/>
      <color rgb="FFFF0000"/>
      <name val="맑은 고딕"/>
      <family val="3"/>
      <charset val="129"/>
      <scheme val="minor"/>
    </font>
    <font>
      <sz val="12"/>
      <color rgb="FF000000"/>
      <name val="맑은 고딕"/>
      <family val="3"/>
      <charset val="129"/>
      <scheme val="minor"/>
    </font>
    <font>
      <sz val="12"/>
      <color rgb="FF000000"/>
      <name val="맑은 고딕"/>
      <family val="3"/>
      <charset val="129"/>
    </font>
    <font>
      <sz val="11"/>
      <color theme="1"/>
      <name val="휴먼모음T"/>
      <family val="1"/>
      <charset val="129"/>
    </font>
    <font>
      <sz val="10"/>
      <color indexed="8"/>
      <name val="맑은 고딕"/>
      <family val="3"/>
      <charset val="129"/>
    </font>
    <font>
      <b/>
      <sz val="16"/>
      <name val="맑은 고딕"/>
      <family val="3"/>
      <charset val="129"/>
      <scheme val="major"/>
    </font>
    <font>
      <b/>
      <sz val="10"/>
      <color theme="1"/>
      <name val="맑은 고딕"/>
      <family val="3"/>
      <charset val="129"/>
      <scheme val="minor"/>
    </font>
    <font>
      <b/>
      <sz val="10"/>
      <name val="맑은 고딕"/>
      <family val="3"/>
      <charset val="129"/>
      <scheme val="minor"/>
    </font>
    <font>
      <sz val="11"/>
      <color theme="1"/>
      <name val="굴림체"/>
      <family val="3"/>
      <charset val="129"/>
    </font>
    <font>
      <sz val="8"/>
      <name val="굴림체"/>
      <family val="3"/>
      <charset val="129"/>
    </font>
    <font>
      <sz val="10"/>
      <name val="맑은 고딕"/>
      <family val="3"/>
      <charset val="129"/>
      <scheme val="minor"/>
    </font>
    <font>
      <sz val="11"/>
      <color indexed="8"/>
      <name val="맑은 고딕"/>
      <family val="3"/>
      <charset val="129"/>
    </font>
    <font>
      <sz val="10"/>
      <color theme="1"/>
      <name val="맑은 고딕"/>
      <family val="3"/>
      <charset val="129"/>
      <scheme val="minor"/>
    </font>
    <font>
      <sz val="10"/>
      <color rgb="FFFF0000"/>
      <name val="맑은 고딕"/>
      <family val="3"/>
      <charset val="129"/>
      <scheme val="major"/>
    </font>
    <font>
      <sz val="8.5"/>
      <name val="맑은 고딕"/>
      <family val="3"/>
      <charset val="129"/>
    </font>
    <font>
      <sz val="10"/>
      <color theme="1"/>
      <name val="맑은 고딕"/>
      <family val="3"/>
      <charset val="129"/>
      <scheme val="major"/>
    </font>
    <font>
      <b/>
      <sz val="11"/>
      <color theme="1"/>
      <name val="굴림체"/>
      <family val="3"/>
      <charset val="129"/>
    </font>
    <font>
      <sz val="11"/>
      <color rgb="FF9C6500"/>
      <name val="맑은 고딕"/>
      <family val="2"/>
      <charset val="129"/>
      <scheme val="minor"/>
    </font>
    <font>
      <strike/>
      <sz val="11"/>
      <color theme="1"/>
      <name val="맑은 고딕"/>
      <family val="3"/>
      <charset val="129"/>
      <scheme val="minor"/>
    </font>
    <font>
      <strike/>
      <sz val="11"/>
      <name val="맑은 고딕"/>
      <family val="3"/>
      <charset val="129"/>
      <scheme val="minor"/>
    </font>
    <font>
      <strike/>
      <sz val="11"/>
      <name val="맑은 고딕"/>
      <family val="3"/>
      <charset val="129"/>
    </font>
    <font>
      <strike/>
      <sz val="11"/>
      <color rgb="FF9C0006"/>
      <name val="맑은 고딕"/>
      <family val="3"/>
      <charset val="129"/>
      <scheme val="minor"/>
    </font>
    <font>
      <strike/>
      <sz val="11"/>
      <name val="맑은 고딕"/>
      <family val="2"/>
      <charset val="129"/>
      <scheme val="minor"/>
    </font>
    <font>
      <strike/>
      <sz val="11"/>
      <name val="Arial"/>
      <family val="2"/>
    </font>
    <font>
      <strike/>
      <sz val="11"/>
      <color rgb="FF0070C0"/>
      <name val="맑은 고딕"/>
      <family val="3"/>
      <charset val="129"/>
      <scheme val="minor"/>
    </font>
    <font>
      <strike/>
      <sz val="11"/>
      <color rgb="FF9C5700"/>
      <name val="맑은 고딕"/>
      <family val="2"/>
      <charset val="129"/>
      <scheme val="minor"/>
    </font>
    <font>
      <strike/>
      <sz val="11"/>
      <color indexed="8"/>
      <name val="맑은 고딕"/>
      <family val="3"/>
      <charset val="129"/>
      <scheme val="major"/>
    </font>
    <font>
      <strike/>
      <sz val="11"/>
      <name val="맑은 고딕"/>
      <family val="3"/>
      <charset val="129"/>
      <scheme val="major"/>
    </font>
    <font>
      <b/>
      <strike/>
      <sz val="11"/>
      <name val="맑은 고딕"/>
      <family val="3"/>
      <charset val="129"/>
    </font>
    <font>
      <sz val="11"/>
      <name val="Calibri"/>
      <family val="3"/>
    </font>
    <font>
      <sz val="11"/>
      <name val="Segoe UI Symbol"/>
      <family val="3"/>
    </font>
    <font>
      <sz val="11"/>
      <color theme="7"/>
      <name val="맑은 고딕"/>
      <family val="3"/>
      <charset val="129"/>
    </font>
    <font>
      <sz val="11"/>
      <color theme="1"/>
      <name val="나눔고딕"/>
      <family val="3"/>
      <charset val="129"/>
    </font>
    <font>
      <sz val="11"/>
      <name val="나눔고딕"/>
      <family val="3"/>
      <charset val="129"/>
    </font>
    <font>
      <sz val="11"/>
      <name val="Tahoma"/>
      <family val="3"/>
      <charset val="1"/>
    </font>
    <font>
      <sz val="11"/>
      <name val="MS Mincho"/>
      <family val="3"/>
      <charset val="1"/>
    </font>
    <font>
      <sz val="11"/>
      <name val="MS Mincho"/>
      <family val="3"/>
      <charset val="128"/>
    </font>
    <font>
      <sz val="12.1"/>
      <name val="맑은 고딕"/>
      <family val="3"/>
      <charset val="129"/>
    </font>
    <font>
      <sz val="11"/>
      <name val="맑은 고딕"/>
      <family val="1"/>
      <charset val="129"/>
      <scheme val="minor"/>
    </font>
    <font>
      <sz val="9.35"/>
      <name val="맑은 고딕"/>
      <family val="3"/>
      <charset val="129"/>
    </font>
    <font>
      <sz val="12"/>
      <color rgb="FF000000"/>
      <name val="NanumSquare"/>
      <family val="3"/>
    </font>
    <font>
      <sz val="11"/>
      <name val="맑은 고딕"/>
      <family val="2"/>
      <charset val="129"/>
    </font>
    <font>
      <strike/>
      <sz val="11"/>
      <color theme="1"/>
      <name val="맑은 고딕"/>
      <family val="2"/>
      <charset val="129"/>
      <scheme val="minor"/>
    </font>
    <font>
      <strike/>
      <sz val="11"/>
      <color theme="4"/>
      <name val="맑은 고딕"/>
      <family val="3"/>
      <charset val="129"/>
      <scheme val="minor"/>
    </font>
    <font>
      <sz val="11"/>
      <color theme="1"/>
      <name val="Arial"/>
      <family val="2"/>
    </font>
    <font>
      <sz val="11"/>
      <color rgb="FFFF0000"/>
      <name val="맑은 고딕"/>
      <family val="3"/>
      <charset val="129"/>
      <scheme val="major"/>
    </font>
    <font>
      <sz val="11"/>
      <color rgb="FFFF0000"/>
      <name val="맑은 고딕"/>
      <family val="3"/>
      <charset val="129"/>
    </font>
    <font>
      <sz val="10"/>
      <color theme="1"/>
      <name val="맑은 고딕"/>
      <family val="3"/>
      <charset val="129"/>
    </font>
    <font>
      <b/>
      <u/>
      <sz val="14"/>
      <name val="맑은 고딕"/>
      <family val="3"/>
      <charset val="129"/>
      <scheme val="minor"/>
    </font>
    <font>
      <sz val="10"/>
      <color theme="1"/>
      <name val="맑은 고딕"/>
      <family val="2"/>
      <charset val="129"/>
      <scheme val="minor"/>
    </font>
    <font>
      <strike/>
      <sz val="11"/>
      <color theme="1"/>
      <name val="맑은 고딕"/>
      <family val="3"/>
      <charset val="129"/>
    </font>
    <font>
      <strike/>
      <sz val="11"/>
      <color theme="1"/>
      <name val="Arial"/>
      <family val="2"/>
    </font>
    <font>
      <sz val="10"/>
      <color rgb="FFFF0000"/>
      <name val="맑은 고딕"/>
      <family val="3"/>
      <charset val="129"/>
    </font>
    <font>
      <strike/>
      <sz val="10"/>
      <name val="맑은 고딕"/>
      <family val="3"/>
      <charset val="129"/>
      <scheme val="major"/>
    </font>
    <font>
      <strike/>
      <sz val="12"/>
      <color rgb="FF000000"/>
      <name val="맑은 고딕"/>
      <family val="3"/>
      <charset val="129"/>
      <scheme val="minor"/>
    </font>
    <font>
      <strike/>
      <sz val="12"/>
      <color rgb="FF000000"/>
      <name val="맑은 고딕"/>
      <family val="3"/>
      <charset val="129"/>
    </font>
    <font>
      <b/>
      <sz val="11"/>
      <color theme="1"/>
      <name val="맑은 고딕"/>
      <family val="3"/>
      <charset val="129"/>
    </font>
  </fonts>
  <fills count="1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6" tint="0.79998168889431442"/>
        <bgColor indexed="64"/>
      </patternFill>
    </fill>
    <fill>
      <patternFill patternType="solid">
        <fgColor theme="4" tint="0.79998168889431442"/>
        <bgColor indexed="65"/>
      </patternFill>
    </fill>
    <fill>
      <patternFill patternType="solid">
        <fgColor rgb="FFFFFF00"/>
        <bgColor indexed="64"/>
      </patternFill>
    </fill>
    <fill>
      <patternFill patternType="solid">
        <fgColor rgb="FFFFC7CE"/>
      </patternFill>
    </fill>
    <fill>
      <patternFill patternType="solid">
        <fgColor auto="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rgb="FFFFEB9C"/>
      </patternFill>
    </fill>
    <fill>
      <patternFill patternType="solid">
        <fgColor theme="9" tint="0.59999389629810485"/>
        <bgColor indexed="64"/>
      </patternFill>
    </fill>
  </fills>
  <borders count="3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bottom style="double">
        <color indexed="64"/>
      </bottom>
      <diagonal/>
    </border>
  </borders>
  <cellStyleXfs count="139">
    <xf numFmtId="0" fontId="0" fillId="0" borderId="0"/>
    <xf numFmtId="0" fontId="19" fillId="0" borderId="0"/>
    <xf numFmtId="0" fontId="18" fillId="0" borderId="0"/>
    <xf numFmtId="176" fontId="16" fillId="0" borderId="0" applyFont="0" applyFill="0" applyBorder="0" applyAlignment="0" applyProtection="0"/>
    <xf numFmtId="177" fontId="16" fillId="0" borderId="0" applyFont="0" applyFill="0" applyBorder="0" applyAlignment="0" applyProtection="0"/>
    <xf numFmtId="0" fontId="16" fillId="0" borderId="0">
      <alignment vertical="center"/>
    </xf>
    <xf numFmtId="0" fontId="20" fillId="0" borderId="0" applyNumberFormat="0" applyFill="0" applyBorder="0" applyAlignment="0" applyProtection="0"/>
    <xf numFmtId="0" fontId="17" fillId="0" borderId="0" applyFill="0" applyBorder="0" applyAlignment="0"/>
    <xf numFmtId="180" fontId="14" fillId="0" borderId="0" applyFont="0" applyFill="0" applyBorder="0" applyAlignment="0" applyProtection="0"/>
    <xf numFmtId="181" fontId="14" fillId="0" borderId="0" applyFont="0" applyFill="0" applyBorder="0" applyAlignment="0" applyProtection="0"/>
    <xf numFmtId="0" fontId="21" fillId="0" borderId="0" applyNumberFormat="0" applyAlignment="0">
      <alignment horizontal="left"/>
    </xf>
    <xf numFmtId="178" fontId="16" fillId="0" borderId="0" applyFont="0" applyFill="0" applyBorder="0" applyAlignment="0" applyProtection="0"/>
    <xf numFmtId="179" fontId="16" fillId="0" borderId="0" applyFont="0" applyFill="0" applyBorder="0" applyAlignment="0" applyProtection="0"/>
    <xf numFmtId="0" fontId="22" fillId="0" borderId="0" applyNumberFormat="0" applyAlignment="0">
      <alignment horizontal="left"/>
    </xf>
    <xf numFmtId="38" fontId="23" fillId="2" borderId="0" applyNumberFormat="0" applyBorder="0" applyAlignment="0" applyProtection="0"/>
    <xf numFmtId="0" fontId="24" fillId="0" borderId="1" applyNumberFormat="0" applyAlignment="0" applyProtection="0">
      <alignment horizontal="left" vertical="center"/>
    </xf>
    <xf numFmtId="0" fontId="24" fillId="0" borderId="2">
      <alignment horizontal="left" vertical="center"/>
    </xf>
    <xf numFmtId="10" fontId="23" fillId="3" borderId="3" applyNumberFormat="0" applyBorder="0" applyAlignment="0" applyProtection="0"/>
    <xf numFmtId="182" fontId="14" fillId="0" borderId="0"/>
    <xf numFmtId="0" fontId="14" fillId="0" borderId="0"/>
    <xf numFmtId="10" fontId="14" fillId="0" borderId="0" applyFont="0" applyFill="0" applyBorder="0" applyAlignment="0" applyProtection="0"/>
    <xf numFmtId="0" fontId="25" fillId="0" borderId="0" applyNumberFormat="0" applyFill="0" applyBorder="0" applyAlignment="0" applyProtection="0">
      <alignment horizontal="left"/>
    </xf>
    <xf numFmtId="40" fontId="26" fillId="0" borderId="0" applyBorder="0">
      <alignment horizontal="right"/>
    </xf>
    <xf numFmtId="0" fontId="16" fillId="0" borderId="0">
      <alignment vertical="center"/>
    </xf>
    <xf numFmtId="0" fontId="36" fillId="0" borderId="0">
      <alignment vertical="center"/>
    </xf>
    <xf numFmtId="0" fontId="38" fillId="0" borderId="0">
      <alignment vertical="center"/>
    </xf>
    <xf numFmtId="0" fontId="55" fillId="10" borderId="0" applyNumberFormat="0" applyBorder="0" applyAlignment="0" applyProtection="0">
      <alignment vertical="center"/>
    </xf>
    <xf numFmtId="0" fontId="14" fillId="0" borderId="0"/>
    <xf numFmtId="0" fontId="16" fillId="0" borderId="0">
      <alignment vertical="center"/>
    </xf>
    <xf numFmtId="0" fontId="64" fillId="0" borderId="0">
      <alignment vertical="center"/>
    </xf>
    <xf numFmtId="41" fontId="13" fillId="0" borderId="0" applyFont="0" applyFill="0" applyBorder="0" applyAlignment="0" applyProtection="0">
      <alignment vertical="center"/>
    </xf>
    <xf numFmtId="0" fontId="38" fillId="0" borderId="0"/>
    <xf numFmtId="41" fontId="67" fillId="0" borderId="0" applyFont="0" applyFill="0" applyBorder="0" applyAlignment="0" applyProtection="0">
      <alignment vertical="center"/>
    </xf>
    <xf numFmtId="0" fontId="16" fillId="0" borderId="0"/>
    <xf numFmtId="41" fontId="64" fillId="0" borderId="0" applyFont="0" applyFill="0" applyBorder="0" applyAlignment="0" applyProtection="0">
      <alignment vertical="center"/>
    </xf>
    <xf numFmtId="0" fontId="16" fillId="0" borderId="0"/>
    <xf numFmtId="0" fontId="64" fillId="0" borderId="0">
      <alignment vertical="center"/>
    </xf>
    <xf numFmtId="0" fontId="38" fillId="0" borderId="0"/>
    <xf numFmtId="41" fontId="67" fillId="0" borderId="0" applyFont="0" applyFill="0" applyBorder="0" applyAlignment="0" applyProtection="0">
      <alignment vertical="center"/>
    </xf>
    <xf numFmtId="0" fontId="13" fillId="0" borderId="0">
      <alignment vertical="center"/>
    </xf>
    <xf numFmtId="0" fontId="38" fillId="0" borderId="0"/>
    <xf numFmtId="0" fontId="12" fillId="8" borderId="0" applyNumberFormat="0" applyBorder="0" applyAlignment="0" applyProtection="0">
      <alignment vertical="center"/>
    </xf>
    <xf numFmtId="41" fontId="12"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12" fillId="0" borderId="0">
      <alignment vertical="center"/>
    </xf>
    <xf numFmtId="0" fontId="73" fillId="16" borderId="0" applyNumberFormat="0" applyBorder="0" applyAlignment="0" applyProtection="0">
      <alignment vertical="center"/>
    </xf>
    <xf numFmtId="41" fontId="7"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7" fillId="0" borderId="0">
      <alignment vertical="center"/>
    </xf>
    <xf numFmtId="0" fontId="7" fillId="8" borderId="0" applyNumberFormat="0" applyBorder="0" applyAlignment="0" applyProtection="0">
      <alignment vertical="center"/>
    </xf>
    <xf numFmtId="41" fontId="7"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7" fillId="0" borderId="0">
      <alignment vertical="center"/>
    </xf>
    <xf numFmtId="0" fontId="16" fillId="0" borderId="0">
      <alignment vertical="center"/>
    </xf>
    <xf numFmtId="0" fontId="16" fillId="0" borderId="0">
      <alignment vertical="center"/>
    </xf>
    <xf numFmtId="41" fontId="6"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6" fillId="0" borderId="0">
      <alignment vertical="center"/>
    </xf>
    <xf numFmtId="0" fontId="6" fillId="8" borderId="0" applyNumberFormat="0" applyBorder="0" applyAlignment="0" applyProtection="0">
      <alignment vertical="center"/>
    </xf>
    <xf numFmtId="41" fontId="6"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6" fillId="0" borderId="0">
      <alignment vertical="center"/>
    </xf>
    <xf numFmtId="0" fontId="6" fillId="8" borderId="0" applyNumberFormat="0" applyBorder="0" applyAlignment="0" applyProtection="0">
      <alignment vertical="center"/>
    </xf>
    <xf numFmtId="41" fontId="6"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6" fillId="0" borderId="0">
      <alignment vertical="center"/>
    </xf>
    <xf numFmtId="0" fontId="4" fillId="0" borderId="0">
      <alignment vertical="center"/>
    </xf>
    <xf numFmtId="0" fontId="4" fillId="8" borderId="0" applyNumberFormat="0" applyBorder="0" applyAlignment="0" applyProtection="0">
      <alignment vertical="center"/>
    </xf>
    <xf numFmtId="41" fontId="67" fillId="0" borderId="0" applyFont="0" applyFill="0" applyBorder="0" applyAlignment="0" applyProtection="0">
      <alignment vertical="center"/>
    </xf>
    <xf numFmtId="0" fontId="14" fillId="0" borderId="0"/>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73" fillId="16" borderId="0" applyNumberFormat="0" applyBorder="0" applyAlignment="0" applyProtection="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0" fontId="4" fillId="8" borderId="0" applyNumberFormat="0" applyBorder="0" applyAlignment="0" applyProtection="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0" fontId="4" fillId="8" borderId="0" applyNumberFormat="0" applyBorder="0" applyAlignment="0" applyProtection="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xf numFmtId="0" fontId="4" fillId="8" borderId="0" applyNumberFormat="0" applyBorder="0" applyAlignment="0" applyProtection="0">
      <alignment vertical="center"/>
    </xf>
    <xf numFmtId="41" fontId="4" fillId="0" borderId="0" applyFont="0" applyFill="0" applyBorder="0" applyAlignment="0" applyProtection="0">
      <alignment vertical="center"/>
    </xf>
    <xf numFmtId="41" fontId="67" fillId="0" borderId="0" applyFont="0" applyFill="0" applyBorder="0" applyAlignment="0" applyProtection="0">
      <alignment vertical="center"/>
    </xf>
    <xf numFmtId="41" fontId="64" fillId="0" borderId="0" applyFont="0" applyFill="0" applyBorder="0" applyAlignment="0" applyProtection="0">
      <alignment vertical="center"/>
    </xf>
    <xf numFmtId="41" fontId="67" fillId="0" borderId="0" applyFont="0" applyFill="0" applyBorder="0" applyAlignment="0" applyProtection="0">
      <alignment vertical="center"/>
    </xf>
    <xf numFmtId="0" fontId="4" fillId="0" borderId="0">
      <alignment vertical="center"/>
    </xf>
  </cellStyleXfs>
  <cellXfs count="620">
    <xf numFmtId="0" fontId="0" fillId="0" borderId="0" xfId="0"/>
    <xf numFmtId="0" fontId="29" fillId="4" borderId="0" xfId="0" applyFont="1" applyFill="1" applyAlignment="1">
      <alignment horizontal="left" vertical="center"/>
    </xf>
    <xf numFmtId="0" fontId="29" fillId="4" borderId="0" xfId="0" applyFont="1" applyFill="1" applyAlignment="1">
      <alignment vertical="center"/>
    </xf>
    <xf numFmtId="0" fontId="31" fillId="0" borderId="0" xfId="0" applyFont="1" applyAlignment="1">
      <alignment vertical="top"/>
    </xf>
    <xf numFmtId="0" fontId="31" fillId="0" borderId="0" xfId="0" applyFont="1" applyAlignment="1">
      <alignment horizontal="center" vertical="top" wrapText="1"/>
    </xf>
    <xf numFmtId="0" fontId="31" fillId="0" borderId="0" xfId="0" applyFont="1" applyAlignment="1">
      <alignment horizontal="center" vertical="top"/>
    </xf>
    <xf numFmtId="0" fontId="29" fillId="4" borderId="0" xfId="0" applyFont="1" applyFill="1" applyAlignment="1">
      <alignment horizontal="center" vertical="center"/>
    </xf>
    <xf numFmtId="0" fontId="33" fillId="4" borderId="0" xfId="0" applyFont="1" applyFill="1" applyAlignment="1">
      <alignment horizontal="right" vertical="center"/>
    </xf>
    <xf numFmtId="0" fontId="31" fillId="4" borderId="0" xfId="0" applyFont="1" applyFill="1" applyAlignment="1">
      <alignment horizontal="left" vertical="top"/>
    </xf>
    <xf numFmtId="0" fontId="31" fillId="0" borderId="0" xfId="0" applyFont="1" applyAlignment="1" applyProtection="1">
      <alignment horizontal="left" vertical="top" wrapText="1"/>
      <protection locked="0"/>
    </xf>
    <xf numFmtId="0" fontId="31" fillId="0" borderId="0" xfId="0" applyFont="1" applyAlignment="1">
      <alignment horizontal="left" vertical="top"/>
    </xf>
    <xf numFmtId="14" fontId="31" fillId="0" borderId="0" xfId="0" applyNumberFormat="1" applyFont="1" applyAlignment="1" applyProtection="1">
      <alignment horizontal="center" vertical="center"/>
      <protection locked="0"/>
    </xf>
    <xf numFmtId="14" fontId="31" fillId="0" borderId="0" xfId="0" applyNumberFormat="1" applyFont="1" applyAlignment="1">
      <alignment horizontal="center" vertical="center"/>
    </xf>
    <xf numFmtId="0" fontId="31" fillId="0" borderId="0" xfId="0" applyFont="1" applyAlignment="1">
      <alignment horizontal="center" vertical="center" wrapText="1"/>
    </xf>
    <xf numFmtId="0" fontId="40" fillId="4" borderId="0" xfId="0" applyFont="1" applyFill="1" applyAlignment="1">
      <alignment horizontal="left" vertical="top"/>
    </xf>
    <xf numFmtId="0" fontId="40" fillId="0" borderId="0" xfId="0" applyFont="1" applyAlignment="1" applyProtection="1">
      <alignment horizontal="left" vertical="top" wrapText="1"/>
      <protection locked="0"/>
    </xf>
    <xf numFmtId="0" fontId="40" fillId="0" borderId="0" xfId="0" applyFont="1" applyAlignment="1">
      <alignment horizontal="left" vertical="top"/>
    </xf>
    <xf numFmtId="0" fontId="31" fillId="0" borderId="0" xfId="0" applyFont="1" applyAlignment="1">
      <alignment horizontal="center" vertical="center"/>
    </xf>
    <xf numFmtId="0" fontId="29" fillId="4" borderId="0" xfId="0" applyFont="1" applyFill="1" applyAlignment="1">
      <alignment horizontal="center" vertical="top"/>
    </xf>
    <xf numFmtId="0" fontId="31" fillId="0" borderId="0" xfId="0" applyFont="1" applyAlignment="1">
      <alignment vertical="center"/>
    </xf>
    <xf numFmtId="0" fontId="31" fillId="0" borderId="0" xfId="0" applyFont="1" applyAlignment="1" applyProtection="1">
      <alignment horizontal="center" vertical="center"/>
      <protection locked="0"/>
    </xf>
    <xf numFmtId="0" fontId="33" fillId="4" borderId="0" xfId="0" applyFont="1" applyFill="1" applyAlignment="1">
      <alignment horizontal="center" vertical="center"/>
    </xf>
    <xf numFmtId="0" fontId="31" fillId="0" borderId="0" xfId="0" applyFont="1" applyAlignment="1">
      <alignment horizontal="left" vertical="top" wrapText="1"/>
    </xf>
    <xf numFmtId="0" fontId="28" fillId="0" borderId="0" xfId="0" applyFont="1" applyAlignment="1">
      <alignment horizontal="left" vertical="top"/>
    </xf>
    <xf numFmtId="0" fontId="29" fillId="4" borderId="0" xfId="0" applyFont="1" applyFill="1" applyAlignment="1">
      <alignment horizontal="left" vertical="top"/>
    </xf>
    <xf numFmtId="0" fontId="31" fillId="4" borderId="0" xfId="0" applyFont="1" applyFill="1" applyAlignment="1">
      <alignment horizontal="center" vertical="top"/>
    </xf>
    <xf numFmtId="0" fontId="31" fillId="0" borderId="0" xfId="0" applyFont="1" applyAlignment="1" applyProtection="1">
      <alignment horizontal="center" vertical="top" wrapText="1"/>
      <protection locked="0"/>
    </xf>
    <xf numFmtId="0" fontId="31" fillId="0" borderId="0" xfId="0" applyFont="1" applyAlignment="1">
      <alignment horizontal="center" vertical="center" wrapText="1" shrinkToFit="1"/>
    </xf>
    <xf numFmtId="0" fontId="42" fillId="6" borderId="3" xfId="0" applyFont="1" applyFill="1" applyBorder="1" applyAlignment="1">
      <alignment horizontal="center" vertical="center" wrapText="1"/>
    </xf>
    <xf numFmtId="0" fontId="41" fillId="6" borderId="3" xfId="0" applyFont="1" applyFill="1" applyBorder="1" applyAlignment="1">
      <alignment horizontal="center" vertical="center" wrapText="1" shrinkToFit="1"/>
    </xf>
    <xf numFmtId="0" fontId="41" fillId="4" borderId="3" xfId="0" applyFont="1" applyFill="1" applyBorder="1" applyAlignment="1">
      <alignment horizontal="center" vertical="top" wrapText="1"/>
    </xf>
    <xf numFmtId="0" fontId="27" fillId="4" borderId="3" xfId="0" applyFont="1" applyFill="1" applyBorder="1" applyAlignment="1">
      <alignment horizontal="center" vertical="top" wrapText="1"/>
    </xf>
    <xf numFmtId="0" fontId="45" fillId="0" borderId="3" xfId="0" applyFont="1" applyBorder="1" applyAlignment="1">
      <alignment horizontal="center" vertical="top"/>
    </xf>
    <xf numFmtId="0" fontId="43" fillId="0" borderId="3" xfId="0" applyFont="1" applyBorder="1" applyAlignment="1">
      <alignment vertical="top" wrapText="1"/>
    </xf>
    <xf numFmtId="0" fontId="29" fillId="4" borderId="0" xfId="0" applyFont="1" applyFill="1" applyAlignment="1">
      <alignment horizontal="center" vertical="top" wrapText="1"/>
    </xf>
    <xf numFmtId="0" fontId="47" fillId="0" borderId="0" xfId="0" applyFont="1" applyAlignment="1">
      <alignment horizontal="justify" vertical="center"/>
    </xf>
    <xf numFmtId="0" fontId="48" fillId="0" borderId="3" xfId="0" applyFont="1" applyBorder="1" applyAlignment="1">
      <alignment vertical="top" wrapText="1"/>
    </xf>
    <xf numFmtId="0" fontId="43" fillId="0" borderId="3" xfId="0" quotePrefix="1" applyFont="1" applyBorder="1" applyAlignment="1">
      <alignment horizontal="left" vertical="top" wrapText="1"/>
    </xf>
    <xf numFmtId="0" fontId="27" fillId="0" borderId="3" xfId="0" applyFont="1" applyBorder="1" applyAlignment="1">
      <alignment horizontal="center" vertical="top" wrapText="1"/>
    </xf>
    <xf numFmtId="0" fontId="27" fillId="0" borderId="3" xfId="0" applyFont="1" applyBorder="1" applyAlignment="1">
      <alignment horizontal="left" vertical="top" wrapText="1"/>
    </xf>
    <xf numFmtId="0" fontId="27" fillId="7" borderId="3" xfId="0" applyFont="1" applyFill="1" applyBorder="1" applyAlignment="1">
      <alignment horizontal="center" vertical="top" wrapText="1"/>
    </xf>
    <xf numFmtId="0" fontId="27" fillId="7" borderId="3" xfId="0" applyFont="1" applyFill="1" applyBorder="1" applyAlignment="1">
      <alignment horizontal="left" vertical="top" wrapText="1"/>
    </xf>
    <xf numFmtId="0" fontId="27" fillId="7" borderId="3" xfId="23" applyFont="1" applyFill="1" applyBorder="1" applyAlignment="1">
      <alignment horizontal="center" vertical="top" wrapText="1"/>
    </xf>
    <xf numFmtId="0" fontId="29" fillId="0" borderId="3" xfId="0" applyFont="1" applyBorder="1" applyAlignment="1">
      <alignment horizontal="left" vertical="top" wrapText="1"/>
    </xf>
    <xf numFmtId="0" fontId="27" fillId="0" borderId="3" xfId="0" applyFont="1" applyBorder="1" applyAlignment="1">
      <alignment vertical="top" wrapText="1"/>
    </xf>
    <xf numFmtId="0" fontId="46" fillId="0" borderId="3" xfId="0" applyFont="1" applyBorder="1" applyAlignment="1">
      <alignment horizontal="center" vertical="top"/>
    </xf>
    <xf numFmtId="14" fontId="29" fillId="0" borderId="3" xfId="0" applyNumberFormat="1" applyFont="1" applyBorder="1" applyAlignment="1" applyProtection="1">
      <alignment horizontal="center" vertical="top"/>
      <protection locked="0"/>
    </xf>
    <xf numFmtId="14" fontId="46" fillId="0" borderId="3" xfId="0" applyNumberFormat="1" applyFont="1" applyBorder="1" applyAlignment="1" applyProtection="1">
      <alignment horizontal="center" vertical="top"/>
      <protection locked="0"/>
    </xf>
    <xf numFmtId="0" fontId="43" fillId="7" borderId="3" xfId="0" quotePrefix="1" applyFont="1" applyFill="1" applyBorder="1" applyAlignment="1">
      <alignment horizontal="left" vertical="top" wrapText="1"/>
    </xf>
    <xf numFmtId="0" fontId="43" fillId="7" borderId="3" xfId="0" applyFont="1" applyFill="1" applyBorder="1" applyAlignment="1">
      <alignment horizontal="center" vertical="top" wrapText="1"/>
    </xf>
    <xf numFmtId="0" fontId="43" fillId="7" borderId="3" xfId="0" applyFont="1" applyFill="1" applyBorder="1" applyAlignment="1">
      <alignment horizontal="left" vertical="top" wrapText="1"/>
    </xf>
    <xf numFmtId="0" fontId="28" fillId="0" borderId="0" xfId="0" applyFont="1" applyAlignment="1">
      <alignment horizontal="center" vertical="top"/>
    </xf>
    <xf numFmtId="0" fontId="31" fillId="4" borderId="0" xfId="0" applyFont="1" applyFill="1" applyAlignment="1">
      <alignment vertical="top"/>
    </xf>
    <xf numFmtId="0" fontId="31" fillId="0" borderId="0" xfId="0" applyFont="1" applyAlignment="1" applyProtection="1">
      <alignment vertical="top" wrapText="1"/>
      <protection locked="0"/>
    </xf>
    <xf numFmtId="0" fontId="29" fillId="0" borderId="3" xfId="0" applyFont="1" applyBorder="1" applyAlignment="1">
      <alignment horizontal="left" vertical="top"/>
    </xf>
    <xf numFmtId="0" fontId="27" fillId="0" borderId="3" xfId="23" applyFont="1" applyBorder="1" applyAlignment="1">
      <alignment horizontal="center" vertical="top"/>
    </xf>
    <xf numFmtId="0" fontId="31" fillId="0" borderId="3" xfId="0" applyFont="1" applyBorder="1" applyAlignment="1">
      <alignment horizontal="center" vertical="center"/>
    </xf>
    <xf numFmtId="0" fontId="31" fillId="0" borderId="3" xfId="0" applyFont="1" applyBorder="1" applyAlignment="1">
      <alignment horizontal="center" vertical="center" wrapText="1"/>
    </xf>
    <xf numFmtId="0" fontId="31" fillId="0" borderId="3" xfId="0" applyFont="1" applyBorder="1" applyAlignment="1">
      <alignment vertical="center"/>
    </xf>
    <xf numFmtId="0" fontId="27" fillId="0" borderId="3" xfId="0" quotePrefix="1" applyFont="1" applyBorder="1" applyAlignment="1">
      <alignment horizontal="left" vertical="top" wrapText="1"/>
    </xf>
    <xf numFmtId="0" fontId="31" fillId="0" borderId="0" xfId="0" applyFont="1" applyAlignment="1">
      <alignment horizontal="left" vertical="center" wrapText="1"/>
    </xf>
    <xf numFmtId="14" fontId="31" fillId="9" borderId="3" xfId="0" applyNumberFormat="1" applyFont="1" applyFill="1" applyBorder="1" applyAlignment="1">
      <alignment horizontal="center" vertical="center"/>
    </xf>
    <xf numFmtId="0" fontId="31" fillId="9" borderId="3" xfId="0" applyFont="1" applyFill="1" applyBorder="1" applyAlignment="1">
      <alignment vertical="center"/>
    </xf>
    <xf numFmtId="0" fontId="29" fillId="4" borderId="0" xfId="0" applyFont="1" applyFill="1" applyAlignment="1">
      <alignment horizontal="center" vertical="center" wrapText="1"/>
    </xf>
    <xf numFmtId="0" fontId="40" fillId="4" borderId="0" xfId="0" applyFont="1" applyFill="1" applyAlignment="1">
      <alignment horizontal="left" vertical="center" wrapText="1"/>
    </xf>
    <xf numFmtId="0" fontId="31" fillId="4" borderId="0" xfId="0" applyFont="1" applyFill="1" applyAlignment="1">
      <alignment horizontal="center" vertical="center"/>
    </xf>
    <xf numFmtId="0" fontId="31" fillId="4" borderId="0" xfId="0" applyFont="1" applyFill="1" applyAlignment="1">
      <alignment horizontal="center" vertical="center" wrapText="1"/>
    </xf>
    <xf numFmtId="0" fontId="29" fillId="4" borderId="0" xfId="0" applyFont="1" applyFill="1" applyAlignment="1">
      <alignment horizontal="left" vertical="center" wrapText="1"/>
    </xf>
    <xf numFmtId="0" fontId="40" fillId="0" borderId="0" xfId="0" applyFont="1" applyAlignment="1" applyProtection="1">
      <alignment horizontal="left" vertical="center" wrapText="1"/>
      <protection locked="0"/>
    </xf>
    <xf numFmtId="0" fontId="31" fillId="0" borderId="0" xfId="0" applyFont="1" applyAlignment="1" applyProtection="1">
      <alignment horizontal="center" vertical="center" wrapText="1"/>
      <protection locked="0"/>
    </xf>
    <xf numFmtId="0" fontId="27" fillId="0" borderId="3" xfId="23" applyFont="1" applyBorder="1" applyAlignment="1">
      <alignment horizontal="center" vertical="center" wrapText="1"/>
    </xf>
    <xf numFmtId="0" fontId="43" fillId="0" borderId="3" xfId="0" applyFont="1" applyBorder="1" applyAlignment="1">
      <alignment horizontal="left" vertical="center" wrapText="1"/>
    </xf>
    <xf numFmtId="0" fontId="43" fillId="4" borderId="3" xfId="0" quotePrefix="1" applyFont="1" applyFill="1" applyBorder="1" applyAlignment="1">
      <alignment horizontal="left" vertical="center" wrapText="1"/>
    </xf>
    <xf numFmtId="0" fontId="27" fillId="4" borderId="3" xfId="0" applyFont="1" applyFill="1" applyBorder="1" applyAlignment="1">
      <alignment horizontal="center" vertical="center" wrapText="1"/>
    </xf>
    <xf numFmtId="0" fontId="43" fillId="4" borderId="3" xfId="0" applyFont="1" applyFill="1" applyBorder="1" applyAlignment="1">
      <alignment horizontal="center" vertical="center" wrapText="1"/>
    </xf>
    <xf numFmtId="0" fontId="44" fillId="4" borderId="3" xfId="0" applyFont="1" applyFill="1" applyBorder="1" applyAlignment="1">
      <alignment horizontal="center" vertical="center" wrapText="1"/>
    </xf>
    <xf numFmtId="0" fontId="45" fillId="4" borderId="3" xfId="0" applyFont="1" applyFill="1" applyBorder="1" applyAlignment="1">
      <alignment horizontal="center" vertical="center"/>
    </xf>
    <xf numFmtId="183" fontId="27" fillId="4" borderId="3" xfId="0" applyNumberFormat="1" applyFont="1" applyFill="1" applyBorder="1" applyAlignment="1">
      <alignment horizontal="left" vertical="center" wrapText="1"/>
    </xf>
    <xf numFmtId="0" fontId="27" fillId="0" borderId="3" xfId="0" applyFont="1" applyBorder="1" applyAlignment="1">
      <alignment horizontal="center" vertical="center" wrapText="1"/>
    </xf>
    <xf numFmtId="0" fontId="29" fillId="0" borderId="3" xfId="0" applyFont="1" applyBorder="1" applyAlignment="1">
      <alignment horizontal="center" vertical="center"/>
    </xf>
    <xf numFmtId="183" fontId="43" fillId="4" borderId="3" xfId="0" applyNumberFormat="1" applyFont="1" applyFill="1" applyBorder="1" applyAlignment="1">
      <alignment horizontal="left" vertical="center" wrapText="1"/>
    </xf>
    <xf numFmtId="0" fontId="43" fillId="4" borderId="3" xfId="0" applyFont="1" applyFill="1" applyBorder="1" applyAlignment="1">
      <alignment horizontal="left" vertical="center" wrapText="1"/>
    </xf>
    <xf numFmtId="0" fontId="29" fillId="0" borderId="0" xfId="0" applyFont="1" applyAlignment="1">
      <alignment horizontal="center" vertical="center"/>
    </xf>
    <xf numFmtId="0" fontId="43" fillId="0" borderId="3" xfId="0" quotePrefix="1" applyFont="1" applyBorder="1" applyAlignment="1">
      <alignment horizontal="left" vertical="center" wrapText="1"/>
    </xf>
    <xf numFmtId="0" fontId="43" fillId="0" borderId="3" xfId="0" applyFont="1" applyBorder="1" applyAlignment="1">
      <alignment horizontal="center" vertical="center" wrapText="1"/>
    </xf>
    <xf numFmtId="183" fontId="27" fillId="0" borderId="3" xfId="0" applyNumberFormat="1" applyFont="1" applyBorder="1" applyAlignment="1">
      <alignment horizontal="left" vertical="center" wrapText="1"/>
    </xf>
    <xf numFmtId="0" fontId="29" fillId="4" borderId="3" xfId="0" applyFont="1" applyFill="1" applyBorder="1" applyAlignment="1">
      <alignment horizontal="left" vertical="center" wrapText="1"/>
    </xf>
    <xf numFmtId="0" fontId="29" fillId="0" borderId="7" xfId="0" applyFont="1" applyBorder="1" applyAlignment="1">
      <alignment horizontal="center" vertical="center"/>
    </xf>
    <xf numFmtId="0" fontId="29" fillId="4" borderId="3" xfId="0" applyFont="1" applyFill="1" applyBorder="1" applyAlignment="1">
      <alignment horizontal="center" vertical="center" wrapText="1"/>
    </xf>
    <xf numFmtId="0" fontId="27" fillId="4" borderId="3" xfId="23" applyFont="1" applyFill="1" applyBorder="1" applyAlignment="1">
      <alignment horizontal="center" vertical="center" wrapText="1"/>
    </xf>
    <xf numFmtId="0" fontId="32" fillId="4" borderId="3" xfId="0" applyFont="1" applyFill="1" applyBorder="1" applyAlignment="1">
      <alignment horizontal="left" vertical="top" wrapText="1"/>
    </xf>
    <xf numFmtId="0" fontId="46" fillId="0" borderId="3" xfId="0" applyFont="1" applyBorder="1" applyAlignment="1">
      <alignment horizontal="center" vertical="center" wrapText="1"/>
    </xf>
    <xf numFmtId="0" fontId="46" fillId="0" borderId="3" xfId="0" applyFont="1" applyBorder="1" applyAlignment="1">
      <alignment horizontal="left" vertical="center" wrapText="1"/>
    </xf>
    <xf numFmtId="0" fontId="50" fillId="0" borderId="3" xfId="0" applyFont="1" applyBorder="1" applyAlignment="1">
      <alignment horizontal="left" vertical="center" wrapText="1"/>
    </xf>
    <xf numFmtId="0" fontId="46" fillId="4" borderId="3" xfId="0" applyFont="1" applyFill="1" applyBorder="1" applyAlignment="1">
      <alignment horizontal="center" vertical="center"/>
    </xf>
    <xf numFmtId="0" fontId="46" fillId="9" borderId="3" xfId="0" applyFont="1" applyFill="1" applyBorder="1" applyAlignment="1">
      <alignment horizontal="center" vertical="center" wrapText="1"/>
    </xf>
    <xf numFmtId="0" fontId="27" fillId="9" borderId="3" xfId="23" applyFont="1" applyFill="1" applyBorder="1" applyAlignment="1">
      <alignment horizontal="center" vertical="center" wrapText="1"/>
    </xf>
    <xf numFmtId="0" fontId="43" fillId="9" borderId="3" xfId="0" applyFont="1" applyFill="1" applyBorder="1" applyAlignment="1">
      <alignment horizontal="center" vertical="center" wrapText="1"/>
    </xf>
    <xf numFmtId="0" fontId="44" fillId="9" borderId="3" xfId="0" applyFont="1" applyFill="1" applyBorder="1" applyAlignment="1">
      <alignment horizontal="center" vertical="center" wrapText="1"/>
    </xf>
    <xf numFmtId="0" fontId="45" fillId="9" borderId="3" xfId="0" applyFont="1" applyFill="1" applyBorder="1" applyAlignment="1">
      <alignment horizontal="center" vertical="center"/>
    </xf>
    <xf numFmtId="0" fontId="46" fillId="9" borderId="3" xfId="0" applyFont="1" applyFill="1" applyBorder="1" applyAlignment="1">
      <alignment horizontal="left" vertical="center" wrapText="1"/>
    </xf>
    <xf numFmtId="0" fontId="46" fillId="9" borderId="3" xfId="0" applyFont="1" applyFill="1" applyBorder="1" applyAlignment="1">
      <alignment horizontal="center" vertical="center"/>
    </xf>
    <xf numFmtId="0" fontId="46" fillId="4" borderId="3" xfId="0" applyFont="1" applyFill="1" applyBorder="1" applyAlignment="1">
      <alignment horizontal="left" vertical="center" wrapText="1"/>
    </xf>
    <xf numFmtId="0" fontId="50" fillId="4" borderId="3" xfId="0" applyFont="1" applyFill="1" applyBorder="1" applyAlignment="1">
      <alignment horizontal="left" vertical="center" wrapText="1"/>
    </xf>
    <xf numFmtId="0" fontId="44" fillId="0" borderId="3" xfId="26" applyFont="1" applyFill="1" applyBorder="1" applyAlignment="1">
      <alignment horizontal="center" vertical="center"/>
    </xf>
    <xf numFmtId="0" fontId="29" fillId="4" borderId="3" xfId="0" applyFont="1" applyFill="1" applyBorder="1" applyAlignment="1">
      <alignment horizontal="center" vertical="center"/>
    </xf>
    <xf numFmtId="0" fontId="44" fillId="0" borderId="3" xfId="26" applyFont="1" applyFill="1" applyBorder="1" applyAlignment="1">
      <alignment horizontal="left" vertical="center" wrapText="1"/>
    </xf>
    <xf numFmtId="0" fontId="46" fillId="0" borderId="3" xfId="0" applyFont="1" applyBorder="1" applyAlignment="1">
      <alignment horizontal="center" vertical="center"/>
    </xf>
    <xf numFmtId="49" fontId="47" fillId="0" borderId="10" xfId="0" applyNumberFormat="1" applyFont="1" applyBorder="1" applyAlignment="1">
      <alignment horizontal="left" vertical="center" wrapText="1"/>
    </xf>
    <xf numFmtId="0" fontId="57" fillId="0" borderId="12" xfId="0" applyFont="1" applyBorder="1" applyAlignment="1">
      <alignment horizontal="left" vertical="center" wrapText="1"/>
    </xf>
    <xf numFmtId="0" fontId="58" fillId="0" borderId="12" xfId="0" applyFont="1" applyBorder="1" applyAlignment="1">
      <alignment horizontal="left" vertical="center" wrapText="1"/>
    </xf>
    <xf numFmtId="49" fontId="47" fillId="0" borderId="12" xfId="0" applyNumberFormat="1" applyFont="1" applyBorder="1" applyAlignment="1">
      <alignment horizontal="left" vertical="center" wrapText="1"/>
    </xf>
    <xf numFmtId="0" fontId="47" fillId="0" borderId="12" xfId="0" applyFont="1" applyBorder="1" applyAlignment="1">
      <alignment horizontal="center" vertical="center" wrapText="1"/>
    </xf>
    <xf numFmtId="0" fontId="47" fillId="0" borderId="14" xfId="0" applyFont="1" applyBorder="1" applyAlignment="1">
      <alignment horizontal="center" vertical="center" wrapText="1"/>
    </xf>
    <xf numFmtId="0" fontId="47" fillId="0" borderId="3" xfId="0" applyFont="1" applyBorder="1" applyAlignment="1">
      <alignment horizontal="center" vertical="center" wrapText="1"/>
    </xf>
    <xf numFmtId="49" fontId="58" fillId="0" borderId="12" xfId="0" applyNumberFormat="1" applyFont="1" applyBorder="1" applyAlignment="1">
      <alignment horizontal="left" vertical="center" wrapText="1"/>
    </xf>
    <xf numFmtId="49" fontId="47" fillId="0" borderId="15" xfId="0" applyNumberFormat="1" applyFont="1" applyBorder="1" applyAlignment="1">
      <alignment horizontal="left" vertical="center" wrapText="1"/>
    </xf>
    <xf numFmtId="0" fontId="47" fillId="0" borderId="16" xfId="0" applyFont="1" applyBorder="1" applyAlignment="1">
      <alignment horizontal="center" vertical="center" wrapText="1"/>
    </xf>
    <xf numFmtId="0" fontId="57" fillId="0" borderId="17" xfId="0" applyFont="1" applyBorder="1" applyAlignment="1">
      <alignment horizontal="left" vertical="center" wrapText="1"/>
    </xf>
    <xf numFmtId="49" fontId="47" fillId="0" borderId="18" xfId="0" applyNumberFormat="1" applyFont="1" applyBorder="1" applyAlignment="1">
      <alignment horizontal="left" vertical="center" wrapText="1"/>
    </xf>
    <xf numFmtId="0" fontId="47" fillId="0" borderId="17" xfId="0" applyFont="1" applyBorder="1" applyAlignment="1">
      <alignment horizontal="center" vertical="center" wrapText="1"/>
    </xf>
    <xf numFmtId="0" fontId="40" fillId="0" borderId="0" xfId="0" applyFont="1" applyAlignment="1">
      <alignment horizontal="left" vertical="center" wrapText="1"/>
    </xf>
    <xf numFmtId="0" fontId="29" fillId="11" borderId="0" xfId="27" applyFont="1" applyFill="1" applyAlignment="1">
      <alignment horizontal="center" vertical="center"/>
    </xf>
    <xf numFmtId="0" fontId="14" fillId="11" borderId="0" xfId="27" applyFill="1" applyAlignment="1">
      <alignment vertical="center"/>
    </xf>
    <xf numFmtId="0" fontId="29" fillId="11" borderId="0" xfId="27" applyFont="1" applyFill="1" applyAlignment="1">
      <alignment horizontal="left" vertical="center"/>
    </xf>
    <xf numFmtId="0" fontId="29" fillId="11" borderId="0" xfId="27" applyFont="1" applyFill="1" applyAlignment="1">
      <alignment vertical="center"/>
    </xf>
    <xf numFmtId="0" fontId="61" fillId="11" borderId="0" xfId="27" applyFont="1" applyFill="1" applyAlignment="1">
      <alignment horizontal="left" vertical="center"/>
    </xf>
    <xf numFmtId="0" fontId="63" fillId="11" borderId="0" xfId="28" applyFont="1" applyFill="1" applyAlignment="1">
      <alignment horizontal="center" vertical="center"/>
    </xf>
    <xf numFmtId="0" fontId="62" fillId="12" borderId="20" xfId="29" applyFont="1" applyFill="1" applyBorder="1" applyAlignment="1">
      <alignment horizontal="center" vertical="center" wrapText="1"/>
    </xf>
    <xf numFmtId="0" fontId="63" fillId="12" borderId="23" xfId="28" applyFont="1" applyFill="1" applyBorder="1" applyAlignment="1">
      <alignment horizontal="center" vertical="center" wrapText="1"/>
    </xf>
    <xf numFmtId="0" fontId="62" fillId="12" borderId="24" xfId="29" applyFont="1" applyFill="1" applyBorder="1" applyAlignment="1">
      <alignment horizontal="center" vertical="center" wrapText="1"/>
    </xf>
    <xf numFmtId="0" fontId="62" fillId="12" borderId="25" xfId="29" applyFont="1" applyFill="1" applyBorder="1" applyAlignment="1">
      <alignment horizontal="center" vertical="center" wrapText="1"/>
    </xf>
    <xf numFmtId="41" fontId="63" fillId="12" borderId="28" xfId="30" applyFont="1" applyFill="1" applyBorder="1" applyAlignment="1">
      <alignment horizontal="center" vertical="center"/>
    </xf>
    <xf numFmtId="0" fontId="31" fillId="13" borderId="24" xfId="27" applyFont="1" applyFill="1" applyBorder="1" applyAlignment="1">
      <alignment horizontal="center" vertical="center"/>
    </xf>
    <xf numFmtId="0" fontId="31" fillId="13" borderId="25" xfId="27" applyFont="1" applyFill="1" applyBorder="1" applyAlignment="1">
      <alignment horizontal="center" vertical="center"/>
    </xf>
    <xf numFmtId="0" fontId="66" fillId="13" borderId="25" xfId="31" applyFont="1" applyFill="1" applyBorder="1" applyAlignment="1" applyProtection="1">
      <alignment horizontal="center" vertical="center"/>
      <protection locked="0"/>
    </xf>
    <xf numFmtId="0" fontId="66" fillId="13" borderId="27" xfId="31" applyFont="1" applyFill="1" applyBorder="1" applyAlignment="1" applyProtection="1">
      <alignment horizontal="center" vertical="center"/>
      <protection locked="0"/>
    </xf>
    <xf numFmtId="0" fontId="31" fillId="0" borderId="0" xfId="27" applyFont="1" applyAlignment="1">
      <alignment vertical="center"/>
    </xf>
    <xf numFmtId="0" fontId="66" fillId="0" borderId="24" xfId="31" applyFont="1" applyBorder="1" applyAlignment="1" applyProtection="1">
      <alignment horizontal="center" vertical="center"/>
      <protection locked="0"/>
    </xf>
    <xf numFmtId="184" fontId="66" fillId="0" borderId="25" xfId="32" applyNumberFormat="1" applyFont="1" applyFill="1" applyBorder="1" applyAlignment="1" applyProtection="1">
      <alignment vertical="center"/>
    </xf>
    <xf numFmtId="185" fontId="66" fillId="0" borderId="25" xfId="29" applyNumberFormat="1" applyFont="1" applyBorder="1" applyAlignment="1">
      <alignment horizontal="center" vertical="center"/>
    </xf>
    <xf numFmtId="185" fontId="66" fillId="0" borderId="25" xfId="29" applyNumberFormat="1" applyFont="1" applyBorder="1">
      <alignment vertical="center"/>
    </xf>
    <xf numFmtId="0" fontId="31" fillId="0" borderId="25" xfId="27" applyFont="1" applyBorder="1" applyAlignment="1">
      <alignment horizontal="center" vertical="center"/>
    </xf>
    <xf numFmtId="0" fontId="31" fillId="0" borderId="27" xfId="27" applyFont="1" applyBorder="1" applyAlignment="1">
      <alignment vertical="center"/>
    </xf>
    <xf numFmtId="0" fontId="31" fillId="11" borderId="0" xfId="27" applyFont="1" applyFill="1" applyAlignment="1">
      <alignment vertical="center"/>
    </xf>
    <xf numFmtId="0" fontId="66" fillId="13" borderId="25" xfId="29" applyFont="1" applyFill="1" applyBorder="1" applyAlignment="1" applyProtection="1">
      <alignment horizontal="center" vertical="center"/>
      <protection locked="0"/>
    </xf>
    <xf numFmtId="41" fontId="66" fillId="0" borderId="24" xfId="32" applyFont="1" applyFill="1" applyBorder="1" applyAlignment="1" applyProtection="1">
      <alignment horizontal="center" vertical="center"/>
      <protection locked="0"/>
    </xf>
    <xf numFmtId="0" fontId="31" fillId="0" borderId="24" xfId="27" applyFont="1" applyBorder="1" applyAlignment="1">
      <alignment horizontal="center" vertical="center"/>
    </xf>
    <xf numFmtId="0" fontId="66" fillId="0" borderId="25" xfId="31" applyFont="1" applyBorder="1" applyAlignment="1" applyProtection="1">
      <alignment horizontal="center" vertical="center"/>
      <protection locked="0"/>
    </xf>
    <xf numFmtId="0" fontId="68" fillId="0" borderId="25" xfId="33" applyFont="1" applyBorder="1" applyAlignment="1" applyProtection="1">
      <alignment horizontal="center" vertical="center" wrapText="1"/>
      <protection locked="0"/>
    </xf>
    <xf numFmtId="0" fontId="66" fillId="0" borderId="25" xfId="33" applyFont="1" applyBorder="1" applyAlignment="1" applyProtection="1">
      <alignment horizontal="center" vertical="center" wrapText="1"/>
      <protection locked="0"/>
    </xf>
    <xf numFmtId="0" fontId="66" fillId="0" borderId="27" xfId="29" applyFont="1" applyBorder="1" applyAlignment="1" applyProtection="1">
      <alignment horizontal="center" vertical="center"/>
      <protection locked="0"/>
    </xf>
    <xf numFmtId="0" fontId="66" fillId="0" borderId="24" xfId="29" applyFont="1" applyBorder="1" applyAlignment="1" applyProtection="1">
      <alignment horizontal="center" vertical="center"/>
      <protection locked="0"/>
    </xf>
    <xf numFmtId="0" fontId="28" fillId="0" borderId="24" xfId="31" applyFont="1" applyBorder="1" applyAlignment="1" applyProtection="1">
      <alignment horizontal="center" vertical="center"/>
      <protection locked="0"/>
    </xf>
    <xf numFmtId="0" fontId="68" fillId="13" borderId="25" xfId="33" applyFont="1" applyFill="1" applyBorder="1" applyAlignment="1" applyProtection="1">
      <alignment horizontal="center" vertical="center" wrapText="1"/>
      <protection locked="0"/>
    </xf>
    <xf numFmtId="0" fontId="68" fillId="13" borderId="27" xfId="33" applyFont="1" applyFill="1" applyBorder="1" applyAlignment="1" applyProtection="1">
      <alignment horizontal="center" vertical="center" wrapText="1"/>
      <protection locked="0"/>
    </xf>
    <xf numFmtId="0" fontId="38" fillId="13" borderId="25" xfId="29" applyFont="1" applyFill="1" applyBorder="1" applyAlignment="1">
      <alignment horizontal="center" vertical="center"/>
    </xf>
    <xf numFmtId="0" fontId="38" fillId="13" borderId="27" xfId="29" applyFont="1" applyFill="1" applyBorder="1" applyAlignment="1">
      <alignment horizontal="center" vertical="center"/>
    </xf>
    <xf numFmtId="0" fontId="68" fillId="0" borderId="27" xfId="33" applyFont="1" applyBorder="1" applyAlignment="1" applyProtection="1">
      <alignment horizontal="center" vertical="center" wrapText="1"/>
      <protection locked="0"/>
    </xf>
    <xf numFmtId="0" fontId="68" fillId="0" borderId="25" xfId="29" applyFont="1" applyBorder="1" applyAlignment="1">
      <alignment horizontal="center" vertical="center"/>
    </xf>
    <xf numFmtId="0" fontId="68" fillId="0" borderId="27" xfId="29" applyFont="1" applyBorder="1" applyAlignment="1">
      <alignment horizontal="center" vertical="center"/>
    </xf>
    <xf numFmtId="0" fontId="66" fillId="0" borderId="25" xfId="29" applyFont="1" applyBorder="1" applyAlignment="1">
      <alignment horizontal="center" vertical="center"/>
    </xf>
    <xf numFmtId="0" fontId="66" fillId="0" borderId="27" xfId="29" applyFont="1" applyBorder="1" applyAlignment="1">
      <alignment horizontal="center" vertical="center"/>
    </xf>
    <xf numFmtId="0" fontId="66" fillId="13" borderId="25" xfId="29" applyFont="1" applyFill="1" applyBorder="1" applyAlignment="1">
      <alignment horizontal="center" vertical="center"/>
    </xf>
    <xf numFmtId="0" fontId="31" fillId="0" borderId="29" xfId="27" applyFont="1" applyBorder="1" applyAlignment="1">
      <alignment horizontal="center" vertical="center"/>
    </xf>
    <xf numFmtId="0" fontId="31" fillId="0" borderId="30" xfId="27" applyFont="1" applyBorder="1" applyAlignment="1">
      <alignment horizontal="center" vertical="center"/>
    </xf>
    <xf numFmtId="0" fontId="66" fillId="0" borderId="30" xfId="31" applyFont="1" applyBorder="1" applyAlignment="1" applyProtection="1">
      <alignment horizontal="center" vertical="center"/>
      <protection locked="0"/>
    </xf>
    <xf numFmtId="0" fontId="68" fillId="0" borderId="30" xfId="33" applyFont="1" applyBorder="1" applyAlignment="1" applyProtection="1">
      <alignment horizontal="center" vertical="center" wrapText="1"/>
      <protection locked="0"/>
    </xf>
    <xf numFmtId="0" fontId="68" fillId="0" borderId="31" xfId="33" applyFont="1" applyBorder="1" applyAlignment="1" applyProtection="1">
      <alignment horizontal="center" vertical="center" wrapText="1"/>
      <protection locked="0"/>
    </xf>
    <xf numFmtId="0" fontId="66" fillId="0" borderId="29" xfId="31" applyFont="1" applyBorder="1" applyAlignment="1" applyProtection="1">
      <alignment horizontal="center" vertical="center"/>
      <protection locked="0"/>
    </xf>
    <xf numFmtId="184" fontId="66" fillId="0" borderId="30" xfId="32" applyNumberFormat="1" applyFont="1" applyFill="1" applyBorder="1" applyAlignment="1" applyProtection="1">
      <alignment vertical="center"/>
    </xf>
    <xf numFmtId="185" fontId="66" fillId="0" borderId="30" xfId="29" applyNumberFormat="1" applyFont="1" applyBorder="1" applyAlignment="1">
      <alignment horizontal="center" vertical="center"/>
    </xf>
    <xf numFmtId="185" fontId="66" fillId="0" borderId="30" xfId="29" applyNumberFormat="1" applyFont="1" applyBorder="1">
      <alignment vertical="center"/>
    </xf>
    <xf numFmtId="0" fontId="31" fillId="11" borderId="0" xfId="27" applyFont="1" applyFill="1" applyAlignment="1">
      <alignment horizontal="center" vertical="center"/>
    </xf>
    <xf numFmtId="0" fontId="30" fillId="11" borderId="0" xfId="27" applyFont="1" applyFill="1" applyAlignment="1">
      <alignment horizontal="center" vertical="center"/>
    </xf>
    <xf numFmtId="0" fontId="30" fillId="11" borderId="0" xfId="27" applyFont="1" applyFill="1" applyAlignment="1">
      <alignment horizontal="left" vertical="center"/>
    </xf>
    <xf numFmtId="0" fontId="31" fillId="11" borderId="0" xfId="27" applyFont="1" applyFill="1" applyAlignment="1">
      <alignment horizontal="left" vertical="center"/>
    </xf>
    <xf numFmtId="0" fontId="64" fillId="0" borderId="0" xfId="29">
      <alignment vertical="center"/>
    </xf>
    <xf numFmtId="0" fontId="63" fillId="12" borderId="22" xfId="28" applyFont="1" applyFill="1" applyBorder="1" applyAlignment="1">
      <alignment horizontal="center" vertical="center" wrapText="1"/>
    </xf>
    <xf numFmtId="41" fontId="63" fillId="12" borderId="27" xfId="30" applyFont="1" applyFill="1" applyBorder="1" applyAlignment="1">
      <alignment horizontal="center" vertical="center"/>
    </xf>
    <xf numFmtId="0" fontId="68" fillId="13" borderId="25" xfId="27" applyFont="1" applyFill="1" applyBorder="1" applyAlignment="1">
      <alignment horizontal="center" vertical="center"/>
    </xf>
    <xf numFmtId="0" fontId="66" fillId="13" borderId="25" xfId="29" applyFont="1" applyFill="1" applyBorder="1" applyAlignment="1" applyProtection="1">
      <alignment horizontal="center" vertical="center" wrapText="1"/>
      <protection locked="0"/>
    </xf>
    <xf numFmtId="0" fontId="66" fillId="13" borderId="27" xfId="29" applyFont="1" applyFill="1" applyBorder="1" applyAlignment="1" applyProtection="1">
      <alignment horizontal="center" vertical="center" wrapText="1"/>
      <protection locked="0"/>
    </xf>
    <xf numFmtId="184" fontId="66" fillId="0" borderId="25" xfId="29" applyNumberFormat="1" applyFont="1" applyBorder="1" applyProtection="1">
      <alignment vertical="center"/>
      <protection locked="0"/>
    </xf>
    <xf numFmtId="41" fontId="31" fillId="11" borderId="27" xfId="34" applyFont="1" applyFill="1" applyBorder="1" applyAlignment="1">
      <alignment vertical="center"/>
    </xf>
    <xf numFmtId="0" fontId="68" fillId="0" borderId="25" xfId="27" applyFont="1" applyBorder="1" applyAlignment="1">
      <alignment horizontal="center" vertical="center"/>
    </xf>
    <xf numFmtId="0" fontId="66" fillId="0" borderId="25" xfId="29" applyFont="1" applyBorder="1" applyAlignment="1" applyProtection="1">
      <alignment horizontal="center" vertical="center" wrapText="1"/>
      <protection locked="0"/>
    </xf>
    <xf numFmtId="0" fontId="66" fillId="0" borderId="27" xfId="29" applyFont="1" applyBorder="1" applyAlignment="1" applyProtection="1">
      <alignment horizontal="center" vertical="center" wrapText="1"/>
      <protection locked="0"/>
    </xf>
    <xf numFmtId="184" fontId="66" fillId="0" borderId="25" xfId="29" applyNumberFormat="1" applyFont="1" applyBorder="1" applyAlignment="1">
      <alignment horizontal="center" vertical="center"/>
    </xf>
    <xf numFmtId="0" fontId="66" fillId="0" borderId="25" xfId="29" applyFont="1" applyBorder="1" applyAlignment="1" applyProtection="1">
      <alignment horizontal="center" vertical="center"/>
      <protection locked="0"/>
    </xf>
    <xf numFmtId="41" fontId="31" fillId="0" borderId="27" xfId="34" applyFont="1" applyFill="1" applyBorder="1" applyAlignment="1">
      <alignment vertical="center"/>
    </xf>
    <xf numFmtId="184" fontId="66" fillId="0" borderId="24" xfId="29" applyNumberFormat="1" applyFont="1" applyBorder="1" applyAlignment="1" applyProtection="1">
      <alignment horizontal="center" vertical="center"/>
      <protection locked="0"/>
    </xf>
    <xf numFmtId="0" fontId="69" fillId="0" borderId="0" xfId="27" applyFont="1" applyAlignment="1">
      <alignment vertical="center"/>
    </xf>
    <xf numFmtId="0" fontId="66" fillId="13" borderId="27" xfId="29" applyFont="1" applyFill="1" applyBorder="1" applyAlignment="1" applyProtection="1">
      <alignment horizontal="center" vertical="center"/>
      <protection locked="0"/>
    </xf>
    <xf numFmtId="0" fontId="31" fillId="13" borderId="27" xfId="27" applyFont="1" applyFill="1" applyBorder="1" applyAlignment="1">
      <alignment horizontal="center" vertical="center"/>
    </xf>
    <xf numFmtId="0" fontId="31" fillId="0" borderId="25" xfId="27" applyFont="1" applyBorder="1" applyAlignment="1">
      <alignment vertical="center"/>
    </xf>
    <xf numFmtId="0" fontId="31" fillId="11" borderId="27" xfId="27" applyFont="1" applyFill="1" applyBorder="1" applyAlignment="1">
      <alignment vertical="center"/>
    </xf>
    <xf numFmtId="0" fontId="68" fillId="0" borderId="25" xfId="29" applyFont="1" applyBorder="1" applyAlignment="1" applyProtection="1">
      <alignment horizontal="center" vertical="center" wrapText="1"/>
      <protection locked="0"/>
    </xf>
    <xf numFmtId="0" fontId="68" fillId="0" borderId="27" xfId="29" applyFont="1" applyBorder="1" applyAlignment="1" applyProtection="1">
      <alignment horizontal="center" vertical="center" wrapText="1"/>
      <protection locked="0"/>
    </xf>
    <xf numFmtId="0" fontId="68" fillId="13" borderId="25" xfId="29" applyFont="1" applyFill="1" applyBorder="1" applyAlignment="1" applyProtection="1">
      <alignment horizontal="center" vertical="center" wrapText="1"/>
      <protection locked="0"/>
    </xf>
    <xf numFmtId="0" fontId="68" fillId="13" borderId="27" xfId="29" applyFont="1" applyFill="1" applyBorder="1" applyAlignment="1" applyProtection="1">
      <alignment horizontal="center" vertical="center" wrapText="1"/>
      <protection locked="0"/>
    </xf>
    <xf numFmtId="0" fontId="68" fillId="0" borderId="24" xfId="35" applyFont="1" applyBorder="1" applyAlignment="1" applyProtection="1">
      <alignment horizontal="center" vertical="top" wrapText="1"/>
      <protection locked="0"/>
    </xf>
    <xf numFmtId="0" fontId="68" fillId="13" borderId="30" xfId="27" applyFont="1" applyFill="1" applyBorder="1" applyAlignment="1">
      <alignment horizontal="center" vertical="center"/>
    </xf>
    <xf numFmtId="0" fontId="68" fillId="13" borderId="30" xfId="29" applyFont="1" applyFill="1" applyBorder="1" applyAlignment="1" applyProtection="1">
      <alignment horizontal="center" vertical="center" wrapText="1"/>
      <protection locked="0"/>
    </xf>
    <xf numFmtId="0" fontId="66" fillId="13" borderId="30" xfId="29" applyFont="1" applyFill="1" applyBorder="1" applyAlignment="1" applyProtection="1">
      <alignment horizontal="center" vertical="center" wrapText="1"/>
      <protection locked="0"/>
    </xf>
    <xf numFmtId="0" fontId="68" fillId="13" borderId="31" xfId="29" applyFont="1" applyFill="1" applyBorder="1" applyAlignment="1" applyProtection="1">
      <alignment horizontal="center" vertical="center" wrapText="1"/>
      <protection locked="0"/>
    </xf>
    <xf numFmtId="0" fontId="68" fillId="0" borderId="29" xfId="35" applyFont="1" applyBorder="1" applyAlignment="1" applyProtection="1">
      <alignment horizontal="center" vertical="top" wrapText="1"/>
      <protection locked="0"/>
    </xf>
    <xf numFmtId="0" fontId="66" fillId="0" borderId="30" xfId="29" applyFont="1" applyBorder="1" applyAlignment="1" applyProtection="1">
      <alignment horizontal="center" vertical="center"/>
      <protection locked="0"/>
    </xf>
    <xf numFmtId="41" fontId="31" fillId="11" borderId="31" xfId="34" applyFont="1" applyFill="1" applyBorder="1" applyAlignment="1">
      <alignment vertical="center"/>
    </xf>
    <xf numFmtId="0" fontId="64" fillId="0" borderId="0" xfId="29" applyAlignment="1">
      <alignment horizontal="center" vertical="center"/>
    </xf>
    <xf numFmtId="0" fontId="71" fillId="13" borderId="25" xfId="29" applyFont="1" applyFill="1" applyBorder="1" applyAlignment="1">
      <alignment horizontal="center" vertical="center"/>
    </xf>
    <xf numFmtId="0" fontId="28" fillId="13" borderId="27" xfId="29" applyFont="1" applyFill="1" applyBorder="1" applyAlignment="1">
      <alignment horizontal="center" vertical="center"/>
    </xf>
    <xf numFmtId="0" fontId="71" fillId="0" borderId="25" xfId="29" applyFont="1" applyBorder="1" applyAlignment="1">
      <alignment horizontal="center" vertical="center"/>
    </xf>
    <xf numFmtId="0" fontId="28" fillId="0" borderId="27" xfId="29" applyFont="1" applyBorder="1" applyAlignment="1">
      <alignment horizontal="center" vertical="center"/>
    </xf>
    <xf numFmtId="0" fontId="71" fillId="0" borderId="27" xfId="29" applyFont="1" applyBorder="1" applyAlignment="1">
      <alignment horizontal="center" vertical="center"/>
    </xf>
    <xf numFmtId="0" fontId="66" fillId="0" borderId="25" xfId="36" applyFont="1" applyBorder="1" applyAlignment="1" applyProtection="1">
      <alignment horizontal="center" vertical="center" wrapText="1"/>
      <protection locked="0"/>
    </xf>
    <xf numFmtId="0" fontId="66" fillId="0" borderId="27" xfId="36" applyFont="1" applyBorder="1" applyAlignment="1" applyProtection="1">
      <alignment horizontal="center" vertical="center" wrapText="1"/>
      <protection locked="0"/>
    </xf>
    <xf numFmtId="0" fontId="66" fillId="0" borderId="0" xfId="36" applyFont="1" applyAlignment="1" applyProtection="1">
      <alignment horizontal="left" vertical="center" wrapText="1"/>
      <protection locked="0"/>
    </xf>
    <xf numFmtId="0" fontId="66" fillId="0" borderId="24" xfId="37" applyFont="1" applyBorder="1" applyAlignment="1" applyProtection="1">
      <alignment horizontal="center" vertical="center"/>
      <protection locked="0"/>
    </xf>
    <xf numFmtId="0" fontId="66" fillId="0" borderId="27" xfId="37" applyFont="1" applyBorder="1" applyAlignment="1" applyProtection="1">
      <alignment horizontal="center" vertical="center" wrapText="1"/>
      <protection locked="0"/>
    </xf>
    <xf numFmtId="0" fontId="66" fillId="0" borderId="0" xfId="37" applyFont="1" applyAlignment="1" applyProtection="1">
      <alignment horizontal="left" vertical="center" wrapText="1"/>
      <protection locked="0"/>
    </xf>
    <xf numFmtId="0" fontId="68" fillId="0" borderId="25" xfId="35" applyFont="1" applyBorder="1" applyAlignment="1" applyProtection="1">
      <alignment horizontal="center" vertical="center" wrapText="1"/>
      <protection locked="0"/>
    </xf>
    <xf numFmtId="0" fontId="68" fillId="0" borderId="27" xfId="35" applyFont="1" applyBorder="1" applyAlignment="1" applyProtection="1">
      <alignment horizontal="center" vertical="center" wrapText="1"/>
      <protection locked="0"/>
    </xf>
    <xf numFmtId="0" fontId="68" fillId="0" borderId="0" xfId="35" applyFont="1" applyAlignment="1" applyProtection="1">
      <alignment horizontal="left" vertical="top" wrapText="1"/>
      <protection locked="0"/>
    </xf>
    <xf numFmtId="0" fontId="68" fillId="0" borderId="0" xfId="35" applyFont="1" applyAlignment="1" applyProtection="1">
      <alignment vertical="top" wrapText="1"/>
      <protection locked="0"/>
    </xf>
    <xf numFmtId="0" fontId="66" fillId="0" borderId="27" xfId="35" applyFont="1" applyBorder="1" applyAlignment="1" applyProtection="1">
      <alignment horizontal="center" vertical="center" wrapText="1"/>
      <protection locked="0"/>
    </xf>
    <xf numFmtId="0" fontId="66" fillId="0" borderId="0" xfId="35" applyFont="1" applyAlignment="1" applyProtection="1">
      <alignment horizontal="left" vertical="top" wrapText="1"/>
      <protection locked="0"/>
    </xf>
    <xf numFmtId="0" fontId="66" fillId="13" borderId="25" xfId="36" applyFont="1" applyFill="1" applyBorder="1" applyAlignment="1" applyProtection="1">
      <alignment horizontal="center" vertical="center" wrapText="1"/>
      <protection locked="0"/>
    </xf>
    <xf numFmtId="0" fontId="68" fillId="13" borderId="25" xfId="35" applyFont="1" applyFill="1" applyBorder="1" applyAlignment="1" applyProtection="1">
      <alignment horizontal="center" vertical="center" wrapText="1"/>
      <protection locked="0"/>
    </xf>
    <xf numFmtId="0" fontId="66" fillId="13" borderId="27" xfId="35" applyFont="1" applyFill="1" applyBorder="1" applyAlignment="1" applyProtection="1">
      <alignment horizontal="center" vertical="center" wrapText="1"/>
      <protection locked="0"/>
    </xf>
    <xf numFmtId="0" fontId="68" fillId="13" borderId="27" xfId="35" applyFont="1" applyFill="1" applyBorder="1" applyAlignment="1" applyProtection="1">
      <alignment horizontal="center" vertical="center" wrapText="1"/>
      <protection locked="0"/>
    </xf>
    <xf numFmtId="0" fontId="66" fillId="0" borderId="30" xfId="37" applyFont="1" applyBorder="1" applyAlignment="1" applyProtection="1">
      <alignment horizontal="center" vertical="center"/>
      <protection locked="0"/>
    </xf>
    <xf numFmtId="0" fontId="66" fillId="0" borderId="25" xfId="37" applyFont="1" applyBorder="1" applyAlignment="1" applyProtection="1">
      <alignment horizontal="center" vertical="center"/>
      <protection locked="0"/>
    </xf>
    <xf numFmtId="184" fontId="66" fillId="0" borderId="0" xfId="38" applyNumberFormat="1" applyFont="1" applyFill="1" applyBorder="1" applyAlignment="1" applyProtection="1">
      <alignment vertical="center" shrinkToFit="1"/>
      <protection locked="0"/>
    </xf>
    <xf numFmtId="0" fontId="38" fillId="0" borderId="0" xfId="39" applyFont="1">
      <alignment vertical="center"/>
    </xf>
    <xf numFmtId="0" fontId="66" fillId="0" borderId="25" xfId="37" applyFont="1" applyBorder="1" applyAlignment="1" applyProtection="1">
      <alignment horizontal="center" vertical="center" shrinkToFit="1"/>
      <protection locked="0"/>
    </xf>
    <xf numFmtId="0" fontId="66" fillId="0" borderId="27" xfId="37" applyFont="1" applyBorder="1" applyAlignment="1" applyProtection="1">
      <alignment horizontal="center" vertical="center"/>
      <protection locked="0"/>
    </xf>
    <xf numFmtId="0" fontId="66" fillId="0" borderId="0" xfId="37" applyFont="1" applyAlignment="1" applyProtection="1">
      <alignment vertical="center"/>
      <protection locked="0"/>
    </xf>
    <xf numFmtId="184" fontId="66" fillId="0" borderId="4" xfId="38" applyNumberFormat="1" applyFont="1" applyFill="1" applyBorder="1" applyAlignment="1" applyProtection="1">
      <alignment vertical="center"/>
    </xf>
    <xf numFmtId="184" fontId="66" fillId="0" borderId="3" xfId="38" applyNumberFormat="1" applyFont="1" applyFill="1" applyBorder="1" applyAlignment="1" applyProtection="1">
      <alignment horizontal="center" vertical="center"/>
    </xf>
    <xf numFmtId="184" fontId="66" fillId="0" borderId="4" xfId="38" applyNumberFormat="1" applyFont="1" applyFill="1" applyBorder="1" applyAlignment="1" applyProtection="1">
      <alignment vertical="center" shrinkToFit="1"/>
      <protection locked="0"/>
    </xf>
    <xf numFmtId="0" fontId="66" fillId="0" borderId="24" xfId="36" applyFont="1" applyBorder="1" applyAlignment="1" applyProtection="1">
      <alignment horizontal="center" vertical="center"/>
      <protection locked="0"/>
    </xf>
    <xf numFmtId="184" fontId="66" fillId="9" borderId="3" xfId="38" applyNumberFormat="1" applyFont="1" applyFill="1" applyBorder="1" applyAlignment="1" applyProtection="1">
      <alignment horizontal="center" vertical="center"/>
    </xf>
    <xf numFmtId="184" fontId="68" fillId="0" borderId="4" xfId="38" applyNumberFormat="1" applyFont="1" applyFill="1" applyBorder="1" applyAlignment="1" applyProtection="1">
      <alignment vertical="center"/>
    </xf>
    <xf numFmtId="0" fontId="68" fillId="0" borderId="24" xfId="36" applyFont="1" applyBorder="1" applyAlignment="1" applyProtection="1">
      <alignment horizontal="center" vertical="center"/>
      <protection locked="0"/>
    </xf>
    <xf numFmtId="184" fontId="66" fillId="14" borderId="0" xfId="38" applyNumberFormat="1" applyFont="1" applyFill="1" applyBorder="1" applyAlignment="1" applyProtection="1">
      <alignment horizontal="center" vertical="center" shrinkToFit="1"/>
      <protection locked="0"/>
    </xf>
    <xf numFmtId="184" fontId="68" fillId="14" borderId="0" xfId="38" applyNumberFormat="1" applyFont="1" applyFill="1" applyBorder="1" applyAlignment="1" applyProtection="1">
      <alignment vertical="center" shrinkToFit="1"/>
      <protection locked="0"/>
    </xf>
    <xf numFmtId="0" fontId="66" fillId="0" borderId="0" xfId="37" applyFont="1" applyAlignment="1" applyProtection="1">
      <alignment horizontal="left" vertical="center"/>
      <protection locked="0"/>
    </xf>
    <xf numFmtId="0" fontId="66" fillId="0" borderId="0" xfId="37" applyFont="1" applyAlignment="1" applyProtection="1">
      <alignment vertical="center" shrinkToFit="1"/>
      <protection locked="0"/>
    </xf>
    <xf numFmtId="41" fontId="66" fillId="0" borderId="24" xfId="38" applyFont="1" applyFill="1" applyBorder="1" applyAlignment="1" applyProtection="1">
      <alignment horizontal="center" vertical="center"/>
      <protection locked="0"/>
    </xf>
    <xf numFmtId="0" fontId="66" fillId="13" borderId="30" xfId="37" applyFont="1" applyFill="1" applyBorder="1" applyAlignment="1" applyProtection="1">
      <alignment horizontal="center" vertical="center"/>
      <protection locked="0"/>
    </xf>
    <xf numFmtId="0" fontId="66" fillId="13" borderId="25" xfId="37" applyFont="1" applyFill="1" applyBorder="1" applyAlignment="1" applyProtection="1">
      <alignment horizontal="center" vertical="center"/>
      <protection locked="0"/>
    </xf>
    <xf numFmtId="0" fontId="68" fillId="0" borderId="24" xfId="35" applyFont="1" applyBorder="1" applyAlignment="1" applyProtection="1">
      <alignment horizontal="center" vertical="center" wrapText="1"/>
      <protection locked="0"/>
    </xf>
    <xf numFmtId="0" fontId="68" fillId="0" borderId="30" xfId="29" applyFont="1" applyBorder="1" applyAlignment="1" applyProtection="1">
      <alignment horizontal="center" vertical="center" wrapText="1"/>
      <protection locked="0"/>
    </xf>
    <xf numFmtId="0" fontId="68" fillId="0" borderId="30" xfId="35" applyFont="1" applyBorder="1" applyAlignment="1" applyProtection="1">
      <alignment horizontal="center" vertical="center" wrapText="1"/>
      <protection locked="0"/>
    </xf>
    <xf numFmtId="0" fontId="68" fillId="0" borderId="31" xfId="35" applyFont="1" applyBorder="1" applyAlignment="1" applyProtection="1">
      <alignment horizontal="center" vertical="center" wrapText="1"/>
      <protection locked="0"/>
    </xf>
    <xf numFmtId="43" fontId="72" fillId="0" borderId="0" xfId="29" applyNumberFormat="1" applyFont="1">
      <alignment vertical="center"/>
    </xf>
    <xf numFmtId="0" fontId="63" fillId="0" borderId="0" xfId="28" applyFont="1" applyAlignment="1">
      <alignment horizontal="center" vertical="center"/>
    </xf>
    <xf numFmtId="184" fontId="66" fillId="0" borderId="25" xfId="32" applyNumberFormat="1" applyFont="1" applyFill="1" applyBorder="1" applyAlignment="1" applyProtection="1">
      <alignment horizontal="center" vertical="center"/>
    </xf>
    <xf numFmtId="0" fontId="68" fillId="0" borderId="25" xfId="29" applyFont="1" applyBorder="1" applyAlignment="1">
      <alignment horizontal="center" vertical="center" wrapText="1"/>
    </xf>
    <xf numFmtId="184" fontId="66" fillId="0" borderId="27" xfId="29" applyNumberFormat="1" applyFont="1" applyBorder="1" applyAlignment="1" applyProtection="1">
      <alignment horizontal="center" vertical="center"/>
      <protection locked="0"/>
    </xf>
    <xf numFmtId="41" fontId="63" fillId="0" borderId="28" xfId="30" applyFont="1" applyFill="1" applyBorder="1" applyAlignment="1">
      <alignment horizontal="center" vertical="center"/>
    </xf>
    <xf numFmtId="41" fontId="31" fillId="0" borderId="28" xfId="30" applyFont="1" applyFill="1" applyBorder="1" applyAlignment="1">
      <alignment vertical="center"/>
    </xf>
    <xf numFmtId="41" fontId="29" fillId="11" borderId="0" xfId="30" applyFont="1" applyFill="1" applyBorder="1" applyAlignment="1">
      <alignment vertical="center"/>
    </xf>
    <xf numFmtId="41" fontId="31" fillId="11" borderId="28" xfId="30" applyFont="1" applyFill="1" applyBorder="1" applyAlignment="1">
      <alignment vertical="center"/>
    </xf>
    <xf numFmtId="0" fontId="66" fillId="11" borderId="0" xfId="28" applyFont="1" applyFill="1" applyAlignment="1">
      <alignment horizontal="center" vertical="center"/>
    </xf>
    <xf numFmtId="41" fontId="66" fillId="11" borderId="0" xfId="30" applyFont="1" applyFill="1" applyAlignment="1">
      <alignment horizontal="center" vertical="center"/>
    </xf>
    <xf numFmtId="0" fontId="31" fillId="15" borderId="24" xfId="27" applyFont="1" applyFill="1" applyBorder="1" applyAlignment="1">
      <alignment horizontal="center" vertical="center"/>
    </xf>
    <xf numFmtId="0" fontId="31" fillId="15" borderId="25" xfId="27" applyFont="1" applyFill="1" applyBorder="1" applyAlignment="1">
      <alignment horizontal="center" vertical="center"/>
    </xf>
    <xf numFmtId="0" fontId="66" fillId="15" borderId="25" xfId="29" applyFont="1" applyFill="1" applyBorder="1" applyAlignment="1" applyProtection="1">
      <alignment horizontal="center" vertical="center" wrapText="1"/>
      <protection locked="0"/>
    </xf>
    <xf numFmtId="0" fontId="71" fillId="15" borderId="25" xfId="29" applyFont="1" applyFill="1" applyBorder="1" applyAlignment="1">
      <alignment horizontal="center" vertical="center"/>
    </xf>
    <xf numFmtId="0" fontId="31" fillId="15" borderId="27" xfId="27" applyFont="1" applyFill="1" applyBorder="1" applyAlignment="1">
      <alignment horizontal="center" vertical="center"/>
    </xf>
    <xf numFmtId="0" fontId="28" fillId="15" borderId="25" xfId="29" applyFont="1" applyFill="1" applyBorder="1" applyAlignment="1">
      <alignment horizontal="center" vertical="center"/>
    </xf>
    <xf numFmtId="0" fontId="66" fillId="15" borderId="25" xfId="29" applyFont="1" applyFill="1" applyBorder="1" applyAlignment="1" applyProtection="1">
      <alignment horizontal="center" vertical="center"/>
      <protection locked="0"/>
    </xf>
    <xf numFmtId="0" fontId="31" fillId="0" borderId="27" xfId="27" applyFont="1" applyBorder="1" applyAlignment="1">
      <alignment horizontal="center" vertical="center"/>
    </xf>
    <xf numFmtId="0" fontId="28" fillId="13" borderId="25" xfId="27" applyFont="1" applyFill="1" applyBorder="1" applyAlignment="1">
      <alignment horizontal="center" vertical="center"/>
    </xf>
    <xf numFmtId="0" fontId="68" fillId="15" borderId="25" xfId="27" applyFont="1" applyFill="1" applyBorder="1" applyAlignment="1">
      <alignment horizontal="center" vertical="center"/>
    </xf>
    <xf numFmtId="0" fontId="66" fillId="15" borderId="27" xfId="29" applyFont="1" applyFill="1" applyBorder="1" applyAlignment="1" applyProtection="1">
      <alignment horizontal="center" vertical="center" wrapText="1"/>
      <protection locked="0"/>
    </xf>
    <xf numFmtId="0" fontId="28" fillId="0" borderId="25" xfId="27" applyFont="1" applyBorder="1" applyAlignment="1">
      <alignment horizontal="center" vertical="center"/>
    </xf>
    <xf numFmtId="0" fontId="28" fillId="15" borderId="25" xfId="27" applyFont="1" applyFill="1" applyBorder="1" applyAlignment="1">
      <alignment horizontal="center" vertical="center"/>
    </xf>
    <xf numFmtId="185" fontId="66" fillId="11" borderId="28" xfId="29" applyNumberFormat="1" applyFont="1" applyFill="1" applyBorder="1" applyAlignment="1">
      <alignment horizontal="center" vertical="center"/>
    </xf>
    <xf numFmtId="184" fontId="66" fillId="0" borderId="24" xfId="29" applyNumberFormat="1" applyFont="1" applyBorder="1" applyAlignment="1">
      <alignment horizontal="center" vertical="center"/>
    </xf>
    <xf numFmtId="41" fontId="31" fillId="11" borderId="32" xfId="30" applyFont="1" applyFill="1" applyBorder="1" applyAlignment="1">
      <alignment vertical="center"/>
    </xf>
    <xf numFmtId="0" fontId="68" fillId="15" borderId="25" xfId="35" applyFont="1" applyFill="1" applyBorder="1" applyAlignment="1" applyProtection="1">
      <alignment horizontal="center" vertical="center" wrapText="1"/>
      <protection locked="0"/>
    </xf>
    <xf numFmtId="0" fontId="68" fillId="15" borderId="27" xfId="35" applyFont="1" applyFill="1" applyBorder="1" applyAlignment="1" applyProtection="1">
      <alignment horizontal="center" vertical="center" wrapText="1"/>
      <protection locked="0"/>
    </xf>
    <xf numFmtId="0" fontId="31" fillId="13" borderId="30" xfId="27" applyFont="1" applyFill="1" applyBorder="1" applyAlignment="1">
      <alignment horizontal="center" vertical="center"/>
    </xf>
    <xf numFmtId="0" fontId="68" fillId="13" borderId="30" xfId="35" applyFont="1" applyFill="1" applyBorder="1" applyAlignment="1" applyProtection="1">
      <alignment horizontal="center" vertical="center" wrapText="1"/>
      <protection locked="0"/>
    </xf>
    <xf numFmtId="0" fontId="68" fillId="13" borderId="31" xfId="35" applyFont="1" applyFill="1" applyBorder="1" applyAlignment="1" applyProtection="1">
      <alignment horizontal="center" vertical="center" wrapText="1"/>
      <protection locked="0"/>
    </xf>
    <xf numFmtId="0" fontId="68" fillId="0" borderId="30" xfId="29" applyFont="1" applyBorder="1" applyAlignment="1">
      <alignment horizontal="center" vertical="center" wrapText="1"/>
    </xf>
    <xf numFmtId="0" fontId="66" fillId="13" borderId="25" xfId="27" applyFont="1" applyFill="1" applyBorder="1" applyAlignment="1">
      <alignment horizontal="center" vertical="center"/>
    </xf>
    <xf numFmtId="0" fontId="66" fillId="13" borderId="27" xfId="27" applyFont="1" applyFill="1" applyBorder="1" applyAlignment="1">
      <alignment horizontal="center" vertical="center"/>
    </xf>
    <xf numFmtId="0" fontId="66" fillId="13" borderId="25" xfId="40" applyFont="1" applyFill="1" applyBorder="1" applyAlignment="1" applyProtection="1">
      <alignment horizontal="center" vertical="center"/>
      <protection locked="0"/>
    </xf>
    <xf numFmtId="0" fontId="28" fillId="13" borderId="27" xfId="27" applyFont="1" applyFill="1" applyBorder="1" applyAlignment="1">
      <alignment horizontal="center" vertical="center"/>
    </xf>
    <xf numFmtId="0" fontId="66" fillId="13" borderId="31" xfId="29" applyFont="1" applyFill="1" applyBorder="1" applyAlignment="1" applyProtection="1">
      <alignment horizontal="center" vertical="center" wrapText="1"/>
      <protection locked="0"/>
    </xf>
    <xf numFmtId="184" fontId="66" fillId="0" borderId="30" xfId="29" applyNumberFormat="1" applyFont="1" applyBorder="1" applyAlignment="1">
      <alignment horizontal="center" vertical="center"/>
    </xf>
    <xf numFmtId="0" fontId="43" fillId="0" borderId="3" xfId="0" applyFont="1" applyBorder="1" applyAlignment="1">
      <alignment horizontal="left" vertical="top" wrapText="1"/>
    </xf>
    <xf numFmtId="0" fontId="43" fillId="0" borderId="3" xfId="0" applyFont="1" applyBorder="1" applyAlignment="1">
      <alignment horizontal="center" vertical="top" wrapText="1"/>
    </xf>
    <xf numFmtId="0" fontId="44" fillId="0" borderId="3" xfId="0" applyFont="1" applyBorder="1" applyAlignment="1">
      <alignment horizontal="left" vertical="top" wrapText="1"/>
    </xf>
    <xf numFmtId="0" fontId="27" fillId="0" borderId="3" xfId="23" applyFont="1" applyBorder="1" applyAlignment="1">
      <alignment horizontal="center" vertical="top" wrapText="1"/>
    </xf>
    <xf numFmtId="0" fontId="12" fillId="0" borderId="3" xfId="41" applyFill="1" applyBorder="1" applyAlignment="1">
      <alignment horizontal="left" vertical="top" wrapText="1"/>
    </xf>
    <xf numFmtId="0" fontId="12" fillId="0" borderId="3" xfId="41" applyFill="1" applyBorder="1" applyAlignment="1">
      <alignment horizontal="center" vertical="top" wrapText="1"/>
    </xf>
    <xf numFmtId="0" fontId="12" fillId="0" borderId="6" xfId="41" applyFill="1" applyBorder="1" applyAlignment="1">
      <alignment horizontal="left" vertical="top" wrapText="1"/>
    </xf>
    <xf numFmtId="0" fontId="12" fillId="0" borderId="6" xfId="41" quotePrefix="1" applyFill="1" applyBorder="1" applyAlignment="1">
      <alignment horizontal="left" vertical="top" wrapText="1"/>
    </xf>
    <xf numFmtId="0" fontId="12" fillId="0" borderId="6" xfId="41" applyFill="1" applyBorder="1" applyAlignment="1">
      <alignment horizontal="center" vertical="top" wrapText="1"/>
    </xf>
    <xf numFmtId="0" fontId="12" fillId="0" borderId="6" xfId="41" applyFill="1" applyBorder="1" applyAlignment="1">
      <alignment horizontal="center" vertical="top"/>
    </xf>
    <xf numFmtId="0" fontId="12" fillId="0" borderId="3" xfId="41" quotePrefix="1" applyFill="1" applyBorder="1" applyAlignment="1">
      <alignment horizontal="left" vertical="top" wrapText="1"/>
    </xf>
    <xf numFmtId="0" fontId="12" fillId="0" borderId="3" xfId="41" applyFill="1" applyBorder="1" applyAlignment="1">
      <alignment horizontal="center" vertical="top"/>
    </xf>
    <xf numFmtId="0" fontId="43" fillId="9" borderId="3" xfId="0" quotePrefix="1" applyFont="1" applyFill="1" applyBorder="1" applyAlignment="1">
      <alignment horizontal="left" vertical="top" wrapText="1"/>
    </xf>
    <xf numFmtId="0" fontId="27" fillId="9" borderId="3" xfId="0" applyFont="1" applyFill="1" applyBorder="1" applyAlignment="1">
      <alignment horizontal="center" vertical="top" wrapText="1"/>
    </xf>
    <xf numFmtId="0" fontId="27" fillId="9" borderId="3" xfId="23" applyFont="1" applyFill="1" applyBorder="1" applyAlignment="1">
      <alignment horizontal="center" vertical="top" wrapText="1"/>
    </xf>
    <xf numFmtId="0" fontId="43" fillId="9" borderId="3" xfId="0" applyFont="1" applyFill="1" applyBorder="1" applyAlignment="1">
      <alignment horizontal="left" vertical="top" wrapText="1"/>
    </xf>
    <xf numFmtId="0" fontId="43" fillId="9" borderId="3" xfId="0" applyFont="1" applyFill="1" applyBorder="1" applyAlignment="1">
      <alignment horizontal="center" vertical="top" wrapText="1"/>
    </xf>
    <xf numFmtId="0" fontId="27" fillId="9" borderId="3" xfId="0" applyFont="1" applyFill="1" applyBorder="1" applyAlignment="1">
      <alignment horizontal="left" vertical="top" wrapText="1"/>
    </xf>
    <xf numFmtId="0" fontId="44" fillId="9" borderId="3" xfId="0" applyFont="1" applyFill="1" applyBorder="1" applyAlignment="1">
      <alignment horizontal="left" vertical="top" wrapText="1"/>
    </xf>
    <xf numFmtId="0" fontId="45" fillId="9" borderId="3" xfId="0" applyFont="1" applyFill="1" applyBorder="1" applyAlignment="1">
      <alignment horizontal="center" vertical="top"/>
    </xf>
    <xf numFmtId="0" fontId="27" fillId="9" borderId="3" xfId="0" applyFont="1" applyFill="1" applyBorder="1" applyAlignment="1">
      <alignment horizontal="center" vertical="center" wrapText="1"/>
    </xf>
    <xf numFmtId="14" fontId="29" fillId="0" borderId="3" xfId="0" applyNumberFormat="1" applyFont="1" applyBorder="1" applyAlignment="1" applyProtection="1">
      <alignment horizontal="center" vertical="top" wrapText="1"/>
      <protection locked="0"/>
    </xf>
    <xf numFmtId="0" fontId="44" fillId="0" borderId="3" xfId="0" applyFont="1" applyBorder="1" applyAlignment="1">
      <alignment vertical="top" wrapText="1"/>
    </xf>
    <xf numFmtId="0" fontId="74" fillId="0" borderId="3" xfId="41" applyFont="1" applyFill="1" applyBorder="1" applyAlignment="1">
      <alignment horizontal="center" vertical="top" wrapText="1"/>
    </xf>
    <xf numFmtId="0" fontId="74" fillId="0" borderId="3" xfId="41" applyFont="1" applyFill="1" applyBorder="1" applyAlignment="1">
      <alignment horizontal="left" vertical="top" wrapText="1"/>
    </xf>
    <xf numFmtId="0" fontId="76" fillId="0" borderId="3" xfId="0" applyFont="1" applyBorder="1" applyAlignment="1">
      <alignment horizontal="center" vertical="top" wrapText="1"/>
    </xf>
    <xf numFmtId="0" fontId="58" fillId="0" borderId="33" xfId="0" applyFont="1" applyBorder="1" applyAlignment="1">
      <alignment horizontal="left" vertical="center" wrapText="1"/>
    </xf>
    <xf numFmtId="0" fontId="27" fillId="0" borderId="6" xfId="0" applyFont="1" applyBorder="1" applyAlignment="1">
      <alignment horizontal="center" vertical="center" wrapText="1"/>
    </xf>
    <xf numFmtId="0" fontId="85" fillId="0" borderId="3" xfId="0" quotePrefix="1" applyFont="1" applyBorder="1" applyAlignment="1">
      <alignment vertical="top" wrapText="1"/>
    </xf>
    <xf numFmtId="0" fontId="27" fillId="0" borderId="3" xfId="0" quotePrefix="1" applyFont="1" applyBorder="1" applyAlignment="1">
      <alignment vertical="top" wrapText="1"/>
    </xf>
    <xf numFmtId="0" fontId="32" fillId="4" borderId="34" xfId="0" applyFont="1" applyFill="1" applyBorder="1" applyAlignment="1">
      <alignment vertical="top" wrapText="1"/>
    </xf>
    <xf numFmtId="0" fontId="32" fillId="4" borderId="8" xfId="0" applyFont="1" applyFill="1" applyBorder="1" applyAlignment="1">
      <alignment vertical="top" wrapText="1"/>
    </xf>
    <xf numFmtId="0" fontId="31" fillId="0" borderId="3" xfId="0" applyFont="1" applyBorder="1" applyAlignment="1">
      <alignment horizontal="center" vertical="top"/>
    </xf>
    <xf numFmtId="0" fontId="46" fillId="0" borderId="3" xfId="0" applyFont="1" applyBorder="1" applyAlignment="1">
      <alignment vertical="top" wrapText="1"/>
    </xf>
    <xf numFmtId="0" fontId="46" fillId="0" borderId="3" xfId="0" applyFont="1" applyBorder="1" applyAlignment="1">
      <alignment horizontal="center" vertical="top" wrapText="1"/>
    </xf>
    <xf numFmtId="0" fontId="31" fillId="0" borderId="3" xfId="0" applyFont="1" applyBorder="1" applyAlignment="1">
      <alignment horizontal="left" vertical="top" wrapText="1"/>
    </xf>
    <xf numFmtId="14" fontId="31" fillId="0" borderId="3" xfId="0" applyNumberFormat="1" applyFont="1" applyBorder="1" applyAlignment="1">
      <alignment horizontal="center" vertical="center"/>
    </xf>
    <xf numFmtId="0" fontId="28" fillId="0" borderId="3" xfId="0" applyFont="1" applyBorder="1" applyAlignment="1">
      <alignment horizontal="left" vertical="top" wrapText="1"/>
    </xf>
    <xf numFmtId="0" fontId="41" fillId="0" borderId="3" xfId="0" applyFont="1" applyBorder="1" applyAlignment="1">
      <alignment horizontal="center" vertical="top" wrapText="1"/>
    </xf>
    <xf numFmtId="0" fontId="43" fillId="0" borderId="3" xfId="0" quotePrefix="1" applyFont="1" applyBorder="1" applyAlignment="1">
      <alignment vertical="top" wrapText="1"/>
    </xf>
    <xf numFmtId="0" fontId="10" fillId="0" borderId="3" xfId="41" applyFont="1" applyFill="1" applyBorder="1" applyAlignment="1">
      <alignment horizontal="center" vertical="top" wrapText="1"/>
    </xf>
    <xf numFmtId="0" fontId="10" fillId="0" borderId="3" xfId="41" quotePrefix="1" applyFont="1" applyFill="1" applyBorder="1" applyAlignment="1">
      <alignment horizontal="left" vertical="top" wrapText="1"/>
    </xf>
    <xf numFmtId="0" fontId="36" fillId="0" borderId="6" xfId="41" applyFont="1" applyFill="1" applyBorder="1" applyAlignment="1">
      <alignment horizontal="center" vertical="top" wrapText="1"/>
    </xf>
    <xf numFmtId="0" fontId="36" fillId="0" borderId="6" xfId="41" applyFont="1" applyFill="1" applyBorder="1" applyAlignment="1">
      <alignment horizontal="left" vertical="top" wrapText="1"/>
    </xf>
    <xf numFmtId="0" fontId="10" fillId="0" borderId="6" xfId="41" applyFont="1" applyFill="1" applyBorder="1" applyAlignment="1">
      <alignment horizontal="center" vertical="top" wrapText="1"/>
    </xf>
    <xf numFmtId="0" fontId="36" fillId="0" borderId="6" xfId="41" applyFont="1" applyFill="1" applyBorder="1" applyAlignment="1">
      <alignment horizontal="center" vertical="top"/>
    </xf>
    <xf numFmtId="0" fontId="41" fillId="5" borderId="3" xfId="0" applyFont="1" applyFill="1" applyBorder="1" applyAlignment="1">
      <alignment horizontal="center" vertical="center" wrapText="1"/>
    </xf>
    <xf numFmtId="0" fontId="46" fillId="4" borderId="3" xfId="0" applyFont="1" applyFill="1" applyBorder="1" applyAlignment="1">
      <alignment horizontal="center" vertical="center" wrapText="1"/>
    </xf>
    <xf numFmtId="0" fontId="9" fillId="0" borderId="6" xfId="41" applyFont="1" applyFill="1" applyBorder="1" applyAlignment="1">
      <alignment horizontal="left" vertical="top" wrapText="1"/>
    </xf>
    <xf numFmtId="0" fontId="9" fillId="0" borderId="3" xfId="41" applyFont="1" applyFill="1" applyBorder="1" applyAlignment="1">
      <alignment horizontal="left" vertical="top" wrapText="1"/>
    </xf>
    <xf numFmtId="0" fontId="31" fillId="0" borderId="3" xfId="0" applyFont="1" applyBorder="1" applyAlignment="1">
      <alignment horizontal="center" vertical="center" wrapText="1" shrinkToFit="1"/>
    </xf>
    <xf numFmtId="0" fontId="28" fillId="0" borderId="3" xfId="0" applyFont="1" applyBorder="1" applyAlignment="1">
      <alignment horizontal="left" vertical="top"/>
    </xf>
    <xf numFmtId="0" fontId="66" fillId="4" borderId="25" xfId="31" applyFont="1" applyFill="1" applyBorder="1" applyAlignment="1" applyProtection="1">
      <alignment horizontal="center" vertical="center"/>
      <protection locked="0"/>
    </xf>
    <xf numFmtId="0" fontId="44" fillId="0" borderId="3" xfId="26" applyFont="1" applyFill="1" applyBorder="1" applyAlignment="1">
      <alignment horizontal="center" vertical="center" wrapText="1"/>
    </xf>
    <xf numFmtId="0" fontId="88" fillId="0" borderId="3" xfId="0" quotePrefix="1" applyFont="1" applyBorder="1" applyAlignment="1">
      <alignment horizontal="left" vertical="top" wrapText="1"/>
    </xf>
    <xf numFmtId="0" fontId="89" fillId="0" borderId="3" xfId="0" quotePrefix="1" applyFont="1" applyBorder="1" applyAlignment="1">
      <alignment horizontal="left" vertical="top" wrapText="1"/>
    </xf>
    <xf numFmtId="0" fontId="36" fillId="0" borderId="3" xfId="0" quotePrefix="1" applyFont="1" applyBorder="1" applyAlignment="1">
      <alignment horizontal="left" vertical="top" wrapText="1"/>
    </xf>
    <xf numFmtId="0" fontId="47" fillId="0" borderId="3" xfId="0" applyFont="1" applyBorder="1" applyAlignment="1">
      <alignment horizontal="justify" vertical="center"/>
    </xf>
    <xf numFmtId="0" fontId="28" fillId="0" borderId="0" xfId="0" applyFont="1" applyAlignment="1">
      <alignment horizontal="center" vertical="center"/>
    </xf>
    <xf numFmtId="0" fontId="45" fillId="0" borderId="3" xfId="0" applyFont="1" applyBorder="1" applyAlignment="1">
      <alignment horizontal="left" vertical="top"/>
    </xf>
    <xf numFmtId="0" fontId="46" fillId="0" borderId="3" xfId="0" applyFont="1" applyBorder="1" applyAlignment="1">
      <alignment horizontal="left" vertical="top" wrapText="1"/>
    </xf>
    <xf numFmtId="0" fontId="29" fillId="4" borderId="0" xfId="0" applyFont="1" applyFill="1" applyAlignment="1">
      <alignment vertical="top"/>
    </xf>
    <xf numFmtId="0" fontId="10" fillId="0" borderId="3" xfId="41" applyFont="1" applyFill="1" applyBorder="1" applyAlignment="1">
      <alignment horizontal="left" vertical="top" wrapText="1"/>
    </xf>
    <xf numFmtId="0" fontId="11" fillId="0" borderId="3" xfId="41" applyFont="1" applyFill="1" applyBorder="1" applyAlignment="1">
      <alignment horizontal="left" vertical="top" wrapText="1"/>
    </xf>
    <xf numFmtId="0" fontId="11" fillId="0" borderId="3" xfId="41" applyFont="1" applyFill="1" applyBorder="1" applyAlignment="1">
      <alignment horizontal="center" vertical="top" wrapText="1"/>
    </xf>
    <xf numFmtId="0" fontId="44" fillId="0" borderId="3" xfId="0" applyFont="1" applyBorder="1" applyAlignment="1">
      <alignment horizontal="center" vertical="top" wrapText="1"/>
    </xf>
    <xf numFmtId="0" fontId="96" fillId="0" borderId="0" xfId="0" applyFont="1" applyAlignment="1">
      <alignment horizontal="left" vertical="center" readingOrder="1"/>
    </xf>
    <xf numFmtId="0" fontId="66" fillId="4" borderId="25" xfId="31" applyFont="1" applyFill="1" applyBorder="1" applyAlignment="1" applyProtection="1">
      <alignment horizontal="center" vertical="center" wrapText="1"/>
      <protection locked="0"/>
    </xf>
    <xf numFmtId="0" fontId="7" fillId="0" borderId="6" xfId="53" applyFill="1" applyBorder="1" applyAlignment="1">
      <alignment horizontal="center" vertical="top"/>
    </xf>
    <xf numFmtId="0" fontId="8" fillId="0" borderId="6" xfId="41" applyFont="1" applyFill="1" applyBorder="1" applyAlignment="1">
      <alignment horizontal="center" vertical="center" wrapText="1"/>
    </xf>
    <xf numFmtId="0" fontId="66" fillId="4" borderId="35" xfId="31" applyFont="1" applyFill="1" applyBorder="1" applyAlignment="1" applyProtection="1">
      <alignment horizontal="center" vertical="center" wrapText="1"/>
      <protection locked="0"/>
    </xf>
    <xf numFmtId="0" fontId="66" fillId="4" borderId="7" xfId="31" applyFont="1" applyFill="1" applyBorder="1" applyAlignment="1" applyProtection="1">
      <alignment horizontal="center" vertical="center" wrapText="1"/>
      <protection locked="0"/>
    </xf>
    <xf numFmtId="0" fontId="66" fillId="4" borderId="7" xfId="31" applyFont="1" applyFill="1" applyBorder="1" applyAlignment="1" applyProtection="1">
      <alignment horizontal="center" vertical="center"/>
      <protection locked="0"/>
    </xf>
    <xf numFmtId="0" fontId="66" fillId="4" borderId="36" xfId="31" applyFont="1" applyFill="1" applyBorder="1" applyAlignment="1" applyProtection="1">
      <alignment horizontal="center" vertical="center"/>
      <protection locked="0"/>
    </xf>
    <xf numFmtId="0" fontId="66" fillId="4" borderId="35" xfId="31" applyFont="1" applyFill="1" applyBorder="1" applyAlignment="1" applyProtection="1">
      <alignment horizontal="center" vertical="center"/>
      <protection locked="0"/>
    </xf>
    <xf numFmtId="0" fontId="66" fillId="4" borderId="3" xfId="31" applyFont="1" applyFill="1" applyBorder="1" applyAlignment="1" applyProtection="1">
      <alignment horizontal="center" vertical="center"/>
      <protection locked="0"/>
    </xf>
    <xf numFmtId="0" fontId="43" fillId="4" borderId="3" xfId="31" applyFont="1" applyFill="1" applyBorder="1" applyAlignment="1" applyProtection="1">
      <alignment horizontal="center" vertical="center" wrapText="1"/>
      <protection locked="0"/>
    </xf>
    <xf numFmtId="0" fontId="43" fillId="4" borderId="35" xfId="31" applyFont="1" applyFill="1" applyBorder="1" applyAlignment="1" applyProtection="1">
      <alignment horizontal="center" vertical="center" wrapText="1"/>
      <protection locked="0"/>
    </xf>
    <xf numFmtId="0" fontId="43" fillId="4" borderId="7" xfId="31" applyFont="1" applyFill="1" applyBorder="1" applyAlignment="1" applyProtection="1">
      <alignment horizontal="center" vertical="center" wrapText="1"/>
      <protection locked="0"/>
    </xf>
    <xf numFmtId="0" fontId="43" fillId="4" borderId="25" xfId="31" applyFont="1" applyFill="1" applyBorder="1" applyAlignment="1" applyProtection="1">
      <alignment horizontal="center" vertical="center" wrapText="1"/>
      <protection locked="0"/>
    </xf>
    <xf numFmtId="0" fontId="41" fillId="5" borderId="0" xfId="0" applyFont="1" applyFill="1" applyAlignment="1">
      <alignment horizontal="center" vertical="center" wrapText="1"/>
    </xf>
    <xf numFmtId="0" fontId="27" fillId="0" borderId="0" xfId="23" applyFont="1" applyAlignment="1">
      <alignment horizontal="center" vertical="top"/>
    </xf>
    <xf numFmtId="0" fontId="27" fillId="0" borderId="0" xfId="0" applyFont="1" applyAlignment="1">
      <alignment horizontal="left" vertical="top" wrapText="1"/>
    </xf>
    <xf numFmtId="0" fontId="66" fillId="9" borderId="25" xfId="31" applyFont="1" applyFill="1" applyBorder="1" applyAlignment="1" applyProtection="1">
      <alignment horizontal="center" vertical="center"/>
      <protection locked="0"/>
    </xf>
    <xf numFmtId="0" fontId="27" fillId="9" borderId="3" xfId="0" quotePrefix="1" applyFont="1" applyFill="1" applyBorder="1" applyAlignment="1">
      <alignment horizontal="center" vertical="top" wrapText="1"/>
    </xf>
    <xf numFmtId="0" fontId="76" fillId="9" borderId="3" xfId="23" applyFont="1" applyFill="1" applyBorder="1" applyAlignment="1">
      <alignment horizontal="center" vertical="top" wrapText="1"/>
    </xf>
    <xf numFmtId="0" fontId="98" fillId="9" borderId="3" xfId="41" applyFont="1" applyFill="1" applyBorder="1" applyAlignment="1">
      <alignment horizontal="center" vertical="top" wrapText="1"/>
    </xf>
    <xf numFmtId="0" fontId="74" fillId="9" borderId="3" xfId="41" applyFont="1" applyFill="1" applyBorder="1" applyAlignment="1">
      <alignment horizontal="center" vertical="top" wrapText="1"/>
    </xf>
    <xf numFmtId="0" fontId="82" fillId="9" borderId="3" xfId="0" applyFont="1" applyFill="1" applyBorder="1" applyAlignment="1">
      <alignment horizontal="center" vertical="center" wrapText="1"/>
    </xf>
    <xf numFmtId="0" fontId="43" fillId="9" borderId="37" xfId="0" applyFont="1" applyFill="1" applyBorder="1" applyAlignment="1">
      <alignment horizontal="left" vertical="top" wrapText="1"/>
    </xf>
    <xf numFmtId="0" fontId="28" fillId="0" borderId="3" xfId="0" quotePrefix="1" applyFont="1" applyBorder="1" applyAlignment="1">
      <alignment horizontal="left" vertical="top" wrapText="1"/>
    </xf>
    <xf numFmtId="0" fontId="48" fillId="7" borderId="3" xfId="0" applyFont="1" applyFill="1" applyBorder="1" applyAlignment="1">
      <alignment horizontal="left" vertical="top" wrapText="1"/>
    </xf>
    <xf numFmtId="0" fontId="48" fillId="7" borderId="3" xfId="0" applyFont="1" applyFill="1" applyBorder="1" applyAlignment="1">
      <alignment horizontal="center" vertical="top" wrapText="1"/>
    </xf>
    <xf numFmtId="0" fontId="100" fillId="7" borderId="3" xfId="0" applyFont="1" applyFill="1" applyBorder="1" applyAlignment="1">
      <alignment horizontal="center" vertical="top"/>
    </xf>
    <xf numFmtId="0" fontId="48" fillId="0" borderId="3" xfId="0" applyFont="1" applyBorder="1" applyAlignment="1">
      <alignment horizontal="left" vertical="top" wrapText="1"/>
    </xf>
    <xf numFmtId="0" fontId="36" fillId="0" borderId="3" xfId="0" applyFont="1" applyBorder="1" applyAlignment="1">
      <alignment vertical="top" wrapText="1"/>
    </xf>
    <xf numFmtId="0" fontId="36" fillId="9" borderId="3" xfId="0" applyFont="1" applyFill="1" applyBorder="1" applyAlignment="1">
      <alignment vertical="top" wrapText="1"/>
    </xf>
    <xf numFmtId="0" fontId="56" fillId="9" borderId="3" xfId="0" applyFont="1" applyFill="1" applyBorder="1" applyAlignment="1">
      <alignment vertical="top" wrapText="1"/>
    </xf>
    <xf numFmtId="0" fontId="16" fillId="0" borderId="0" xfId="59">
      <alignment vertical="center"/>
    </xf>
    <xf numFmtId="0" fontId="63" fillId="0" borderId="38" xfId="60" applyFont="1" applyBorder="1">
      <alignment vertical="center"/>
    </xf>
    <xf numFmtId="0" fontId="63" fillId="0" borderId="38" xfId="60" applyFont="1" applyBorder="1" applyAlignment="1">
      <alignment horizontal="right" vertical="center"/>
    </xf>
    <xf numFmtId="0" fontId="43" fillId="0" borderId="0" xfId="60" applyFont="1">
      <alignment vertical="center"/>
    </xf>
    <xf numFmtId="0" fontId="43" fillId="0" borderId="0" xfId="60" applyFont="1" applyAlignment="1">
      <alignment horizontal="center" vertical="center"/>
    </xf>
    <xf numFmtId="0" fontId="104" fillId="0" borderId="0" xfId="60" applyFont="1" applyAlignment="1">
      <alignment horizontal="center"/>
    </xf>
    <xf numFmtId="0" fontId="42" fillId="5" borderId="3" xfId="60" applyFont="1" applyFill="1" applyBorder="1" applyAlignment="1">
      <alignment horizontal="center" vertical="center"/>
    </xf>
    <xf numFmtId="0" fontId="42" fillId="5" borderId="5" xfId="60" applyFont="1" applyFill="1" applyBorder="1" applyAlignment="1">
      <alignment horizontal="center" vertical="center"/>
    </xf>
    <xf numFmtId="0" fontId="43" fillId="0" borderId="3" xfId="60" applyFont="1" applyBorder="1" applyAlignment="1">
      <alignment horizontal="center" vertical="center"/>
    </xf>
    <xf numFmtId="186" fontId="43" fillId="0" borderId="3" xfId="60" applyNumberFormat="1" applyFont="1" applyBorder="1" applyAlignment="1">
      <alignment horizontal="center" vertical="center"/>
    </xf>
    <xf numFmtId="0" fontId="43" fillId="0" borderId="5" xfId="60" applyFont="1" applyBorder="1">
      <alignment vertical="center"/>
    </xf>
    <xf numFmtId="0" fontId="102" fillId="9" borderId="3" xfId="0" applyFont="1" applyFill="1" applyBorder="1" applyAlignment="1">
      <alignment horizontal="left" vertical="top" wrapText="1"/>
    </xf>
    <xf numFmtId="0" fontId="5" fillId="7" borderId="3" xfId="0" applyFont="1" applyFill="1" applyBorder="1" applyAlignment="1">
      <alignment horizontal="left" vertical="top" wrapText="1"/>
    </xf>
    <xf numFmtId="0" fontId="66" fillId="0" borderId="3" xfId="29" applyFont="1" applyBorder="1" applyAlignment="1" applyProtection="1">
      <alignment horizontal="center" vertical="center" wrapText="1"/>
      <protection locked="0"/>
    </xf>
    <xf numFmtId="0" fontId="68" fillId="0" borderId="3" xfId="83" applyFont="1" applyBorder="1" applyAlignment="1">
      <alignment horizontal="center" vertical="center"/>
    </xf>
    <xf numFmtId="0" fontId="66" fillId="7" borderId="3" xfId="27" applyFont="1" applyFill="1" applyBorder="1" applyAlignment="1">
      <alignment horizontal="left" vertical="top" wrapText="1"/>
    </xf>
    <xf numFmtId="0" fontId="66" fillId="0" borderId="3" xfId="31" applyFont="1" applyBorder="1" applyAlignment="1" applyProtection="1">
      <alignment vertical="center"/>
      <protection locked="0"/>
    </xf>
    <xf numFmtId="0" fontId="105" fillId="0" borderId="25" xfId="83" applyFont="1" applyBorder="1" applyAlignment="1">
      <alignment vertical="center" wrapText="1"/>
    </xf>
    <xf numFmtId="0" fontId="66" fillId="0" borderId="3" xfId="31" applyFont="1" applyBorder="1" applyAlignment="1" applyProtection="1">
      <alignment vertical="center" wrapText="1"/>
      <protection locked="0"/>
    </xf>
    <xf numFmtId="0" fontId="36" fillId="0" borderId="3" xfId="83" applyFont="1" applyBorder="1" applyAlignment="1">
      <alignment horizontal="center" vertical="center"/>
    </xf>
    <xf numFmtId="0" fontId="105" fillId="0" borderId="3" xfId="83" applyFont="1" applyBorder="1" applyAlignment="1">
      <alignment horizontal="center" vertical="center"/>
    </xf>
    <xf numFmtId="0" fontId="105" fillId="0" borderId="3" xfId="83" applyFont="1" applyBorder="1" applyAlignment="1">
      <alignment vertical="center" wrapText="1"/>
    </xf>
    <xf numFmtId="0" fontId="105" fillId="0" borderId="26" xfId="83" applyFont="1" applyBorder="1" applyAlignment="1">
      <alignment vertical="center" wrapText="1"/>
    </xf>
    <xf numFmtId="0" fontId="4" fillId="0" borderId="0" xfId="83">
      <alignment vertical="center"/>
    </xf>
    <xf numFmtId="0" fontId="105" fillId="0" borderId="3" xfId="83" applyFont="1" applyBorder="1">
      <alignment vertical="center"/>
    </xf>
    <xf numFmtId="0" fontId="62" fillId="15" borderId="3" xfId="83" applyFont="1" applyFill="1" applyBorder="1" applyAlignment="1">
      <alignment horizontal="center" vertical="center"/>
    </xf>
    <xf numFmtId="0" fontId="62" fillId="15" borderId="3" xfId="83" applyFont="1" applyFill="1" applyBorder="1" applyAlignment="1">
      <alignment horizontal="center" vertical="center" wrapText="1"/>
    </xf>
    <xf numFmtId="0" fontId="62" fillId="17" borderId="3" xfId="83" applyFont="1" applyFill="1" applyBorder="1" applyAlignment="1">
      <alignment horizontal="center" vertical="center" wrapText="1"/>
    </xf>
    <xf numFmtId="0" fontId="4" fillId="0" borderId="0" xfId="83" applyAlignment="1">
      <alignment horizontal="center" vertical="center"/>
    </xf>
    <xf numFmtId="0" fontId="4" fillId="9" borderId="0" xfId="83" applyFill="1">
      <alignment vertical="center"/>
    </xf>
    <xf numFmtId="0" fontId="4" fillId="0" borderId="3" xfId="83" applyBorder="1">
      <alignment vertical="center"/>
    </xf>
    <xf numFmtId="0" fontId="4" fillId="0" borderId="3" xfId="83" applyBorder="1" applyAlignment="1">
      <alignment horizontal="left" vertical="center"/>
    </xf>
    <xf numFmtId="0" fontId="43" fillId="0" borderId="3" xfId="83" applyFont="1" applyBorder="1">
      <alignment vertical="center"/>
    </xf>
    <xf numFmtId="0" fontId="62" fillId="12" borderId="3" xfId="83" applyFont="1" applyFill="1" applyBorder="1" applyAlignment="1">
      <alignment horizontal="center" vertical="center"/>
    </xf>
    <xf numFmtId="0" fontId="62" fillId="12" borderId="3" xfId="83" applyFont="1" applyFill="1" applyBorder="1" applyAlignment="1">
      <alignment horizontal="center" vertical="center" wrapText="1"/>
    </xf>
    <xf numFmtId="0" fontId="62" fillId="13" borderId="3" xfId="83" applyFont="1" applyFill="1" applyBorder="1" applyAlignment="1">
      <alignment horizontal="center" vertical="center"/>
    </xf>
    <xf numFmtId="0" fontId="4" fillId="0" borderId="3" xfId="83" applyBorder="1" applyAlignment="1">
      <alignment horizontal="center" vertical="center"/>
    </xf>
    <xf numFmtId="0" fontId="2" fillId="0" borderId="6" xfId="41" applyFont="1" applyFill="1" applyBorder="1" applyAlignment="1">
      <alignment horizontal="left" vertical="top" wrapText="1"/>
    </xf>
    <xf numFmtId="0" fontId="31" fillId="0" borderId="3" xfId="0" applyFont="1" applyBorder="1" applyAlignment="1">
      <alignment vertical="center" wrapText="1"/>
    </xf>
    <xf numFmtId="0" fontId="27" fillId="0" borderId="3" xfId="0" applyFont="1" applyBorder="1" applyAlignment="1">
      <alignment vertical="center" wrapText="1"/>
    </xf>
    <xf numFmtId="0" fontId="44" fillId="0" borderId="3" xfId="0" applyFont="1" applyBorder="1" applyAlignment="1">
      <alignment vertical="center" wrapText="1"/>
    </xf>
    <xf numFmtId="0" fontId="45" fillId="0" borderId="3" xfId="0" applyFont="1" applyBorder="1" applyAlignment="1">
      <alignment horizontal="center" vertical="center"/>
    </xf>
    <xf numFmtId="0" fontId="28" fillId="0" borderId="3" xfId="0" quotePrefix="1" applyFont="1" applyBorder="1" applyAlignment="1">
      <alignment horizontal="left" vertical="center" wrapText="1"/>
    </xf>
    <xf numFmtId="0" fontId="31" fillId="0" borderId="3" xfId="0" applyFont="1" applyBorder="1" applyAlignment="1">
      <alignment vertical="top"/>
    </xf>
    <xf numFmtId="0" fontId="46" fillId="9" borderId="3" xfId="0" applyFont="1" applyFill="1" applyBorder="1" applyAlignment="1">
      <alignment horizontal="center" vertical="top" wrapText="1"/>
    </xf>
    <xf numFmtId="0" fontId="75" fillId="0" borderId="3" xfId="0" applyFont="1" applyBorder="1" applyAlignment="1">
      <alignment horizontal="center" vertical="top" wrapText="1"/>
    </xf>
    <xf numFmtId="0" fontId="79" fillId="0" borderId="3" xfId="0" applyFont="1" applyBorder="1" applyAlignment="1">
      <alignment horizontal="center" vertical="top"/>
    </xf>
    <xf numFmtId="0" fontId="75" fillId="0" borderId="3" xfId="0" quotePrefix="1" applyFont="1" applyBorder="1" applyAlignment="1">
      <alignment horizontal="left" vertical="top" wrapText="1"/>
    </xf>
    <xf numFmtId="0" fontId="27" fillId="0" borderId="8" xfId="0" quotePrefix="1" applyFont="1" applyBorder="1" applyAlignment="1">
      <alignment vertical="top" wrapText="1"/>
    </xf>
    <xf numFmtId="0" fontId="29" fillId="9" borderId="3" xfId="0" applyFont="1" applyFill="1" applyBorder="1" applyAlignment="1">
      <alignment horizontal="left" vertical="top" wrapText="1"/>
    </xf>
    <xf numFmtId="0" fontId="29" fillId="9" borderId="3" xfId="0" quotePrefix="1" applyFont="1" applyFill="1" applyBorder="1" applyAlignment="1">
      <alignment horizontal="left" vertical="top" wrapText="1"/>
    </xf>
    <xf numFmtId="0" fontId="27" fillId="9" borderId="3" xfId="0" applyFont="1" applyFill="1" applyBorder="1" applyAlignment="1">
      <alignment vertical="center" wrapText="1"/>
    </xf>
    <xf numFmtId="0" fontId="44" fillId="9" borderId="3" xfId="0" applyFont="1" applyFill="1" applyBorder="1" applyAlignment="1">
      <alignment vertical="center" wrapText="1"/>
    </xf>
    <xf numFmtId="0" fontId="46" fillId="9" borderId="3" xfId="0" applyFont="1" applyFill="1" applyBorder="1" applyAlignment="1">
      <alignment vertical="top" wrapText="1"/>
    </xf>
    <xf numFmtId="0" fontId="46" fillId="9" borderId="3" xfId="0" applyFont="1" applyFill="1" applyBorder="1" applyAlignment="1">
      <alignment vertical="top"/>
    </xf>
    <xf numFmtId="0" fontId="31" fillId="9" borderId="3" xfId="0" applyFont="1" applyFill="1" applyBorder="1" applyAlignment="1">
      <alignment vertical="top"/>
    </xf>
    <xf numFmtId="0" fontId="52" fillId="9" borderId="3" xfId="0" applyFont="1" applyFill="1" applyBorder="1" applyAlignment="1">
      <alignment horizontal="center" vertical="center" wrapText="1"/>
    </xf>
    <xf numFmtId="0" fontId="52" fillId="9" borderId="3" xfId="0" applyFont="1" applyFill="1" applyBorder="1" applyAlignment="1">
      <alignment horizontal="left" vertical="top" wrapText="1"/>
    </xf>
    <xf numFmtId="0" fontId="31" fillId="9" borderId="3" xfId="0" applyFont="1" applyFill="1" applyBorder="1" applyAlignment="1">
      <alignment horizontal="center" vertical="center" wrapText="1"/>
    </xf>
    <xf numFmtId="0" fontId="31" fillId="9" borderId="3" xfId="0" applyFont="1" applyFill="1" applyBorder="1" applyAlignment="1">
      <alignment vertical="center" wrapText="1"/>
    </xf>
    <xf numFmtId="0" fontId="31" fillId="9" borderId="3" xfId="0" applyFont="1" applyFill="1" applyBorder="1" applyAlignment="1">
      <alignment horizontal="center" vertical="top"/>
    </xf>
    <xf numFmtId="0" fontId="46" fillId="9" borderId="3" xfId="0" applyFont="1" applyFill="1" applyBorder="1" applyAlignment="1">
      <alignment horizontal="center" vertical="top"/>
    </xf>
    <xf numFmtId="0" fontId="27" fillId="9" borderId="3" xfId="0" applyFont="1" applyFill="1" applyBorder="1" applyAlignment="1">
      <alignment vertical="top" wrapText="1"/>
    </xf>
    <xf numFmtId="0" fontId="3" fillId="9" borderId="3" xfId="0" applyFont="1" applyFill="1" applyBorder="1" applyAlignment="1">
      <alignment vertical="top" wrapText="1"/>
    </xf>
    <xf numFmtId="0" fontId="46" fillId="9" borderId="3" xfId="0" applyFont="1" applyFill="1" applyBorder="1" applyAlignment="1">
      <alignment horizontal="left" vertical="top" wrapText="1"/>
    </xf>
    <xf numFmtId="0" fontId="108" fillId="9" borderId="3" xfId="0" applyFont="1" applyFill="1" applyBorder="1" applyAlignment="1">
      <alignment horizontal="center" vertical="center" wrapText="1"/>
    </xf>
    <xf numFmtId="0" fontId="31" fillId="9" borderId="3" xfId="0" applyFont="1" applyFill="1" applyBorder="1" applyAlignment="1">
      <alignment horizontal="center" vertical="top" wrapText="1"/>
    </xf>
    <xf numFmtId="0" fontId="69" fillId="9" borderId="3" xfId="0" applyFont="1" applyFill="1" applyBorder="1" applyAlignment="1">
      <alignment vertical="top"/>
    </xf>
    <xf numFmtId="0" fontId="28" fillId="9" borderId="3" xfId="0" applyFont="1" applyFill="1" applyBorder="1" applyAlignment="1">
      <alignment horizontal="left" vertical="top" wrapText="1"/>
    </xf>
    <xf numFmtId="0" fontId="28" fillId="9" borderId="3" xfId="0" quotePrefix="1" applyFont="1" applyFill="1" applyBorder="1" applyAlignment="1">
      <alignment horizontal="left" vertical="top" wrapText="1"/>
    </xf>
    <xf numFmtId="0" fontId="44" fillId="9" borderId="3" xfId="0" applyFont="1" applyFill="1" applyBorder="1" applyAlignment="1">
      <alignment vertical="top" wrapText="1"/>
    </xf>
    <xf numFmtId="14" fontId="46" fillId="9" borderId="3" xfId="0" applyNumberFormat="1" applyFont="1" applyFill="1" applyBorder="1" applyAlignment="1" applyProtection="1">
      <alignment horizontal="center" vertical="top"/>
      <protection locked="0"/>
    </xf>
    <xf numFmtId="0" fontId="41" fillId="9" borderId="3" xfId="0" applyFont="1" applyFill="1" applyBorder="1" applyAlignment="1">
      <alignment horizontal="center" vertical="top" wrapText="1"/>
    </xf>
    <xf numFmtId="0" fontId="31" fillId="9" borderId="3" xfId="0" applyFont="1" applyFill="1" applyBorder="1" applyAlignment="1">
      <alignment horizontal="center" vertical="center" wrapText="1" shrinkToFit="1"/>
    </xf>
    <xf numFmtId="0" fontId="28" fillId="9" borderId="3" xfId="0" applyFont="1" applyFill="1" applyBorder="1" applyAlignment="1">
      <alignment horizontal="left" vertical="top"/>
    </xf>
    <xf numFmtId="0" fontId="27" fillId="9" borderId="3" xfId="23" applyFont="1" applyFill="1" applyBorder="1" applyAlignment="1">
      <alignment horizontal="center" vertical="top"/>
    </xf>
    <xf numFmtId="0" fontId="31" fillId="0" borderId="3" xfId="0" applyFont="1" applyBorder="1" applyAlignment="1">
      <alignment horizontal="left" vertical="center" wrapText="1" shrinkToFit="1"/>
    </xf>
    <xf numFmtId="0" fontId="56" fillId="0" borderId="3" xfId="0" quotePrefix="1" applyFont="1" applyBorder="1" applyAlignment="1">
      <alignment horizontal="left" vertical="center" wrapText="1"/>
    </xf>
    <xf numFmtId="0" fontId="27" fillId="0" borderId="6" xfId="0" applyFont="1" applyBorder="1" applyAlignment="1">
      <alignment horizontal="center" vertical="top" wrapText="1"/>
    </xf>
    <xf numFmtId="0" fontId="76" fillId="0" borderId="3" xfId="23" applyFont="1" applyBorder="1" applyAlignment="1">
      <alignment horizontal="center" vertical="top" wrapText="1"/>
    </xf>
    <xf numFmtId="0" fontId="75" fillId="0" borderId="3" xfId="0" applyFont="1" applyBorder="1" applyAlignment="1">
      <alignment horizontal="left" vertical="top" wrapText="1"/>
    </xf>
    <xf numFmtId="0" fontId="76" fillId="0" borderId="3" xfId="0" applyFont="1" applyBorder="1" applyAlignment="1">
      <alignment horizontal="left" vertical="top" wrapText="1"/>
    </xf>
    <xf numFmtId="0" fontId="106" fillId="0" borderId="3" xfId="0" applyFont="1" applyBorder="1" applyAlignment="1">
      <alignment horizontal="left" vertical="top" wrapText="1"/>
    </xf>
    <xf numFmtId="0" fontId="106" fillId="0" borderId="3" xfId="0" applyFont="1" applyBorder="1" applyAlignment="1">
      <alignment horizontal="center" vertical="top" wrapText="1"/>
    </xf>
    <xf numFmtId="0" fontId="98" fillId="0" borderId="3" xfId="0" applyFont="1" applyBorder="1" applyAlignment="1">
      <alignment horizontal="left" vertical="top" wrapText="1"/>
    </xf>
    <xf numFmtId="0" fontId="107" fillId="0" borderId="3" xfId="0" applyFont="1" applyBorder="1" applyAlignment="1">
      <alignment horizontal="center" vertical="top"/>
    </xf>
    <xf numFmtId="0" fontId="74" fillId="0" borderId="3" xfId="0" applyFont="1" applyBorder="1" applyAlignment="1">
      <alignment horizontal="left" vertical="top" wrapText="1"/>
    </xf>
    <xf numFmtId="0" fontId="36" fillId="0" borderId="3" xfId="0" applyFont="1" applyBorder="1" applyAlignment="1">
      <alignment horizontal="left" vertical="top" wrapText="1"/>
    </xf>
    <xf numFmtId="0" fontId="101" fillId="0" borderId="3" xfId="0" applyFont="1" applyBorder="1" applyAlignment="1">
      <alignment horizontal="center" vertical="top" wrapText="1"/>
    </xf>
    <xf numFmtId="0" fontId="101" fillId="0" borderId="3" xfId="0" applyFont="1" applyBorder="1" applyAlignment="1">
      <alignment horizontal="left" vertical="top" wrapText="1"/>
    </xf>
    <xf numFmtId="0" fontId="3" fillId="0" borderId="3" xfId="26" quotePrefix="1" applyFont="1" applyFill="1" applyBorder="1" applyAlignment="1">
      <alignment horizontal="left" vertical="top" wrapText="1"/>
    </xf>
    <xf numFmtId="0" fontId="77" fillId="0" borderId="3" xfId="26" quotePrefix="1" applyFont="1" applyFill="1" applyBorder="1" applyAlignment="1">
      <alignment horizontal="left" vertical="top" wrapText="1"/>
    </xf>
    <xf numFmtId="0" fontId="78" fillId="0" borderId="3" xfId="0" applyFont="1" applyBorder="1" applyAlignment="1">
      <alignment horizontal="left" vertical="top" wrapText="1"/>
    </xf>
    <xf numFmtId="0" fontId="99" fillId="0" borderId="3" xfId="0" applyFont="1" applyBorder="1" applyAlignment="1">
      <alignment horizontal="left" vertical="top" wrapText="1"/>
    </xf>
    <xf numFmtId="0" fontId="102" fillId="0" borderId="3" xfId="0" applyFont="1" applyBorder="1" applyAlignment="1">
      <alignment horizontal="center" vertical="top" wrapText="1"/>
    </xf>
    <xf numFmtId="0" fontId="102" fillId="0" borderId="3" xfId="23" applyFont="1" applyBorder="1" applyAlignment="1">
      <alignment horizontal="center" vertical="top" wrapText="1"/>
    </xf>
    <xf numFmtId="0" fontId="48" fillId="0" borderId="3" xfId="0" applyFont="1" applyBorder="1" applyAlignment="1">
      <alignment horizontal="center" vertical="top" wrapText="1"/>
    </xf>
    <xf numFmtId="0" fontId="3" fillId="0" borderId="3" xfId="0" applyFont="1" applyBorder="1" applyAlignment="1">
      <alignment horizontal="left" vertical="top" wrapText="1"/>
    </xf>
    <xf numFmtId="0" fontId="100" fillId="0" borderId="3" xfId="0" applyFont="1" applyBorder="1" applyAlignment="1">
      <alignment horizontal="center" vertical="top"/>
    </xf>
    <xf numFmtId="0" fontId="51" fillId="0" borderId="3" xfId="0" applyFont="1" applyBorder="1" applyAlignment="1">
      <alignment vertical="top" wrapText="1"/>
    </xf>
    <xf numFmtId="0" fontId="69" fillId="0" borderId="0" xfId="0" applyFont="1" applyAlignment="1">
      <alignment horizontal="center" vertical="top" wrapText="1"/>
    </xf>
    <xf numFmtId="0" fontId="102" fillId="0" borderId="3" xfId="0" quotePrefix="1" applyFont="1" applyBorder="1" applyAlignment="1">
      <alignment horizontal="left" vertical="top" wrapText="1"/>
    </xf>
    <xf numFmtId="0" fontId="36" fillId="0" borderId="3" xfId="47" quotePrefix="1" applyFont="1" applyFill="1" applyBorder="1" applyAlignment="1">
      <alignment horizontal="left" vertical="top" wrapText="1"/>
    </xf>
    <xf numFmtId="0" fontId="36" fillId="0" borderId="3" xfId="26" quotePrefix="1" applyFont="1" applyFill="1" applyBorder="1" applyAlignment="1">
      <alignment horizontal="left" vertical="top" wrapText="1"/>
    </xf>
    <xf numFmtId="0" fontId="81" fillId="0" borderId="3" xfId="47" quotePrefix="1" applyFont="1" applyFill="1" applyBorder="1" applyAlignment="1">
      <alignment horizontal="left" vertical="top" wrapText="1"/>
    </xf>
    <xf numFmtId="0" fontId="74" fillId="0" borderId="3" xfId="0" applyFont="1" applyBorder="1" applyAlignment="1">
      <alignment vertical="top" wrapText="1"/>
    </xf>
    <xf numFmtId="14" fontId="83" fillId="0" borderId="3" xfId="0" applyNumberFormat="1" applyFont="1" applyBorder="1" applyAlignment="1" applyProtection="1">
      <alignment horizontal="center" vertical="top"/>
      <protection locked="0"/>
    </xf>
    <xf numFmtId="0" fontId="102" fillId="0" borderId="3" xfId="0" applyFont="1" applyBorder="1" applyAlignment="1">
      <alignment horizontal="left" vertical="top" wrapText="1"/>
    </xf>
    <xf numFmtId="0" fontId="87" fillId="0" borderId="3" xfId="0" applyFont="1" applyBorder="1" applyAlignment="1">
      <alignment horizontal="left" vertical="top" wrapText="1"/>
    </xf>
    <xf numFmtId="0" fontId="51" fillId="0" borderId="3" xfId="0" quotePrefix="1" applyFont="1" applyBorder="1" applyAlignment="1">
      <alignment horizontal="left" vertical="top" wrapText="1"/>
    </xf>
    <xf numFmtId="0" fontId="56" fillId="0" borderId="3" xfId="0" applyFont="1" applyBorder="1" applyAlignment="1">
      <alignment vertical="top" wrapText="1"/>
    </xf>
    <xf numFmtId="0" fontId="83" fillId="0" borderId="3" xfId="0" applyFont="1" applyBorder="1" applyAlignment="1">
      <alignment horizontal="left" vertical="top" wrapText="1"/>
    </xf>
    <xf numFmtId="0" fontId="80" fillId="0" borderId="3" xfId="0" applyFont="1" applyBorder="1" applyAlignment="1">
      <alignment vertical="top" wrapText="1"/>
    </xf>
    <xf numFmtId="0" fontId="84" fillId="0" borderId="3" xfId="0" applyFont="1" applyBorder="1" applyAlignment="1">
      <alignment horizontal="center" vertical="top" wrapText="1"/>
    </xf>
    <xf numFmtId="0" fontId="102" fillId="0" borderId="7" xfId="23" applyFont="1" applyBorder="1" applyAlignment="1">
      <alignment horizontal="center" vertical="top" wrapText="1"/>
    </xf>
    <xf numFmtId="0" fontId="103" fillId="0" borderId="3" xfId="0" quotePrefix="1" applyFont="1" applyBorder="1" applyAlignment="1">
      <alignment horizontal="left" vertical="top" wrapText="1"/>
    </xf>
    <xf numFmtId="0" fontId="103" fillId="0" borderId="3" xfId="0" applyFont="1" applyBorder="1" applyAlignment="1">
      <alignment horizontal="left" vertical="top" wrapText="1"/>
    </xf>
    <xf numFmtId="0" fontId="69" fillId="0" borderId="3" xfId="0" applyFont="1" applyBorder="1" applyAlignment="1">
      <alignment horizontal="left" vertical="top" wrapText="1"/>
    </xf>
    <xf numFmtId="0" fontId="71" fillId="0" borderId="0" xfId="0" applyFont="1" applyAlignment="1">
      <alignment horizontal="left" vertical="center" wrapText="1"/>
    </xf>
    <xf numFmtId="0" fontId="3" fillId="0" borderId="3" xfId="0" applyFont="1" applyBorder="1" applyAlignment="1">
      <alignment vertical="top" wrapText="1"/>
    </xf>
    <xf numFmtId="0" fontId="82" fillId="9" borderId="3" xfId="0" applyFont="1" applyFill="1" applyBorder="1" applyAlignment="1">
      <alignment horizontal="center" vertical="top" wrapText="1"/>
    </xf>
    <xf numFmtId="0" fontId="82" fillId="9" borderId="3" xfId="0" applyFont="1" applyFill="1" applyBorder="1" applyAlignment="1">
      <alignment horizontal="left" vertical="top" wrapText="1"/>
    </xf>
    <xf numFmtId="0" fontId="75" fillId="9" borderId="3" xfId="0" quotePrefix="1" applyFont="1" applyFill="1" applyBorder="1" applyAlignment="1">
      <alignment horizontal="left" vertical="top" wrapText="1"/>
    </xf>
    <xf numFmtId="0" fontId="48" fillId="9" borderId="3" xfId="0" applyFont="1" applyFill="1" applyBorder="1" applyAlignment="1">
      <alignment horizontal="left" vertical="top" wrapText="1"/>
    </xf>
    <xf numFmtId="0" fontId="102" fillId="0" borderId="3" xfId="0" applyFont="1" applyBorder="1" applyAlignment="1">
      <alignment vertical="top" wrapText="1"/>
    </xf>
    <xf numFmtId="0" fontId="57" fillId="9" borderId="10" xfId="0" applyFont="1" applyFill="1" applyBorder="1" applyAlignment="1">
      <alignment horizontal="left" vertical="center" wrapText="1"/>
    </xf>
    <xf numFmtId="0" fontId="58" fillId="9" borderId="10" xfId="0" applyFont="1" applyFill="1" applyBorder="1" applyAlignment="1">
      <alignment horizontal="left" vertical="center" wrapText="1"/>
    </xf>
    <xf numFmtId="49" fontId="47" fillId="9" borderId="10" xfId="0" applyNumberFormat="1" applyFont="1" applyFill="1" applyBorder="1" applyAlignment="1">
      <alignment horizontal="left" vertical="center" wrapText="1"/>
    </xf>
    <xf numFmtId="0" fontId="31" fillId="9" borderId="0" xfId="0" applyFont="1" applyFill="1" applyAlignment="1">
      <alignment vertical="center"/>
    </xf>
    <xf numFmtId="0" fontId="27" fillId="9" borderId="6" xfId="0" applyFont="1" applyFill="1" applyBorder="1" applyAlignment="1">
      <alignment horizontal="center" vertical="center" wrapText="1"/>
    </xf>
    <xf numFmtId="0" fontId="29" fillId="9" borderId="3" xfId="0" applyFont="1" applyFill="1" applyBorder="1" applyAlignment="1">
      <alignment horizontal="center" vertical="center"/>
    </xf>
    <xf numFmtId="0" fontId="57" fillId="9" borderId="12" xfId="0" applyFont="1" applyFill="1" applyBorder="1" applyAlignment="1">
      <alignment horizontal="left" vertical="center" wrapText="1"/>
    </xf>
    <xf numFmtId="0" fontId="58" fillId="9" borderId="12" xfId="0" applyFont="1" applyFill="1" applyBorder="1" applyAlignment="1">
      <alignment horizontal="left" vertical="center" wrapText="1"/>
    </xf>
    <xf numFmtId="49" fontId="47" fillId="9" borderId="12" xfId="0" applyNumberFormat="1" applyFont="1" applyFill="1" applyBorder="1" applyAlignment="1">
      <alignment horizontal="left" vertical="center" wrapText="1"/>
    </xf>
    <xf numFmtId="0" fontId="47" fillId="9" borderId="12" xfId="0" applyFont="1" applyFill="1" applyBorder="1" applyAlignment="1">
      <alignment horizontal="center" vertical="center" wrapText="1"/>
    </xf>
    <xf numFmtId="0" fontId="47" fillId="9" borderId="16" xfId="0" applyFont="1" applyFill="1" applyBorder="1" applyAlignment="1">
      <alignment horizontal="center" vertical="center" wrapText="1"/>
    </xf>
    <xf numFmtId="0" fontId="76" fillId="0" borderId="3" xfId="23" applyFont="1" applyBorder="1" applyAlignment="1">
      <alignment horizontal="center" vertical="center" wrapText="1"/>
    </xf>
    <xf numFmtId="0" fontId="44" fillId="0" borderId="3" xfId="0" applyFont="1" applyBorder="1" applyAlignment="1">
      <alignment horizontal="center" vertical="center" wrapText="1"/>
    </xf>
    <xf numFmtId="0" fontId="82" fillId="0" borderId="3" xfId="0" applyFont="1" applyBorder="1" applyAlignment="1">
      <alignment horizontal="center" vertical="center" wrapText="1"/>
    </xf>
    <xf numFmtId="0" fontId="110" fillId="9" borderId="10" xfId="0" applyFont="1" applyFill="1" applyBorder="1" applyAlignment="1">
      <alignment horizontal="left" vertical="center" wrapText="1"/>
    </xf>
    <xf numFmtId="0" fontId="111" fillId="9" borderId="10" xfId="0" applyFont="1" applyFill="1" applyBorder="1" applyAlignment="1">
      <alignment horizontal="left" vertical="center" wrapText="1"/>
    </xf>
    <xf numFmtId="0" fontId="110" fillId="9" borderId="12" xfId="0" applyFont="1" applyFill="1" applyBorder="1" applyAlignment="1">
      <alignment horizontal="left" vertical="center" wrapText="1"/>
    </xf>
    <xf numFmtId="0" fontId="111" fillId="9" borderId="12" xfId="0" applyFont="1" applyFill="1" applyBorder="1" applyAlignment="1">
      <alignment horizontal="left" vertical="center" wrapText="1"/>
    </xf>
    <xf numFmtId="0" fontId="109" fillId="9" borderId="3" xfId="0" applyFont="1" applyFill="1" applyBorder="1" applyAlignment="1">
      <alignment horizontal="left" vertical="top" wrapText="1"/>
    </xf>
    <xf numFmtId="0" fontId="109" fillId="9" borderId="3" xfId="0" quotePrefix="1" applyFont="1" applyFill="1" applyBorder="1" applyAlignment="1">
      <alignment horizontal="left" vertical="top" wrapText="1"/>
    </xf>
    <xf numFmtId="0" fontId="36" fillId="0" borderId="3" xfId="0" quotePrefix="1" applyFont="1" applyBorder="1" applyAlignment="1">
      <alignment vertical="top" wrapText="1"/>
    </xf>
    <xf numFmtId="0" fontId="31" fillId="0" borderId="3" xfId="0" quotePrefix="1" applyFont="1" applyBorder="1" applyAlignment="1">
      <alignment vertical="top" wrapText="1"/>
    </xf>
    <xf numFmtId="0" fontId="68" fillId="0" borderId="3" xfId="35" applyFont="1" applyBorder="1" applyAlignment="1" applyProtection="1">
      <alignment horizontal="center" vertical="center" wrapText="1"/>
      <protection locked="0"/>
    </xf>
    <xf numFmtId="0" fontId="68" fillId="0" borderId="3" xfId="35" applyFont="1" applyBorder="1" applyAlignment="1" applyProtection="1">
      <alignment horizontal="center" vertical="top" wrapText="1"/>
      <protection locked="0"/>
    </xf>
    <xf numFmtId="0" fontId="43" fillId="0" borderId="7" xfId="0" quotePrefix="1" applyFont="1" applyBorder="1" applyAlignment="1">
      <alignment vertical="top" wrapText="1"/>
    </xf>
    <xf numFmtId="0" fontId="112" fillId="9" borderId="3" xfId="0" applyFont="1" applyFill="1" applyBorder="1" applyAlignment="1">
      <alignment horizontal="center" vertical="top" wrapText="1"/>
    </xf>
    <xf numFmtId="0" fontId="48" fillId="9" borderId="3" xfId="23" applyFont="1" applyFill="1" applyBorder="1" applyAlignment="1">
      <alignment horizontal="center" vertical="top" wrapText="1"/>
    </xf>
    <xf numFmtId="0" fontId="48" fillId="9" borderId="3" xfId="0" applyFont="1" applyFill="1" applyBorder="1" applyAlignment="1">
      <alignment horizontal="center" vertical="top" wrapText="1"/>
    </xf>
    <xf numFmtId="0" fontId="76" fillId="9" borderId="3" xfId="0" applyFont="1" applyFill="1" applyBorder="1" applyAlignment="1">
      <alignment horizontal="center" vertical="top" wrapText="1"/>
    </xf>
    <xf numFmtId="0" fontId="75" fillId="9" borderId="3" xfId="0" applyFont="1" applyFill="1" applyBorder="1" applyAlignment="1">
      <alignment horizontal="center" vertical="top" wrapText="1"/>
    </xf>
    <xf numFmtId="0" fontId="76" fillId="9" borderId="3" xfId="0" applyFont="1" applyFill="1" applyBorder="1" applyAlignment="1">
      <alignment vertical="top" wrapText="1"/>
    </xf>
    <xf numFmtId="0" fontId="78" fillId="9" borderId="3" xfId="0" applyFont="1" applyFill="1" applyBorder="1" applyAlignment="1">
      <alignment vertical="top" wrapText="1"/>
    </xf>
    <xf numFmtId="0" fontId="79" fillId="9" borderId="3" xfId="0" applyFont="1" applyFill="1" applyBorder="1" applyAlignment="1">
      <alignment horizontal="center" vertical="top"/>
    </xf>
    <xf numFmtId="0" fontId="29" fillId="9" borderId="3" xfId="0" applyFont="1" applyFill="1" applyBorder="1" applyAlignment="1">
      <alignment horizontal="left" vertical="top"/>
    </xf>
    <xf numFmtId="0" fontId="75" fillId="9" borderId="3" xfId="0" applyFont="1" applyFill="1" applyBorder="1" applyAlignment="1">
      <alignment horizontal="left" vertical="top" wrapText="1"/>
    </xf>
    <xf numFmtId="0" fontId="76" fillId="9" borderId="3" xfId="0" applyFont="1" applyFill="1" applyBorder="1" applyAlignment="1">
      <alignment horizontal="left" vertical="top" wrapText="1"/>
    </xf>
    <xf numFmtId="14" fontId="29" fillId="9" borderId="3" xfId="0" applyNumberFormat="1" applyFont="1" applyFill="1" applyBorder="1" applyAlignment="1" applyProtection="1">
      <alignment horizontal="center" vertical="top"/>
      <protection locked="0"/>
    </xf>
    <xf numFmtId="0" fontId="104" fillId="0" borderId="0" xfId="60" applyFont="1" applyAlignment="1">
      <alignment horizontal="center"/>
    </xf>
    <xf numFmtId="0" fontId="27" fillId="0" borderId="7" xfId="0" applyFont="1" applyBorder="1" applyAlignment="1">
      <alignment horizontal="left" vertical="top" wrapText="1"/>
    </xf>
    <xf numFmtId="0" fontId="27" fillId="0" borderId="8" xfId="0" applyFont="1" applyBorder="1" applyAlignment="1">
      <alignment horizontal="left" vertical="top" wrapText="1"/>
    </xf>
    <xf numFmtId="0" fontId="27" fillId="0" borderId="6" xfId="0" applyFont="1" applyBorder="1" applyAlignment="1">
      <alignment horizontal="left" vertical="top" wrapText="1"/>
    </xf>
    <xf numFmtId="0" fontId="101" fillId="9" borderId="7" xfId="0" applyFont="1" applyFill="1" applyBorder="1" applyAlignment="1">
      <alignment horizontal="center" vertical="top" wrapText="1"/>
    </xf>
    <xf numFmtId="0" fontId="101" fillId="9" borderId="8" xfId="0" applyFont="1" applyFill="1" applyBorder="1" applyAlignment="1">
      <alignment horizontal="center" vertical="top" wrapText="1"/>
    </xf>
    <xf numFmtId="0" fontId="101" fillId="9" borderId="6" xfId="0" applyFont="1" applyFill="1" applyBorder="1" applyAlignment="1">
      <alignment horizontal="center" vertical="top" wrapText="1"/>
    </xf>
    <xf numFmtId="0" fontId="42" fillId="6" borderId="3"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27" fillId="0" borderId="7" xfId="0" applyFont="1" applyBorder="1" applyAlignment="1">
      <alignment horizontal="center" vertical="top" wrapText="1"/>
    </xf>
    <xf numFmtId="0" fontId="27" fillId="0" borderId="6" xfId="0" applyFont="1" applyBorder="1" applyAlignment="1">
      <alignment horizontal="center" vertical="top" wrapText="1"/>
    </xf>
    <xf numFmtId="0" fontId="43" fillId="0" borderId="7" xfId="0" quotePrefix="1" applyFont="1" applyBorder="1" applyAlignment="1">
      <alignment horizontal="left" vertical="top" wrapText="1"/>
    </xf>
    <xf numFmtId="0" fontId="43" fillId="0" borderId="6" xfId="0" quotePrefix="1" applyFont="1" applyBorder="1" applyAlignment="1">
      <alignment horizontal="left" vertical="top" wrapText="1"/>
    </xf>
    <xf numFmtId="0" fontId="56" fillId="9" borderId="7" xfId="0" applyFont="1" applyFill="1" applyBorder="1" applyAlignment="1">
      <alignment vertical="top" wrapText="1"/>
    </xf>
    <xf numFmtId="0" fontId="56" fillId="9" borderId="8" xfId="0" applyFont="1" applyFill="1" applyBorder="1" applyAlignment="1">
      <alignment vertical="top" wrapText="1"/>
    </xf>
    <xf numFmtId="0" fontId="56" fillId="9" borderId="6" xfId="0" applyFont="1" applyFill="1" applyBorder="1" applyAlignment="1">
      <alignment vertical="top" wrapText="1"/>
    </xf>
    <xf numFmtId="0" fontId="31" fillId="0" borderId="7" xfId="0" applyFont="1" applyBorder="1" applyAlignment="1">
      <alignment horizontal="left" vertical="top" wrapText="1"/>
    </xf>
    <xf numFmtId="0" fontId="31" fillId="0" borderId="6" xfId="0" applyFont="1" applyBorder="1" applyAlignment="1">
      <alignment horizontal="left" vertical="top" wrapText="1"/>
    </xf>
    <xf numFmtId="0" fontId="31" fillId="0" borderId="7" xfId="0" applyFont="1" applyBorder="1" applyAlignment="1">
      <alignment horizontal="center" vertical="top" wrapText="1"/>
    </xf>
    <xf numFmtId="0" fontId="31" fillId="0" borderId="8" xfId="0" applyFont="1" applyBorder="1" applyAlignment="1">
      <alignment horizontal="center" vertical="top" wrapText="1"/>
    </xf>
    <xf numFmtId="0" fontId="102" fillId="0" borderId="7" xfId="0" applyFont="1" applyBorder="1" applyAlignment="1">
      <alignment horizontal="left" vertical="top" wrapText="1"/>
    </xf>
    <xf numFmtId="0" fontId="102" fillId="0" borderId="8" xfId="0" applyFont="1" applyBorder="1" applyAlignment="1">
      <alignment horizontal="left" vertical="top" wrapText="1"/>
    </xf>
    <xf numFmtId="0" fontId="102" fillId="0" borderId="6" xfId="0" applyFont="1" applyBorder="1" applyAlignment="1">
      <alignment horizontal="left" vertical="top" wrapText="1"/>
    </xf>
    <xf numFmtId="0" fontId="102" fillId="0" borderId="7" xfId="23" applyFont="1" applyBorder="1" applyAlignment="1">
      <alignment horizontal="center" vertical="top" wrapText="1"/>
    </xf>
    <xf numFmtId="0" fontId="102" fillId="0" borderId="8" xfId="23" applyFont="1" applyBorder="1" applyAlignment="1">
      <alignment horizontal="center" vertical="top"/>
    </xf>
    <xf numFmtId="0" fontId="102" fillId="0" borderId="6" xfId="23" applyFont="1" applyBorder="1" applyAlignment="1">
      <alignment horizontal="center" vertical="top"/>
    </xf>
    <xf numFmtId="0" fontId="101" fillId="0" borderId="7" xfId="0" applyFont="1" applyBorder="1" applyAlignment="1">
      <alignment horizontal="center" vertical="top" wrapText="1"/>
    </xf>
    <xf numFmtId="0" fontId="101" fillId="0" borderId="8" xfId="0" applyFont="1" applyBorder="1" applyAlignment="1">
      <alignment horizontal="center" vertical="top" wrapText="1"/>
    </xf>
    <xf numFmtId="0" fontId="101" fillId="0" borderId="6" xfId="0" applyFont="1" applyBorder="1" applyAlignment="1">
      <alignment horizontal="center" vertical="top" wrapText="1"/>
    </xf>
    <xf numFmtId="0" fontId="76" fillId="0" borderId="7" xfId="0" applyFont="1" applyBorder="1" applyAlignment="1">
      <alignment horizontal="left" vertical="top" wrapText="1"/>
    </xf>
    <xf numFmtId="0" fontId="76" fillId="0" borderId="6" xfId="0" applyFont="1" applyBorder="1" applyAlignment="1">
      <alignment horizontal="left" vertical="top" wrapText="1"/>
    </xf>
    <xf numFmtId="0" fontId="103" fillId="0" borderId="7" xfId="0" quotePrefix="1" applyFont="1" applyBorder="1" applyAlignment="1">
      <alignment horizontal="left" vertical="center" wrapText="1"/>
    </xf>
    <xf numFmtId="0" fontId="103" fillId="0" borderId="8" xfId="0" quotePrefix="1" applyFont="1" applyBorder="1" applyAlignment="1">
      <alignment horizontal="left" vertical="center" wrapText="1"/>
    </xf>
    <xf numFmtId="0" fontId="103" fillId="0" borderId="6" xfId="0" quotePrefix="1" applyFont="1" applyBorder="1" applyAlignment="1">
      <alignment horizontal="left" vertical="center" wrapText="1"/>
    </xf>
    <xf numFmtId="0" fontId="103" fillId="0" borderId="7" xfId="0" applyFont="1" applyBorder="1" applyAlignment="1">
      <alignment horizontal="left" vertical="top" wrapText="1"/>
    </xf>
    <xf numFmtId="0" fontId="103" fillId="0" borderId="6"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48" fillId="0" borderId="6" xfId="0" applyFont="1" applyBorder="1" applyAlignment="1">
      <alignment horizontal="left" vertical="top" wrapText="1"/>
    </xf>
    <xf numFmtId="0" fontId="48" fillId="0" borderId="7" xfId="0" quotePrefix="1" applyFont="1" applyBorder="1" applyAlignment="1">
      <alignment horizontal="left" vertical="top" wrapText="1"/>
    </xf>
    <xf numFmtId="0" fontId="102" fillId="0" borderId="7" xfId="0" applyFont="1" applyBorder="1" applyAlignment="1">
      <alignment horizontal="center" vertical="top" wrapText="1"/>
    </xf>
    <xf numFmtId="0" fontId="102" fillId="0" borderId="8" xfId="0" applyFont="1" applyBorder="1" applyAlignment="1">
      <alignment horizontal="center" vertical="top" wrapText="1"/>
    </xf>
    <xf numFmtId="0" fontId="102" fillId="0" borderId="6" xfId="0" applyFont="1" applyBorder="1" applyAlignment="1">
      <alignment horizontal="center" vertical="top" wrapText="1"/>
    </xf>
    <xf numFmtId="0" fontId="27" fillId="0" borderId="7" xfId="0" quotePrefix="1" applyFont="1" applyBorder="1" applyAlignment="1">
      <alignment vertical="top" wrapText="1"/>
    </xf>
    <xf numFmtId="0" fontId="27" fillId="0" borderId="8" xfId="0" quotePrefix="1" applyFont="1" applyBorder="1" applyAlignment="1">
      <alignment vertical="top" wrapText="1"/>
    </xf>
    <xf numFmtId="0" fontId="27" fillId="0" borderId="6" xfId="0" quotePrefix="1" applyFont="1" applyBorder="1" applyAlignment="1">
      <alignment vertical="top" wrapText="1"/>
    </xf>
    <xf numFmtId="0" fontId="31" fillId="0" borderId="11" xfId="0" applyFont="1" applyBorder="1" applyAlignment="1">
      <alignment horizontal="left" vertical="top" wrapText="1"/>
    </xf>
    <xf numFmtId="0" fontId="31" fillId="0" borderId="13" xfId="0" applyFont="1" applyBorder="1" applyAlignment="1">
      <alignment horizontal="left" vertical="top" wrapText="1"/>
    </xf>
    <xf numFmtId="0" fontId="31" fillId="0" borderId="9" xfId="0" applyFont="1" applyBorder="1" applyAlignment="1">
      <alignment horizontal="left" vertical="top" wrapText="1"/>
    </xf>
    <xf numFmtId="0" fontId="41" fillId="5" borderId="7" xfId="0" applyFont="1" applyFill="1" applyBorder="1" applyAlignment="1">
      <alignment horizontal="center" vertical="center" wrapText="1"/>
    </xf>
    <xf numFmtId="0" fontId="41" fillId="5" borderId="6" xfId="0" applyFont="1" applyFill="1" applyBorder="1" applyAlignment="1">
      <alignment horizontal="center" vertical="center" wrapText="1"/>
    </xf>
    <xf numFmtId="0" fontId="62" fillId="5" borderId="22" xfId="27" applyFont="1" applyFill="1" applyBorder="1" applyAlignment="1">
      <alignment horizontal="center" vertical="center"/>
    </xf>
    <xf numFmtId="0" fontId="62" fillId="5" borderId="27" xfId="27" applyFont="1" applyFill="1" applyBorder="1" applyAlignment="1">
      <alignment horizontal="center" vertical="center"/>
    </xf>
    <xf numFmtId="0" fontId="62" fillId="12" borderId="19" xfId="29" applyFont="1" applyFill="1" applyBorder="1" applyAlignment="1">
      <alignment horizontal="center" vertical="center" wrapText="1"/>
    </xf>
    <xf numFmtId="0" fontId="62" fillId="12" borderId="20" xfId="29" applyFont="1" applyFill="1" applyBorder="1" applyAlignment="1">
      <alignment horizontal="center" vertical="center" wrapText="1"/>
    </xf>
    <xf numFmtId="0" fontId="62" fillId="12" borderId="25" xfId="29" applyFont="1" applyFill="1" applyBorder="1" applyAlignment="1">
      <alignment horizontal="center" vertical="center" wrapText="1"/>
    </xf>
    <xf numFmtId="0" fontId="62" fillId="12" borderId="22" xfId="29" applyFont="1" applyFill="1" applyBorder="1" applyAlignment="1">
      <alignment horizontal="center" vertical="center" wrapText="1"/>
    </xf>
    <xf numFmtId="0" fontId="62" fillId="12" borderId="27" xfId="29" applyFont="1" applyFill="1" applyBorder="1" applyAlignment="1">
      <alignment horizontal="center" vertical="center" wrapText="1"/>
    </xf>
    <xf numFmtId="0" fontId="62" fillId="5" borderId="19" xfId="27" applyFont="1" applyFill="1" applyBorder="1" applyAlignment="1">
      <alignment horizontal="center" vertical="center"/>
    </xf>
    <xf numFmtId="0" fontId="62" fillId="5" borderId="24" xfId="27" applyFont="1" applyFill="1" applyBorder="1" applyAlignment="1">
      <alignment horizontal="center" vertical="center"/>
    </xf>
    <xf numFmtId="0" fontId="62" fillId="5" borderId="20" xfId="27" applyFont="1" applyFill="1" applyBorder="1" applyAlignment="1">
      <alignment horizontal="center" vertical="center"/>
    </xf>
    <xf numFmtId="0" fontId="62" fillId="5" borderId="25" xfId="27" applyFont="1" applyFill="1" applyBorder="1" applyAlignment="1">
      <alignment horizontal="center" vertical="center"/>
    </xf>
    <xf numFmtId="0" fontId="62" fillId="5" borderId="21" xfId="27" applyFont="1" applyFill="1" applyBorder="1" applyAlignment="1">
      <alignment horizontal="center" vertical="center"/>
    </xf>
    <xf numFmtId="0" fontId="62" fillId="5" borderId="26" xfId="27" applyFont="1" applyFill="1" applyBorder="1" applyAlignment="1">
      <alignment horizontal="center" vertical="center"/>
    </xf>
  </cellXfs>
  <cellStyles count="139">
    <cellStyle name="20% - 강조색1 2" xfId="41"/>
    <cellStyle name="20% - 강조색1 2 2" xfId="53"/>
    <cellStyle name="20% - 강조색1 2 2 2" xfId="77"/>
    <cellStyle name="20% - 강조색1 2 2 2 2" xfId="133"/>
    <cellStyle name="20% - 강조색1 2 2 3" xfId="111"/>
    <cellStyle name="20% - 강조색1 2 3" xfId="66"/>
    <cellStyle name="20% - 강조색1 2 3 2" xfId="122"/>
    <cellStyle name="20% - 강조색1 2 4" xfId="84"/>
    <cellStyle name="Body" xfId="6"/>
    <cellStyle name="Calc Currency (0)" xfId="7"/>
    <cellStyle name="Comma [0]_ SG&amp;A Bridge " xfId="8"/>
    <cellStyle name="Comma_ SG&amp;A Bridge " xfId="9"/>
    <cellStyle name="Copied" xfId="10"/>
    <cellStyle name="Currency [0]_ SG&amp;A Bridge " xfId="11"/>
    <cellStyle name="Currency_ SG&amp;A Bridge " xfId="12"/>
    <cellStyle name="Entered" xfId="13"/>
    <cellStyle name="Grey" xfId="14"/>
    <cellStyle name="Header1" xfId="15"/>
    <cellStyle name="Header2" xfId="16"/>
    <cellStyle name="Input [yellow]" xfId="17"/>
    <cellStyle name="Normal - Style1" xfId="18"/>
    <cellStyle name="Normal_ SG&amp;A Bridge " xfId="19"/>
    <cellStyle name="Percent [2]" xfId="20"/>
    <cellStyle name="RevList" xfId="21"/>
    <cellStyle name="Subtotal" xfId="22"/>
    <cellStyle name="나쁨" xfId="26" builtinId="27"/>
    <cellStyle name="보통" xfId="47" builtinId="28"/>
    <cellStyle name="보통 2" xfId="105"/>
    <cellStyle name="뷭?_BOOKSHIP" xfId="1"/>
    <cellStyle name="쉼표 [0] 11" xfId="32"/>
    <cellStyle name="쉼표 [0] 11 2" xfId="43"/>
    <cellStyle name="쉼표 [0] 11 2 2" xfId="55"/>
    <cellStyle name="쉼표 [0] 11 2 2 2" xfId="79"/>
    <cellStyle name="쉼표 [0] 11 2 2 2 2" xfId="135"/>
    <cellStyle name="쉼표 [0] 11 2 2 3" xfId="113"/>
    <cellStyle name="쉼표 [0] 11 2 3" xfId="68"/>
    <cellStyle name="쉼표 [0] 11 2 3 2" xfId="124"/>
    <cellStyle name="쉼표 [0] 11 2 4" xfId="102"/>
    <cellStyle name="쉼표 [0] 11 2 5" xfId="93"/>
    <cellStyle name="쉼표 [0] 11 3" xfId="49"/>
    <cellStyle name="쉼표 [0] 11 3 2" xfId="73"/>
    <cellStyle name="쉼표 [0] 11 3 2 2" xfId="129"/>
    <cellStyle name="쉼표 [0] 11 3 3" xfId="107"/>
    <cellStyle name="쉼표 [0] 11 3 4" xfId="88"/>
    <cellStyle name="쉼표 [0] 11 4" xfId="62"/>
    <cellStyle name="쉼표 [0] 11 4 2" xfId="118"/>
    <cellStyle name="쉼표 [0] 11 5" xfId="98"/>
    <cellStyle name="쉼표 [0] 11 6" xfId="85"/>
    <cellStyle name="쉼표 [0] 12" xfId="30"/>
    <cellStyle name="쉼표 [0] 12 2" xfId="42"/>
    <cellStyle name="쉼표 [0] 12 2 2" xfId="54"/>
    <cellStyle name="쉼표 [0] 12 2 2 2" xfId="78"/>
    <cellStyle name="쉼표 [0] 12 2 2 2 2" xfId="134"/>
    <cellStyle name="쉼표 [0] 12 2 2 3" xfId="112"/>
    <cellStyle name="쉼표 [0] 12 2 3" xfId="67"/>
    <cellStyle name="쉼표 [0] 12 2 3 2" xfId="123"/>
    <cellStyle name="쉼표 [0] 12 2 4" xfId="101"/>
    <cellStyle name="쉼표 [0] 12 2 5" xfId="92"/>
    <cellStyle name="쉼표 [0] 12 3" xfId="48"/>
    <cellStyle name="쉼표 [0] 12 3 2" xfId="72"/>
    <cellStyle name="쉼표 [0] 12 3 2 2" xfId="128"/>
    <cellStyle name="쉼표 [0] 12 3 3" xfId="106"/>
    <cellStyle name="쉼표 [0] 12 4" xfId="61"/>
    <cellStyle name="쉼표 [0] 12 4 2" xfId="117"/>
    <cellStyle name="쉼표 [0] 12 5" xfId="97"/>
    <cellStyle name="쉼표 [0] 12 6" xfId="87"/>
    <cellStyle name="쉼표 [0] 5 6" xfId="38"/>
    <cellStyle name="쉼표 [0] 5 6 2" xfId="45"/>
    <cellStyle name="쉼표 [0] 5 6 2 2" xfId="57"/>
    <cellStyle name="쉼표 [0] 5 6 2 2 2" xfId="81"/>
    <cellStyle name="쉼표 [0] 5 6 2 2 2 2" xfId="137"/>
    <cellStyle name="쉼표 [0] 5 6 2 2 3" xfId="115"/>
    <cellStyle name="쉼표 [0] 5 6 2 3" xfId="70"/>
    <cellStyle name="쉼표 [0] 5 6 2 3 2" xfId="126"/>
    <cellStyle name="쉼표 [0] 5 6 2 4" xfId="104"/>
    <cellStyle name="쉼표 [0] 5 6 2 5" xfId="95"/>
    <cellStyle name="쉼표 [0] 5 6 3" xfId="51"/>
    <cellStyle name="쉼표 [0] 5 6 3 2" xfId="75"/>
    <cellStyle name="쉼표 [0] 5 6 3 2 2" xfId="131"/>
    <cellStyle name="쉼표 [0] 5 6 3 3" xfId="109"/>
    <cellStyle name="쉼표 [0] 5 6 4" xfId="64"/>
    <cellStyle name="쉼표 [0] 5 6 4 2" xfId="120"/>
    <cellStyle name="쉼표 [0] 5 6 5" xfId="100"/>
    <cellStyle name="쉼표 [0] 5 6 6" xfId="90"/>
    <cellStyle name="쉼표 [0] 69" xfId="34"/>
    <cellStyle name="쉼표 [0] 69 2" xfId="44"/>
    <cellStyle name="쉼표 [0] 69 2 2" xfId="56"/>
    <cellStyle name="쉼표 [0] 69 2 2 2" xfId="80"/>
    <cellStyle name="쉼표 [0] 69 2 2 2 2" xfId="136"/>
    <cellStyle name="쉼표 [0] 69 2 2 3" xfId="114"/>
    <cellStyle name="쉼표 [0] 69 2 3" xfId="69"/>
    <cellStyle name="쉼표 [0] 69 2 3 2" xfId="125"/>
    <cellStyle name="쉼표 [0] 69 2 4" xfId="103"/>
    <cellStyle name="쉼표 [0] 69 2 5" xfId="94"/>
    <cellStyle name="쉼표 [0] 69 3" xfId="50"/>
    <cellStyle name="쉼표 [0] 69 3 2" xfId="74"/>
    <cellStyle name="쉼표 [0] 69 3 2 2" xfId="130"/>
    <cellStyle name="쉼표 [0] 69 3 3" xfId="108"/>
    <cellStyle name="쉼표 [0] 69 4" xfId="63"/>
    <cellStyle name="쉼표 [0] 69 4 2" xfId="119"/>
    <cellStyle name="쉼표 [0] 69 5" xfId="99"/>
    <cellStyle name="쉼표 [0] 69 6" xfId="89"/>
    <cellStyle name="스타일 1" xfId="2"/>
    <cellStyle name="콤마 [0]_1202" xfId="3"/>
    <cellStyle name="콤마_1202" xfId="4"/>
    <cellStyle name="표준" xfId="0" builtinId="0"/>
    <cellStyle name="표준 10" xfId="60"/>
    <cellStyle name="표준 10 2 3" xfId="29"/>
    <cellStyle name="표준 2" xfId="5"/>
    <cellStyle name="표준 2 18" xfId="35"/>
    <cellStyle name="표준 2 2" xfId="31"/>
    <cellStyle name="표준 2 2 4 2" xfId="40"/>
    <cellStyle name="표준 2 2 7" xfId="37"/>
    <cellStyle name="표준 2 3" xfId="33"/>
    <cellStyle name="표준 2 5" xfId="27"/>
    <cellStyle name="표준 21" xfId="25"/>
    <cellStyle name="표준 22" xfId="24"/>
    <cellStyle name="표준 3" xfId="86"/>
    <cellStyle name="표준 4" xfId="83"/>
    <cellStyle name="표준 41" xfId="59"/>
    <cellStyle name="표준 6" xfId="39"/>
    <cellStyle name="표준 6 2" xfId="46"/>
    <cellStyle name="표준 6 2 2" xfId="58"/>
    <cellStyle name="표준 6 2 2 2" xfId="82"/>
    <cellStyle name="표준 6 2 2 2 2" xfId="138"/>
    <cellStyle name="표준 6 2 2 3" xfId="116"/>
    <cellStyle name="표준 6 2 3" xfId="71"/>
    <cellStyle name="표준 6 2 3 2" xfId="127"/>
    <cellStyle name="표준 6 2 4" xfId="96"/>
    <cellStyle name="표준 6 3" xfId="52"/>
    <cellStyle name="표준 6 3 2" xfId="76"/>
    <cellStyle name="표준 6 3 2 2" xfId="132"/>
    <cellStyle name="표준 6 3 3" xfId="110"/>
    <cellStyle name="표준 6 4" xfId="65"/>
    <cellStyle name="표준 6 4 2" xfId="121"/>
    <cellStyle name="표준 6 5" xfId="91"/>
    <cellStyle name="표준 65" xfId="36"/>
    <cellStyle name="표준_Activity Group(MM)-EN v4-0324" xfId="28"/>
    <cellStyle name="표준_PAID-BR12-01-요구사항추적표(포털)" xfId="23"/>
  </cellStyles>
  <dxfs count="406">
    <dxf>
      <font>
        <color rgb="FF002060"/>
      </font>
      <fill>
        <patternFill>
          <bgColor theme="3" tint="0.59996337778862885"/>
        </patternFill>
      </fill>
    </dxf>
    <dxf>
      <font>
        <color theme="9" tint="-0.499984740745262"/>
      </font>
      <fill>
        <patternFill>
          <bgColor rgb="FFFFFF00"/>
        </patternFill>
      </fill>
    </dxf>
    <dxf>
      <font>
        <color rgb="FF9C0006"/>
      </font>
      <fill>
        <patternFill>
          <bgColor rgb="FFFFC7CE"/>
        </patternFill>
      </fill>
    </dxf>
    <dxf>
      <font>
        <color rgb="FF9C0006"/>
      </font>
      <fill>
        <patternFill>
          <bgColor rgb="FFFFC7CE"/>
        </patternFill>
      </fill>
    </dxf>
    <dxf>
      <font>
        <color rgb="FF002060"/>
      </font>
      <fill>
        <patternFill>
          <bgColor theme="3" tint="0.59996337778862885"/>
        </patternFill>
      </fill>
    </dxf>
    <dxf>
      <font>
        <color theme="9" tint="-0.499984740745262"/>
      </font>
      <fill>
        <patternFill>
          <bgColor rgb="FFFFFF00"/>
        </patternFill>
      </fill>
    </dxf>
    <dxf>
      <font>
        <color rgb="FF9C0006"/>
      </font>
      <fill>
        <patternFill>
          <bgColor rgb="FFFFC7CE"/>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002060"/>
      </font>
      <fill>
        <patternFill>
          <bgColor theme="3" tint="0.59996337778862885"/>
        </patternFill>
      </fill>
    </dxf>
    <dxf>
      <font>
        <color theme="9" tint="-0.499984740745262"/>
      </font>
      <fill>
        <patternFill>
          <bgColor rgb="FFFFFF00"/>
        </patternFill>
      </fill>
    </dxf>
    <dxf>
      <font>
        <color rgb="FF9C0006"/>
      </font>
      <fill>
        <patternFill>
          <bgColor rgb="FFFFC7CE"/>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theme="0"/>
      </font>
      <fill>
        <patternFill>
          <bgColor rgb="FFFF0000"/>
        </patternFill>
      </fill>
    </dxf>
    <dxf>
      <font>
        <color rgb="FF9C6500"/>
      </font>
      <fill>
        <patternFill>
          <bgColor rgb="FFFFEB9C"/>
        </patternFill>
      </fill>
    </dxf>
    <dxf>
      <font>
        <color rgb="FF9C6500"/>
      </font>
      <fill>
        <patternFill>
          <bgColor rgb="FFFFEB9C"/>
        </patternFill>
      </fill>
    </dxf>
    <dxf>
      <font>
        <color theme="0"/>
      </font>
      <fill>
        <patternFill>
          <bgColor rgb="FFFF0000"/>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rgb="FF9C6500"/>
      </font>
      <fill>
        <patternFill>
          <bgColor rgb="FFFFEB9C"/>
        </patternFill>
      </fill>
    </dxf>
    <dxf>
      <font>
        <color theme="0"/>
      </font>
      <fill>
        <patternFill>
          <bgColor rgb="FFFF0000"/>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rgb="FF9C6500"/>
      </font>
      <fill>
        <patternFill>
          <bgColor rgb="FFFFEB9C"/>
        </patternFill>
      </fill>
    </dxf>
    <dxf>
      <font>
        <color theme="0"/>
      </font>
      <fill>
        <patternFill>
          <bgColor rgb="FFFF0000"/>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rgb="FF9C6500"/>
      </font>
      <fill>
        <patternFill>
          <bgColor rgb="FFFFEB9C"/>
        </patternFill>
      </fill>
    </dxf>
    <dxf>
      <font>
        <color theme="0"/>
      </font>
      <fill>
        <patternFill>
          <bgColor rgb="FFFF0000"/>
        </patternFill>
      </fill>
    </dxf>
    <dxf>
      <fill>
        <patternFill>
          <bgColor rgb="FFFFFF00"/>
        </patternFill>
      </fill>
    </dxf>
    <dxf>
      <fill>
        <patternFill>
          <bgColor rgb="FFFFC000"/>
        </patternFill>
      </fill>
    </dxf>
    <dxf>
      <fill>
        <patternFill>
          <bgColor theme="4" tint="0.59996337778862885"/>
        </patternFill>
      </fill>
    </dxf>
    <dxf>
      <fill>
        <patternFill>
          <bgColor rgb="FF92D050"/>
        </patternFill>
      </fill>
    </dxf>
    <dxf>
      <fill>
        <patternFill>
          <bgColor theme="4" tint="0.59996337778862885"/>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theme="4" tint="0.59996337778862885"/>
        </patternFill>
      </fill>
    </dxf>
    <dxf>
      <fill>
        <patternFill>
          <bgColor rgb="FF92D050"/>
        </patternFill>
      </fill>
    </dxf>
    <dxf>
      <fill>
        <patternFill>
          <bgColor rgb="FFFFC000"/>
        </patternFill>
      </fill>
    </dxf>
    <dxf>
      <fill>
        <patternFill>
          <bgColor rgb="FFFFFF00"/>
        </patternFill>
      </fill>
    </dxf>
    <dxf>
      <fill>
        <patternFill>
          <bgColor theme="4" tint="0.59996337778862885"/>
        </patternFill>
      </fill>
    </dxf>
    <dxf>
      <fill>
        <patternFill>
          <bgColor rgb="FF92D050"/>
        </patternFill>
      </fill>
    </dxf>
    <dxf>
      <fill>
        <patternFill>
          <bgColor rgb="FFFFFF00"/>
        </patternFill>
      </fill>
    </dxf>
    <dxf>
      <fill>
        <patternFill>
          <bgColor theme="4" tint="0.59996337778862885"/>
        </patternFill>
      </fill>
    </dxf>
    <dxf>
      <fill>
        <patternFill>
          <bgColor rgb="FF92D050"/>
        </patternFill>
      </fill>
    </dxf>
    <dxf>
      <fill>
        <patternFill>
          <bgColor rgb="FFFFC000"/>
        </patternFill>
      </fill>
    </dxf>
    <dxf>
      <fill>
        <patternFill>
          <bgColor rgb="FFFFC000"/>
        </patternFill>
      </fill>
    </dxf>
    <dxf>
      <fill>
        <patternFill>
          <bgColor rgb="FFFFFF00"/>
        </patternFill>
      </fill>
    </dxf>
    <dxf>
      <fill>
        <patternFill>
          <bgColor theme="4" tint="0.59996337778862885"/>
        </patternFill>
      </fill>
    </dxf>
    <dxf>
      <fill>
        <patternFill>
          <bgColor rgb="FF92D050"/>
        </patternFill>
      </fill>
    </dxf>
    <dxf>
      <fill>
        <patternFill>
          <bgColor rgb="FFFFFF00"/>
        </patternFill>
      </fill>
    </dxf>
    <dxf>
      <fill>
        <patternFill>
          <bgColor rgb="FFFFC000"/>
        </patternFill>
      </fill>
    </dxf>
    <dxf>
      <fill>
        <patternFill>
          <bgColor theme="4" tint="0.59996337778862885"/>
        </patternFill>
      </fill>
    </dxf>
    <dxf>
      <fill>
        <patternFill>
          <bgColor rgb="FF92D050"/>
        </patternFill>
      </fill>
    </dxf>
    <dxf>
      <fill>
        <patternFill>
          <bgColor rgb="FFFFFF00"/>
        </patternFill>
      </fill>
    </dxf>
    <dxf>
      <fill>
        <patternFill>
          <bgColor rgb="FF92D050"/>
        </patternFill>
      </fill>
    </dxf>
    <dxf>
      <fill>
        <patternFill>
          <bgColor theme="4" tint="0.59996337778862885"/>
        </patternFill>
      </fill>
    </dxf>
    <dxf>
      <fill>
        <patternFill>
          <bgColor rgb="FFFFC000"/>
        </patternFill>
      </fill>
    </dxf>
    <dxf>
      <fill>
        <patternFill>
          <bgColor theme="4" tint="0.59996337778862885"/>
        </patternFill>
      </fill>
    </dxf>
    <dxf>
      <fill>
        <patternFill>
          <bgColor rgb="FFFFC000"/>
        </patternFill>
      </fill>
    </dxf>
    <dxf>
      <fill>
        <patternFill>
          <bgColor rgb="FFFFFF00"/>
        </patternFill>
      </fill>
    </dxf>
    <dxf>
      <fill>
        <patternFill>
          <bgColor rgb="FF92D050"/>
        </patternFill>
      </fill>
    </dxf>
    <dxf>
      <fill>
        <patternFill>
          <bgColor theme="4" tint="0.59996337778862885"/>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theme="4" tint="0.59996337778862885"/>
        </patternFill>
      </fill>
    </dxf>
    <dxf>
      <fill>
        <patternFill>
          <bgColor rgb="FF92D050"/>
        </patternFill>
      </fill>
    </dxf>
    <dxf>
      <fill>
        <patternFill>
          <bgColor rgb="FFFFFF00"/>
        </patternFill>
      </fill>
    </dxf>
    <dxf>
      <fill>
        <patternFill>
          <bgColor theme="4" tint="0.59996337778862885"/>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theme="4" tint="0.59996337778862885"/>
        </patternFill>
      </fill>
    </dxf>
    <dxf>
      <fill>
        <patternFill>
          <bgColor rgb="FF92D050"/>
        </patternFill>
      </fill>
    </dxf>
    <dxf>
      <fill>
        <patternFill>
          <bgColor rgb="FFFFC000"/>
        </patternFill>
      </fill>
    </dxf>
    <dxf>
      <fill>
        <patternFill>
          <bgColor rgb="FF92D050"/>
        </patternFill>
      </fill>
    </dxf>
    <dxf>
      <fill>
        <patternFill>
          <bgColor theme="4" tint="0.59996337778862885"/>
        </patternFill>
      </fill>
    </dxf>
    <dxf>
      <fill>
        <patternFill>
          <bgColor rgb="FFFFFF00"/>
        </patternFill>
      </fill>
    </dxf>
    <dxf>
      <fill>
        <patternFill>
          <bgColor theme="4" tint="0.59996337778862885"/>
        </patternFill>
      </fill>
    </dxf>
    <dxf>
      <fill>
        <patternFill>
          <bgColor rgb="FF92D050"/>
        </patternFill>
      </fill>
    </dxf>
    <dxf>
      <fill>
        <patternFill>
          <bgColor rgb="FFFFFF00"/>
        </patternFill>
      </fill>
    </dxf>
    <dxf>
      <fill>
        <patternFill>
          <bgColor rgb="FFFFC000"/>
        </patternFill>
      </fill>
    </dxf>
    <dxf>
      <fill>
        <patternFill>
          <bgColor theme="4" tint="0.59996337778862885"/>
        </patternFill>
      </fill>
    </dxf>
    <dxf>
      <fill>
        <patternFill>
          <bgColor rgb="FF92D050"/>
        </patternFill>
      </fill>
    </dxf>
    <dxf>
      <fill>
        <patternFill>
          <bgColor rgb="FFFFFF00"/>
        </patternFill>
      </fill>
    </dxf>
    <dxf>
      <fill>
        <patternFill>
          <bgColor rgb="FFFFC000"/>
        </patternFill>
      </fill>
    </dxf>
    <dxf>
      <font>
        <color rgb="FF9C6500"/>
      </font>
      <fill>
        <patternFill>
          <bgColor rgb="FFFFEB9C"/>
        </patternFill>
      </fill>
    </dxf>
    <dxf>
      <font>
        <color theme="0"/>
      </font>
      <fill>
        <patternFill>
          <bgColor rgb="FFFF0000"/>
        </patternFill>
      </fill>
    </dxf>
    <dxf>
      <fill>
        <patternFill>
          <bgColor rgb="FFFFFF00"/>
        </patternFill>
      </fill>
    </dxf>
    <dxf>
      <fill>
        <patternFill>
          <bgColor rgb="FFFFC000"/>
        </patternFill>
      </fill>
    </dxf>
    <dxf>
      <fill>
        <patternFill>
          <bgColor rgb="FF92D050"/>
        </patternFill>
      </fill>
    </dxf>
    <dxf>
      <fill>
        <patternFill>
          <bgColor theme="4" tint="0.59996337778862885"/>
        </patternFill>
      </fill>
    </dxf>
    <dxf>
      <font>
        <color rgb="FF9C6500"/>
      </font>
      <fill>
        <patternFill>
          <bgColor rgb="FFFFEB9C"/>
        </patternFill>
      </fill>
    </dxf>
    <dxf>
      <font>
        <color theme="0"/>
      </font>
      <fill>
        <patternFill>
          <bgColor rgb="FFFF0000"/>
        </patternFill>
      </fill>
    </dxf>
    <dxf>
      <font>
        <color rgb="FF002060"/>
      </font>
      <fill>
        <patternFill>
          <bgColor theme="3" tint="0.59996337778862885"/>
        </patternFill>
      </fill>
    </dxf>
    <dxf>
      <font>
        <color theme="9" tint="-0.499984740745262"/>
      </font>
      <fill>
        <patternFill>
          <bgColor rgb="FFFFFF00"/>
        </patternFill>
      </fill>
    </dxf>
    <dxf>
      <font>
        <color rgb="FF9C0006"/>
      </font>
      <fill>
        <patternFill>
          <bgColor rgb="FFFFC7CE"/>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ont>
        <color rgb="FF9C6500"/>
      </font>
      <fill>
        <patternFill>
          <bgColor rgb="FFFFEB9C"/>
        </patternFill>
      </fill>
    </dxf>
    <dxf>
      <font>
        <color theme="0"/>
      </font>
      <fill>
        <patternFill>
          <bgColor rgb="FFFF0000"/>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bgColor rgb="FFFFB3B3"/>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bgColor rgb="FFFFFFFF"/>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FF"/>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16" Type="http://schemas.openxmlformats.org/officeDocument/2006/relationships/externalLink" Target="externalLinks/externalLink1.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6.xml"/><Relationship Id="rId19" Type="http://schemas.openxmlformats.org/officeDocument/2006/relationships/externalLink" Target="externalLinks/externalLink4.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externalLink" Target="externalLinks/externalLink41.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77" Type="http://schemas.openxmlformats.org/officeDocument/2006/relationships/externalLink" Target="externalLinks/externalLink6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7" Type="http://schemas.openxmlformats.org/officeDocument/2006/relationships/worksheet" Target="worksheets/sheet7.xml"/><Relationship Id="rId71" Type="http://schemas.openxmlformats.org/officeDocument/2006/relationships/externalLink" Target="externalLinks/externalLink56.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14</xdr:col>
      <xdr:colOff>24765</xdr:colOff>
      <xdr:row>40</xdr:row>
      <xdr:rowOff>15241</xdr:rowOff>
    </xdr:to>
    <xdr:pic>
      <xdr:nvPicPr>
        <xdr:cNvPr id="2" name="그림 1">
          <a:extLst>
            <a:ext uri="{FF2B5EF4-FFF2-40B4-BE49-F238E27FC236}">
              <a16:creationId xmlns:a16="http://schemas.microsoft.com/office/drawing/2014/main" xmlns="" id="{05FFDFFC-B892-4A1F-B278-8735502B1A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 y="1"/>
          <a:ext cx="10692764" cy="6873240"/>
        </a:xfrm>
        <a:prstGeom prst="rect">
          <a:avLst/>
        </a:prstGeom>
      </xdr:spPr>
    </xdr:pic>
    <xdr:clientData/>
  </xdr:twoCellAnchor>
  <xdr:twoCellAnchor>
    <xdr:from>
      <xdr:col>2</xdr:col>
      <xdr:colOff>287767</xdr:colOff>
      <xdr:row>14</xdr:row>
      <xdr:rowOff>59211</xdr:rowOff>
    </xdr:from>
    <xdr:to>
      <xdr:col>13</xdr:col>
      <xdr:colOff>164102</xdr:colOff>
      <xdr:row>21</xdr:row>
      <xdr:rowOff>15788</xdr:rowOff>
    </xdr:to>
    <xdr:sp macro="" textlink="">
      <xdr:nvSpPr>
        <xdr:cNvPr id="3" name="TextBox 6">
          <a:extLst>
            <a:ext uri="{FF2B5EF4-FFF2-40B4-BE49-F238E27FC236}">
              <a16:creationId xmlns:a16="http://schemas.microsoft.com/office/drawing/2014/main" xmlns="" id="{550E970F-3F98-416C-B057-EFC10FE23438}"/>
            </a:ext>
          </a:extLst>
        </xdr:cNvPr>
        <xdr:cNvSpPr txBox="1"/>
      </xdr:nvSpPr>
      <xdr:spPr>
        <a:xfrm>
          <a:off x="1811767" y="2459511"/>
          <a:ext cx="8258335" cy="1156727"/>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2400" b="1" spc="-313">
              <a:ln>
                <a:solidFill>
                  <a:schemeClr val="bg1">
                    <a:alpha val="10000"/>
                  </a:schemeClr>
                </a:solidFill>
              </a:ln>
              <a:solidFill>
                <a:sysClr val="windowText" lastClr="000000"/>
              </a:solidFill>
              <a:latin typeface="+mn-ea"/>
            </a:rPr>
            <a:t>LX</a:t>
          </a:r>
          <a:r>
            <a:rPr lang="ko-KR" altLang="en-US" sz="2400" b="1" spc="-313">
              <a:ln>
                <a:solidFill>
                  <a:schemeClr val="bg1">
                    <a:alpha val="10000"/>
                  </a:schemeClr>
                </a:solidFill>
              </a:ln>
              <a:solidFill>
                <a:sysClr val="windowText" lastClr="000000"/>
              </a:solidFill>
              <a:latin typeface="+mn-ea"/>
            </a:rPr>
            <a:t>플랫폼 고도화 사업</a:t>
          </a:r>
        </a:p>
        <a:p>
          <a:pPr algn="r"/>
          <a:r>
            <a:rPr lang="ko-KR" altLang="en-US" sz="2400" b="1" spc="-313">
              <a:ln>
                <a:solidFill>
                  <a:schemeClr val="bg1">
                    <a:alpha val="10000"/>
                  </a:schemeClr>
                </a:solidFill>
              </a:ln>
              <a:solidFill>
                <a:sysClr val="windowText" lastClr="000000"/>
              </a:solidFill>
              <a:latin typeface="+mn-ea"/>
            </a:rPr>
            <a:t> </a:t>
          </a:r>
        </a:p>
      </xdr:txBody>
    </xdr:sp>
    <xdr:clientData/>
  </xdr:twoCellAnchor>
  <xdr:twoCellAnchor>
    <xdr:from>
      <xdr:col>7</xdr:col>
      <xdr:colOff>433116</xdr:colOff>
      <xdr:row>18</xdr:row>
      <xdr:rowOff>84007</xdr:rowOff>
    </xdr:from>
    <xdr:to>
      <xdr:col>13</xdr:col>
      <xdr:colOff>156482</xdr:colOff>
      <xdr:row>22</xdr:row>
      <xdr:rowOff>111416</xdr:rowOff>
    </xdr:to>
    <xdr:sp macro="" textlink="">
      <xdr:nvSpPr>
        <xdr:cNvPr id="4" name="TextBox 6">
          <a:extLst>
            <a:ext uri="{FF2B5EF4-FFF2-40B4-BE49-F238E27FC236}">
              <a16:creationId xmlns:a16="http://schemas.microsoft.com/office/drawing/2014/main" xmlns="" id="{9FFD50CF-04BC-4A3B-AE7F-B23940EB8E7D}"/>
            </a:ext>
          </a:extLst>
        </xdr:cNvPr>
        <xdr:cNvSpPr txBox="1"/>
      </xdr:nvSpPr>
      <xdr:spPr>
        <a:xfrm>
          <a:off x="5767116" y="3170107"/>
          <a:ext cx="4295366" cy="713209"/>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ko-KR" altLang="en-US" sz="2800" b="1" spc="-313">
              <a:ln>
                <a:solidFill>
                  <a:schemeClr val="bg1">
                    <a:alpha val="10000"/>
                  </a:schemeClr>
                </a:solidFill>
              </a:ln>
              <a:solidFill>
                <a:sysClr val="windowText" lastClr="000000"/>
              </a:solidFill>
              <a:latin typeface="+mn-ea"/>
            </a:rPr>
            <a:t>요구사항정의서</a:t>
          </a:r>
          <a:endParaRPr lang="ko-KR" altLang="en-US" sz="3000" b="1" spc="-313">
            <a:ln>
              <a:solidFill>
                <a:schemeClr val="bg1">
                  <a:alpha val="10000"/>
                </a:schemeClr>
              </a:solidFill>
            </a:ln>
            <a:solidFill>
              <a:sysClr val="windowText" lastClr="000000"/>
            </a:solidFill>
            <a:latin typeface="+mn-ea"/>
          </a:endParaRPr>
        </a:p>
      </xdr:txBody>
    </xdr:sp>
    <xdr:clientData/>
  </xdr:twoCellAnchor>
  <xdr:twoCellAnchor>
    <xdr:from>
      <xdr:col>4</xdr:col>
      <xdr:colOff>321469</xdr:colOff>
      <xdr:row>17</xdr:row>
      <xdr:rowOff>97620</xdr:rowOff>
    </xdr:from>
    <xdr:to>
      <xdr:col>13</xdr:col>
      <xdr:colOff>314944</xdr:colOff>
      <xdr:row>18</xdr:row>
      <xdr:rowOff>68036</xdr:rowOff>
    </xdr:to>
    <xdr:grpSp>
      <xdr:nvGrpSpPr>
        <xdr:cNvPr id="5" name="그룹 4">
          <a:extLst>
            <a:ext uri="{FF2B5EF4-FFF2-40B4-BE49-F238E27FC236}">
              <a16:creationId xmlns:a16="http://schemas.microsoft.com/office/drawing/2014/main" xmlns="" id="{B9EB5A55-3D72-4D76-8445-A480C44F8A0C}"/>
            </a:ext>
          </a:extLst>
        </xdr:cNvPr>
        <xdr:cNvGrpSpPr>
          <a:grpSpLocks/>
        </xdr:cNvGrpSpPr>
      </xdr:nvGrpSpPr>
      <xdr:grpSpPr bwMode="auto">
        <a:xfrm>
          <a:off x="3369469" y="3012270"/>
          <a:ext cx="6851475" cy="141866"/>
          <a:chOff x="0" y="0"/>
          <a:chExt cx="4176166" cy="216024"/>
        </a:xfrm>
      </xdr:grpSpPr>
      <xdr:pic>
        <xdr:nvPicPr>
          <xdr:cNvPr id="6" name="Picture 33" descr="shadow">
            <a:extLst>
              <a:ext uri="{FF2B5EF4-FFF2-40B4-BE49-F238E27FC236}">
                <a16:creationId xmlns:a16="http://schemas.microsoft.com/office/drawing/2014/main" xmlns="" id="{DBCE0A25-99EF-9BDE-C655-7664E3CC950B}"/>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pic>
        <xdr:nvPicPr>
          <xdr:cNvPr id="7" name="Picture 33" descr="shadow">
            <a:extLst>
              <a:ext uri="{FF2B5EF4-FFF2-40B4-BE49-F238E27FC236}">
                <a16:creationId xmlns:a16="http://schemas.microsoft.com/office/drawing/2014/main" xmlns="" id="{E3386AC9-3AFA-8C3D-CBA3-26CA148BC216}"/>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grpSp>
    <xdr:clientData/>
  </xdr:twoCellAnchor>
  <xdr:twoCellAnchor>
    <xdr:from>
      <xdr:col>10</xdr:col>
      <xdr:colOff>138545</xdr:colOff>
      <xdr:row>23</xdr:row>
      <xdr:rowOff>126462</xdr:rowOff>
    </xdr:from>
    <xdr:to>
      <xdr:col>13</xdr:col>
      <xdr:colOff>156482</xdr:colOff>
      <xdr:row>28</xdr:row>
      <xdr:rowOff>44819</xdr:rowOff>
    </xdr:to>
    <xdr:sp macro="" textlink="">
      <xdr:nvSpPr>
        <xdr:cNvPr id="8" name="Text Box 5">
          <a:extLst>
            <a:ext uri="{FF2B5EF4-FFF2-40B4-BE49-F238E27FC236}">
              <a16:creationId xmlns:a16="http://schemas.microsoft.com/office/drawing/2014/main" xmlns="" id="{1976E190-A68F-48F0-807D-455E5C3DAF29}"/>
            </a:ext>
          </a:extLst>
        </xdr:cNvPr>
        <xdr:cNvSpPr txBox="1">
          <a:spLocks noChangeArrowheads="1"/>
        </xdr:cNvSpPr>
      </xdr:nvSpPr>
      <xdr:spPr bwMode="auto">
        <a:xfrm>
          <a:off x="7758545" y="4069812"/>
          <a:ext cx="2303937" cy="775607"/>
        </a:xfrm>
        <a:prstGeom prst="rect">
          <a:avLst/>
        </a:prstGeom>
        <a:noFill/>
        <a:ln w="9525">
          <a:noFill/>
          <a:miter lim="800000"/>
          <a:headEnd/>
          <a:tailEnd/>
        </a:ln>
      </xdr:spPr>
      <xdr:txBody>
        <a:bodyPr wrap="square" lIns="95637" tIns="47819" rIns="95637" bIns="47819">
          <a:no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1500" b="1">
              <a:ln>
                <a:solidFill>
                  <a:schemeClr val="tx1">
                    <a:alpha val="10000"/>
                  </a:schemeClr>
                </a:solidFill>
              </a:ln>
              <a:latin typeface="맑은 고딕" pitchFamily="50" charset="-127"/>
              <a:ea typeface="맑은 고딕" pitchFamily="50" charset="-127"/>
            </a:rPr>
            <a:t>Version 1.0</a:t>
          </a:r>
        </a:p>
        <a:p>
          <a:pPr algn="r"/>
          <a:r>
            <a:rPr lang="en-US" altLang="ko-KR" sz="1500" b="1">
              <a:ln>
                <a:solidFill>
                  <a:schemeClr val="tx1">
                    <a:alpha val="10000"/>
                  </a:schemeClr>
                </a:solidFill>
              </a:ln>
              <a:latin typeface="맑은 고딕" pitchFamily="50" charset="-127"/>
              <a:ea typeface="맑은 고딕" pitchFamily="50" charset="-127"/>
            </a:rPr>
            <a:t>2024.03.10</a:t>
          </a:r>
        </a:p>
      </xdr:txBody>
    </xdr:sp>
    <xdr:clientData/>
  </xdr:twoCellAnchor>
  <xdr:twoCellAnchor editAs="oneCell">
    <xdr:from>
      <xdr:col>0</xdr:col>
      <xdr:colOff>125399</xdr:colOff>
      <xdr:row>1</xdr:row>
      <xdr:rowOff>169806</xdr:rowOff>
    </xdr:from>
    <xdr:to>
      <xdr:col>3</xdr:col>
      <xdr:colOff>277799</xdr:colOff>
      <xdr:row>3</xdr:row>
      <xdr:rowOff>169806</xdr:rowOff>
    </xdr:to>
    <xdr:pic>
      <xdr:nvPicPr>
        <xdr:cNvPr id="9" name="그림 8" descr="폰트, 그래픽, 그래픽 디자인, 상징이(가) 표시된 사진&#10;&#10;자동 생성된 설명">
          <a:extLst>
            <a:ext uri="{FF2B5EF4-FFF2-40B4-BE49-F238E27FC236}">
              <a16:creationId xmlns:a16="http://schemas.microsoft.com/office/drawing/2014/main" xmlns="" id="{AA59233F-17BB-429A-AE8E-6059BEC919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5399" y="341256"/>
          <a:ext cx="2438400" cy="342900"/>
        </a:xfrm>
        <a:prstGeom prst="rect">
          <a:avLst/>
        </a:prstGeom>
        <a:noFill/>
        <a:ln>
          <a:noFill/>
        </a:ln>
      </xdr:spPr>
    </xdr:pic>
    <xdr:clientData/>
  </xdr:twoCellAnchor>
  <xdr:twoCellAnchor editAs="oneCell">
    <xdr:from>
      <xdr:col>10</xdr:col>
      <xdr:colOff>417195</xdr:colOff>
      <xdr:row>36</xdr:row>
      <xdr:rowOff>95250</xdr:rowOff>
    </xdr:from>
    <xdr:to>
      <xdr:col>13</xdr:col>
      <xdr:colOff>361950</xdr:colOff>
      <xdr:row>39</xdr:row>
      <xdr:rowOff>78105</xdr:rowOff>
    </xdr:to>
    <xdr:pic>
      <xdr:nvPicPr>
        <xdr:cNvPr id="10" name="그림 9" descr="폰트, 스크린샷, 그래픽, 로고이(가) 표시된 사진&#10;&#10;자동 생성된 설명">
          <a:extLst>
            <a:ext uri="{FF2B5EF4-FFF2-40B4-BE49-F238E27FC236}">
              <a16:creationId xmlns:a16="http://schemas.microsoft.com/office/drawing/2014/main" xmlns="" id="{AB1A4CA5-19F5-4FE8-92D9-8606D50ECD9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t="14008"/>
        <a:stretch>
          <a:fillRect/>
        </a:stretch>
      </xdr:blipFill>
      <xdr:spPr bwMode="auto">
        <a:xfrm>
          <a:off x="8037195" y="6267450"/>
          <a:ext cx="2230755" cy="49720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79599</xdr:colOff>
      <xdr:row>1</xdr:row>
      <xdr:rowOff>136156</xdr:rowOff>
    </xdr:to>
    <xdr:sp macro="" textlink="">
      <xdr:nvSpPr>
        <xdr:cNvPr id="2" name="Rectangle 1">
          <a:extLst>
            <a:ext uri="{FF2B5EF4-FFF2-40B4-BE49-F238E27FC236}">
              <a16:creationId xmlns:a16="http://schemas.microsoft.com/office/drawing/2014/main" xmlns="" id="{00000000-0008-0000-0400-000002000000}"/>
            </a:ext>
          </a:extLst>
        </xdr:cNvPr>
        <xdr:cNvSpPr>
          <a:spLocks noChangeArrowheads="1"/>
        </xdr:cNvSpPr>
      </xdr:nvSpPr>
      <xdr:spPr bwMode="auto">
        <a:xfrm flipV="1">
          <a:off x="3397865" y="190500"/>
          <a:ext cx="2957155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1272269</xdr:colOff>
      <xdr:row>3</xdr:row>
      <xdr:rowOff>13607</xdr:rowOff>
    </xdr:to>
    <xdr:pic>
      <xdr:nvPicPr>
        <xdr:cNvPr id="4" name="그림 3">
          <a:extLst>
            <a:ext uri="{FF2B5EF4-FFF2-40B4-BE49-F238E27FC236}">
              <a16:creationId xmlns:a16="http://schemas.microsoft.com/office/drawing/2014/main" xmlns="" id="{00000000-0008-0000-0400-000004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435428" y="54429"/>
          <a:ext cx="3654879" cy="449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79599</xdr:colOff>
      <xdr:row>1</xdr:row>
      <xdr:rowOff>136156</xdr:rowOff>
    </xdr:to>
    <xdr:sp macro="" textlink="">
      <xdr:nvSpPr>
        <xdr:cNvPr id="2" name="Rectangle 1">
          <a:extLst>
            <a:ext uri="{FF2B5EF4-FFF2-40B4-BE49-F238E27FC236}">
              <a16:creationId xmlns:a16="http://schemas.microsoft.com/office/drawing/2014/main" xmlns="" id="{9636C597-0C80-4086-A9EB-35A61FD6C582}"/>
            </a:ext>
          </a:extLst>
        </xdr:cNvPr>
        <xdr:cNvSpPr>
          <a:spLocks noChangeArrowheads="1"/>
        </xdr:cNvSpPr>
      </xdr:nvSpPr>
      <xdr:spPr bwMode="auto">
        <a:xfrm flipV="1">
          <a:off x="361950" y="190500"/>
          <a:ext cx="2928324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1316084</xdr:colOff>
      <xdr:row>3</xdr:row>
      <xdr:rowOff>21227</xdr:rowOff>
    </xdr:to>
    <xdr:pic>
      <xdr:nvPicPr>
        <xdr:cNvPr id="3" name="그림 2">
          <a:extLst>
            <a:ext uri="{FF2B5EF4-FFF2-40B4-BE49-F238E27FC236}">
              <a16:creationId xmlns:a16="http://schemas.microsoft.com/office/drawing/2014/main" xmlns="" id="{3F702744-23D6-4908-8B64-340B76179EA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361950" y="54429"/>
          <a:ext cx="3668759" cy="452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79599</xdr:colOff>
      <xdr:row>1</xdr:row>
      <xdr:rowOff>136156</xdr:rowOff>
    </xdr:to>
    <xdr:sp macro="" textlink="">
      <xdr:nvSpPr>
        <xdr:cNvPr id="2" name="Rectangle 1">
          <a:extLst>
            <a:ext uri="{FF2B5EF4-FFF2-40B4-BE49-F238E27FC236}">
              <a16:creationId xmlns:a16="http://schemas.microsoft.com/office/drawing/2014/main" xmlns="" id="{AD6013F3-0AE3-4BB4-B925-4A6D5A6EF7EA}"/>
            </a:ext>
          </a:extLst>
        </xdr:cNvPr>
        <xdr:cNvSpPr>
          <a:spLocks noChangeArrowheads="1"/>
        </xdr:cNvSpPr>
      </xdr:nvSpPr>
      <xdr:spPr bwMode="auto">
        <a:xfrm flipV="1">
          <a:off x="361950" y="190500"/>
          <a:ext cx="2724489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1272269</xdr:colOff>
      <xdr:row>3</xdr:row>
      <xdr:rowOff>13607</xdr:rowOff>
    </xdr:to>
    <xdr:pic>
      <xdr:nvPicPr>
        <xdr:cNvPr id="3" name="그림 2">
          <a:extLst>
            <a:ext uri="{FF2B5EF4-FFF2-40B4-BE49-F238E27FC236}">
              <a16:creationId xmlns:a16="http://schemas.microsoft.com/office/drawing/2014/main" xmlns="" id="{980B590B-3267-474D-9377-1579464D3FC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361950" y="54429"/>
          <a:ext cx="3624944" cy="444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79599</xdr:colOff>
      <xdr:row>1</xdr:row>
      <xdr:rowOff>136156</xdr:rowOff>
    </xdr:to>
    <xdr:sp macro="" textlink="">
      <xdr:nvSpPr>
        <xdr:cNvPr id="2" name="Rectangle 1">
          <a:extLst>
            <a:ext uri="{FF2B5EF4-FFF2-40B4-BE49-F238E27FC236}">
              <a16:creationId xmlns:a16="http://schemas.microsoft.com/office/drawing/2014/main" xmlns="" id="{50469EDE-1AF9-4FB8-8A3A-71DC2EF14B50}"/>
            </a:ext>
          </a:extLst>
        </xdr:cNvPr>
        <xdr:cNvSpPr>
          <a:spLocks noChangeArrowheads="1"/>
        </xdr:cNvSpPr>
      </xdr:nvSpPr>
      <xdr:spPr bwMode="auto">
        <a:xfrm flipV="1">
          <a:off x="361950" y="190500"/>
          <a:ext cx="2791164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1300844</xdr:colOff>
      <xdr:row>3</xdr:row>
      <xdr:rowOff>13607</xdr:rowOff>
    </xdr:to>
    <xdr:pic>
      <xdr:nvPicPr>
        <xdr:cNvPr id="3" name="그림 2">
          <a:extLst>
            <a:ext uri="{FF2B5EF4-FFF2-40B4-BE49-F238E27FC236}">
              <a16:creationId xmlns:a16="http://schemas.microsoft.com/office/drawing/2014/main" xmlns="" id="{5787C559-DE7F-4AD8-8726-288A298CF13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361950" y="54429"/>
          <a:ext cx="3653519" cy="444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xdr:row>
      <xdr:rowOff>0</xdr:rowOff>
    </xdr:from>
    <xdr:to>
      <xdr:col>20</xdr:col>
      <xdr:colOff>79599</xdr:colOff>
      <xdr:row>1</xdr:row>
      <xdr:rowOff>136156</xdr:rowOff>
    </xdr:to>
    <xdr:sp macro="" textlink="">
      <xdr:nvSpPr>
        <xdr:cNvPr id="4" name="Rectangle 1">
          <a:extLst>
            <a:ext uri="{FF2B5EF4-FFF2-40B4-BE49-F238E27FC236}">
              <a16:creationId xmlns:a16="http://schemas.microsoft.com/office/drawing/2014/main" xmlns="" id="{1E1CE852-EE6C-45CC-B21D-9B30DB4D5C49}"/>
            </a:ext>
          </a:extLst>
        </xdr:cNvPr>
        <xdr:cNvSpPr>
          <a:spLocks noChangeArrowheads="1"/>
        </xdr:cNvSpPr>
      </xdr:nvSpPr>
      <xdr:spPr bwMode="auto">
        <a:xfrm flipV="1">
          <a:off x="361950" y="190500"/>
          <a:ext cx="2791164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1300844</xdr:colOff>
      <xdr:row>3</xdr:row>
      <xdr:rowOff>13607</xdr:rowOff>
    </xdr:to>
    <xdr:pic>
      <xdr:nvPicPr>
        <xdr:cNvPr id="5" name="그림 4">
          <a:extLst>
            <a:ext uri="{FF2B5EF4-FFF2-40B4-BE49-F238E27FC236}">
              <a16:creationId xmlns:a16="http://schemas.microsoft.com/office/drawing/2014/main" xmlns="" id="{5C778ADD-9989-462A-B3E5-EAE5C0BD489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361950" y="54429"/>
          <a:ext cx="3653519" cy="444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79599</xdr:colOff>
      <xdr:row>1</xdr:row>
      <xdr:rowOff>136156</xdr:rowOff>
    </xdr:to>
    <xdr:sp macro="" textlink="">
      <xdr:nvSpPr>
        <xdr:cNvPr id="2" name="Rectangle 1">
          <a:extLst>
            <a:ext uri="{FF2B5EF4-FFF2-40B4-BE49-F238E27FC236}">
              <a16:creationId xmlns:a16="http://schemas.microsoft.com/office/drawing/2014/main" xmlns="" id="{76FEF207-C399-48C8-8CD1-C25AC22781E9}"/>
            </a:ext>
          </a:extLst>
        </xdr:cNvPr>
        <xdr:cNvSpPr>
          <a:spLocks noChangeArrowheads="1"/>
        </xdr:cNvSpPr>
      </xdr:nvSpPr>
      <xdr:spPr bwMode="auto">
        <a:xfrm flipV="1">
          <a:off x="361950" y="190500"/>
          <a:ext cx="30635799"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1</xdr:col>
      <xdr:colOff>0</xdr:colOff>
      <xdr:row>0</xdr:row>
      <xdr:rowOff>54429</xdr:rowOff>
    </xdr:from>
    <xdr:to>
      <xdr:col>3</xdr:col>
      <xdr:colOff>980056</xdr:colOff>
      <xdr:row>3</xdr:row>
      <xdr:rowOff>21227</xdr:rowOff>
    </xdr:to>
    <xdr:pic>
      <xdr:nvPicPr>
        <xdr:cNvPr id="3" name="그림 2">
          <a:extLst>
            <a:ext uri="{FF2B5EF4-FFF2-40B4-BE49-F238E27FC236}">
              <a16:creationId xmlns:a16="http://schemas.microsoft.com/office/drawing/2014/main" xmlns="" id="{3AF6A5C7-7AFF-47FB-A79F-AC2AF0876C0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1765"/>
        <a:stretch/>
      </xdr:blipFill>
      <xdr:spPr bwMode="auto">
        <a:xfrm>
          <a:off x="361950" y="54429"/>
          <a:ext cx="3694681" cy="452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974401</xdr:colOff>
      <xdr:row>9</xdr:row>
      <xdr:rowOff>1055366</xdr:rowOff>
    </xdr:from>
    <xdr:ext cx="2254372" cy="1258675"/>
    <xdr:pic>
      <xdr:nvPicPr>
        <xdr:cNvPr id="4" name="그림 3">
          <a:extLst>
            <a:ext uri="{FF2B5EF4-FFF2-40B4-BE49-F238E27FC236}">
              <a16:creationId xmlns:a16="http://schemas.microsoft.com/office/drawing/2014/main" xmlns="" id="{0579E999-7030-47A1-B156-05AA3DF180EA}"/>
            </a:ext>
          </a:extLst>
        </xdr:cNvPr>
        <xdr:cNvPicPr>
          <a:picLocks noChangeAspect="1"/>
        </xdr:cNvPicPr>
      </xdr:nvPicPr>
      <xdr:blipFill>
        <a:blip xmlns:r="http://schemas.openxmlformats.org/officeDocument/2006/relationships" r:embed="rId2"/>
        <a:stretch>
          <a:fillRect/>
        </a:stretch>
      </xdr:blipFill>
      <xdr:spPr>
        <a:xfrm>
          <a:off x="26129926" y="5951216"/>
          <a:ext cx="2254372" cy="1258675"/>
        </a:xfrm>
        <a:prstGeom prst="rect">
          <a:avLst/>
        </a:prstGeom>
      </xdr:spPr>
    </xdr:pic>
    <xdr:clientData/>
  </xdr:oneCellAnchor>
  <xdr:oneCellAnchor>
    <xdr:from>
      <xdr:col>16</xdr:col>
      <xdr:colOff>997386</xdr:colOff>
      <xdr:row>9</xdr:row>
      <xdr:rowOff>292913</xdr:rowOff>
    </xdr:from>
    <xdr:ext cx="2150139" cy="755035"/>
    <xdr:pic>
      <xdr:nvPicPr>
        <xdr:cNvPr id="5" name="그림 4">
          <a:extLst>
            <a:ext uri="{FF2B5EF4-FFF2-40B4-BE49-F238E27FC236}">
              <a16:creationId xmlns:a16="http://schemas.microsoft.com/office/drawing/2014/main" xmlns="" id="{BEA48743-02B7-476C-8C1A-083B6BCBE9FF}"/>
            </a:ext>
          </a:extLst>
        </xdr:cNvPr>
        <xdr:cNvPicPr>
          <a:picLocks noChangeAspect="1"/>
        </xdr:cNvPicPr>
      </xdr:nvPicPr>
      <xdr:blipFill>
        <a:blip xmlns:r="http://schemas.openxmlformats.org/officeDocument/2006/relationships" r:embed="rId3"/>
        <a:stretch>
          <a:fillRect/>
        </a:stretch>
      </xdr:blipFill>
      <xdr:spPr>
        <a:xfrm>
          <a:off x="26152911" y="5198288"/>
          <a:ext cx="2150139" cy="75503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672352</xdr:colOff>
      <xdr:row>1</xdr:row>
      <xdr:rowOff>136156</xdr:rowOff>
    </xdr:to>
    <xdr:sp macro="" textlink="">
      <xdr:nvSpPr>
        <xdr:cNvPr id="2" name="Rectangle 1">
          <a:extLst>
            <a:ext uri="{FF2B5EF4-FFF2-40B4-BE49-F238E27FC236}">
              <a16:creationId xmlns:a16="http://schemas.microsoft.com/office/drawing/2014/main" xmlns="" id="{00000000-0008-0000-0900-000002000000}"/>
            </a:ext>
          </a:extLst>
        </xdr:cNvPr>
        <xdr:cNvSpPr>
          <a:spLocks noChangeArrowheads="1"/>
        </xdr:cNvSpPr>
      </xdr:nvSpPr>
      <xdr:spPr bwMode="auto">
        <a:xfrm flipV="1">
          <a:off x="1647824" y="161925"/>
          <a:ext cx="13588253"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oneCellAnchor>
    <xdr:from>
      <xdr:col>1</xdr:col>
      <xdr:colOff>0</xdr:colOff>
      <xdr:row>0</xdr:row>
      <xdr:rowOff>68036</xdr:rowOff>
    </xdr:from>
    <xdr:ext cx="3653518" cy="458561"/>
    <xdr:pic>
      <xdr:nvPicPr>
        <xdr:cNvPr id="3" name="그림 2">
          <a:extLst>
            <a:ext uri="{FF2B5EF4-FFF2-40B4-BE49-F238E27FC236}">
              <a16:creationId xmlns:a16="http://schemas.microsoft.com/office/drawing/2014/main" xmlns="" id="{00000000-0008-0000-09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9091"/>
        <a:stretch/>
      </xdr:blipFill>
      <xdr:spPr bwMode="auto">
        <a:xfrm>
          <a:off x="704850" y="68036"/>
          <a:ext cx="3653518" cy="4585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2.219\04-2.si%202&#54016;\993.%20&#44608;&#51652;&#54616;%20&#50629;&#47924;\&#44060;&#48156;%20PJ\CHW-OperaQuoteTemplate-V006-Radisson%20Seoul%20Plaz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agleoffice.co.kr/01-csj&#50629;&#47924;/1999-csj/03&#49552;&#51061;&#48516;&#44592;/&#50629;&#47924;/98&#44288;&#47532;/&#44592;&#53440;&#54788;&#54889;/&#50577;&#49885;/PG&#44221;&#48708;/&#50808;&#51452;&#44032;&#44277;&#48708;/PHC&#50808;&#5145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688;&#51061;\99&#44208;&#49328;&#48372;&#44256;&#49436;\96&#44208;&#49328;&#48512;&#4954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592;&#51648;&#443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ITYFILE\P-City\DATA\EXCEL\HEXCEL\95WORK\HEXCEL\95_1&#45236;&#5066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_NAS\homes\Users\onpoom-DTS-005\AppData\Roaming\Microsoft\Excel\&#49444;&#44228;&#45236;&#50669;&#49436;_20221215_LX&#51228;&#44277;(&#45824;&#50808;&#50628;&#49688;)%20(version%2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457;&#51221;&#50865;\2011&#45380;\DOCUME~1\Owner\LOCALS~1\Temp\_AZTMP4_\&#44032;&#51256;&#44032;&#49464;&#50836;\&#54620;&#44397;&#44284;&#54617;&#44592;&#49696;&#50672;&#44396;&#50896;-PILOT&#51228;&#51089;\My%20Documents\&#54644;&#49440;&#44256;&#45236;&#50669;&#49436;\juns\&#45236;&#50669;&#49436;\&#50900;&#48324;&#49444;&#44228;&#45236;&#50669;\99&#49444;&#44228;&#51032;&#47280;&#45236;&#50669;\&#44277;&#49324;&#48708;99-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user/Downloads/NLK_PMSD_123M_&#52628;&#51652;&#51068;&#51221;&#44228;&#54925;(WBS)_v1.1_080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50689;&#49437;\D\Program%20Files\AutoCAD%20R14\&#50896;&#44032;\&#50896;&#4403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ij\&#49340;&#49457;ENG%20&#49444;&#44228;&#51648;&#50896;\rev_f\&#45236;&#50669;&#49436;_e_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S_NAS\homes\Users\ligs\Desktop\&#52236;&#47476;&#47112;&#44592;\1.&#48516;&#49437;(AN)\I4CU-XX-AN-01-&#50836;&#44396;&#49324;&#54637;&#51221;&#51032;&#49436;_V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58.181.17.241\rms_sales1\MY%20Document\&#48320;&#54805;&#48124;\2008&#45380;\&#50544;&#54532;&#44368;&#52404;\&#50544;&#54532;&#44368;&#52404;_&#53685;&#54633;&#54805;_D&#44553;09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4608;&#51221;&#48393;\&#44277;&#50976;&#54260;&#45908;\Documents%20and%20Settings\kim\My%20Documents\DATA\&#44033;&#51333;&#50577;&#49885;\&#44204;&#51201;\Program%20Files\AutoCAD%20R14\&#50896;&#44032;\&#50896;&#4403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Office-file\99file\P&#45453;&#54801;&#48708;\OFFICE%20&#50577;&#49885;\N&#36035;&#63963;-&#3288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office-file\2004FILE\&#51076;&#49884;&#54028;&#51068;\KNK\2002&#45380;\&#50896;&#44032;&#44228;&#49328;\&#47560;&#54252;&#44221;&#52272;&#49436;\&#48372;&#46972;&#47588;&#48337;&#5089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72.16.2.219\04-2.si&#49324;&#50629;&#54016;\Documents%20and%20Settings\&#54616;&#46041;&#50865;\Local%20Settings\Temporary%20Internet%20Files\OLK8B\&#51064;&#53328;&#48652;&#53580;&#5335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imsanagil\d\backup1\2001&#45380;\&#49888;&#50900;&#52397;&#49548;&#45380;&#47928;&#54868;&#49468;&#53552;\&#45236;&#506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ADMINI~1/AppData/Local/Temp/KOVIS_CMM_DV_&#54532;&#47196;&#44536;&#47016;&#47785;&#47197;_&#44277;&#51221;&#51652;&#52377;&#44288;&#47532;_v1.17.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10.20.21\homes\Users\conso15\Downloads\LXDT2_PM_00_&#50836;&#44396;&#49324;&#54637;%20&#51221;&#51032;&#49436;_&#53685;&#54633;v0.21.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10.20.21\homes\Users\conso15\Downloads\LXDT2_PM_00_&#50836;&#44396;&#49324;&#54637;%20&#51221;&#51032;&#49436;_&#53685;&#54633;v0.3_MS_20030310.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10.20.21\homes\Users\&#50743;&#51109;\Downloads\LXPFA_PM_&#50836;&#44396;&#49324;&#54637;%20&#51221;&#51032;&#49436;_&#53685;&#54633;v1.4_230629(&#48708;&#44592;&#45733;&#50756;&#47308;).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44256;&#46020;&#54868;/30%20&#44277;&#51221;&#49328;&#52636;&#47932;/31%20&#50836;&#44396;&#51221;&#51032;&#48516;&#49437;/02%20&#50836;&#44396;&#49324;&#54637;&#51221;&#51032;&#49436;/LXPFA_PM_&#50836;&#44396;&#49324;&#54637;%20&#51221;&#51032;&#49436;_&#53685;&#54633;v1.9_23102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51076;&#49884;&#54028;&#51068;\KNK\2002&#45380;\&#50896;&#44032;&#44228;&#49328;\&#47560;&#54252;&#44221;&#52272;&#49436;\&#48372;&#46972;&#47588;&#48337;&#50896;\OFFICE%20&#50577;&#49885;\N&#36035;&#63963;-&#3288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61.32.246.238\&#54805;&#53685;1&#45800;&#44228;2&#52264;\2005_MyDocument\2005\0.%20&#51648;&#50896;&#49324;&#50629;\&#50696;&#49328;-sampl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51076;&#49884;\&#51221;&#54788;&#47749;&#4946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CITYFILE\P-City\3&#49440;\Bizgate\Documents%20and%20Settings\Administrator\Local%20Settings\Temporary%20Internet%20Files\OLK4\&#44544;&#47196;&#48268;&#53580;&#53356;%20&#49888;&#48124;&#55148;%20&#45784;%2004101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LX,DT(2021.09)/1.&#49324;&#50629;&#44288;&#47532;/1.1.&#52265;&#49688;/1.1.2.WBS/LX_DTP_&#51089;&#50629;&#48516;&#54624;&#44396;&#51312;&#46020;(WBS)_V3.2.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x-7r\c\&#45936;&#51060;&#53440;\2&#52264;&#44592;&#49457;\&#51221;&#49328;&#45236;&#50669;&#49436;\63&#48716;&#46377;\63&#48716;&#46377;.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Users\onpoom-DTS-045\Downloads\LXPFA_PM_&#50836;&#44396;&#49324;&#54637;%20&#52628;&#51201;&#54364;_&#53685;&#54633;v0.91_230705(&#44256;&#44221;&#45224;).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YSHAN_MSI\Documents\03.&#50836;&#44396;&#49324;&#54637;&#47749;&#49464;&#49436;\20230301\LXDTPF_&#50836;&#44396;&#49324;&#54637;&#51221;&#51032;&#49436;(&#54028;&#51064;)_&#49688;&#51221;&#54596;&#50836;_iot.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S_NAS\homes\00.%20LX&#54540;&#47019;&#54268;%20&#44256;&#46020;&#54868;%20&#49324;&#50629;\00.%20&#54532;&#47196;&#51229;&#53944;%20&#52265;&#49688;%20&#51204;\03_&#49328;&#52636;&#45236;&#50669;&#49436;\&#49328;&#52636;&#45236;&#50669;&#49436;_LX&#54540;&#47019;&#54268;%20&#44256;&#46020;&#54868;%20&#49324;&#50629;_v0.7_2304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IT"/>
      <sheetName val="DATA-TRAINING"/>
      <sheetName val="DATA-PMS"/>
      <sheetName val="PRICING"/>
      <sheetName val="OPERA PMS"/>
      <sheetName val="OPERA S&amp;C"/>
      <sheetName val="INPUT"/>
      <sheetName val="OPERA QMS"/>
      <sheetName val="MF MC"/>
      <sheetName val="3700"/>
      <sheetName val="9700"/>
      <sheetName val="OUTLETS"/>
      <sheetName val="Option"/>
      <sheetName val="Overview"/>
      <sheetName val="실내건축일위대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MOTOR"/>
      <sheetName val="#REF"/>
    </sheetNames>
    <sheetDataSet>
      <sheetData sheetId="0" refreshError="1">
        <row r="5">
          <cell r="B5" t="str">
            <v>거 성 산 업 사</v>
          </cell>
        </row>
        <row r="6">
          <cell r="B6" t="str">
            <v>경 북 금 속</v>
          </cell>
        </row>
        <row r="7">
          <cell r="B7" t="str">
            <v>경동 공업사</v>
          </cell>
        </row>
        <row r="8">
          <cell r="B8" t="str">
            <v>경진기계공업사</v>
          </cell>
        </row>
        <row r="9">
          <cell r="B9" t="str">
            <v>금 성 도 금</v>
          </cell>
        </row>
        <row r="10">
          <cell r="B10" t="str">
            <v>금호 공업사</v>
          </cell>
        </row>
        <row r="11">
          <cell r="B11" t="str">
            <v>녹 수 공 업</v>
          </cell>
        </row>
        <row r="12">
          <cell r="B12" t="str">
            <v>대 흥 철 강</v>
          </cell>
        </row>
        <row r="13">
          <cell r="B13" t="str">
            <v>대정 공업사</v>
          </cell>
        </row>
        <row r="14">
          <cell r="B14" t="str">
            <v>덕 산 철 판</v>
          </cell>
        </row>
        <row r="15">
          <cell r="B15" t="str">
            <v>동 화 산 업</v>
          </cell>
        </row>
        <row r="16">
          <cell r="B16" t="str">
            <v>삼우금속공업</v>
          </cell>
        </row>
        <row r="17">
          <cell r="B17" t="str">
            <v>서 진 산 업</v>
          </cell>
        </row>
        <row r="18">
          <cell r="B18" t="str">
            <v>성 신 기 업</v>
          </cell>
        </row>
        <row r="19">
          <cell r="B19" t="str">
            <v>성 일 산 업</v>
          </cell>
        </row>
        <row r="20">
          <cell r="B20" t="str">
            <v>승 진 강 업</v>
          </cell>
        </row>
        <row r="21">
          <cell r="B21" t="str">
            <v>신 동 정 밀</v>
          </cell>
        </row>
        <row r="22">
          <cell r="B22" t="str">
            <v>신양 산업사</v>
          </cell>
        </row>
        <row r="23">
          <cell r="B23" t="str">
            <v>우 성 철 강</v>
          </cell>
        </row>
        <row r="24">
          <cell r="B24" t="str">
            <v>정진 산업사</v>
          </cell>
        </row>
        <row r="25">
          <cell r="B25" t="str">
            <v>제 일 철 강</v>
          </cell>
        </row>
        <row r="26">
          <cell r="B26" t="str">
            <v>제세도금공업</v>
          </cell>
        </row>
        <row r="27">
          <cell r="B27" t="str">
            <v>평 화 기 공</v>
          </cell>
        </row>
        <row r="28">
          <cell r="B28" t="str">
            <v>평 화 부 품</v>
          </cell>
        </row>
        <row r="29">
          <cell r="B29" t="str">
            <v>하 나 공 업</v>
          </cell>
        </row>
        <row r="30">
          <cell r="B30" t="str">
            <v>한국 게이츠</v>
          </cell>
        </row>
        <row r="31">
          <cell r="B31" t="str">
            <v>협 성 연 사</v>
          </cell>
        </row>
        <row r="32">
          <cell r="B32" t="str">
            <v>형 제 정 밀</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판관비명세서"/>
      <sheetName val="여신"/>
      <sheetName val="수신"/>
      <sheetName val="D"/>
      <sheetName val="96결산부속"/>
      <sheetName val="INPUT"/>
      <sheetName val="95WBS"/>
      <sheetName val="공통"/>
      <sheetName val="지성학원"/>
      <sheetName val="ILBAN"/>
      <sheetName val="실행간접비용"/>
      <sheetName val="공통비"/>
      <sheetName val="SPEC"/>
      <sheetName val="전기"/>
      <sheetName val="G.R300경비"/>
      <sheetName val="기계경비(시간당)"/>
      <sheetName val="램머"/>
      <sheetName val="사전주요실적"/>
      <sheetName val="50(갑)"/>
      <sheetName val="전체(태안제외)"/>
      <sheetName val="DB@Acess"/>
      <sheetName val="Civil"/>
      <sheetName val="명단"/>
      <sheetName val="적용환율"/>
      <sheetName val="기준"/>
      <sheetName val="Summary Rp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설치공사비"/>
      <sheetName val="MOTOR"/>
      <sheetName val="Data Vol"/>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일위"/>
      <sheetName val="일위(PN)"/>
      <sheetName val="금액내역서"/>
      <sheetName val="설직재-1"/>
      <sheetName val="Total"/>
      <sheetName val="집계표(OP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단가"/>
      <sheetName val="교대(A1-A2)"/>
      <sheetName val="내역서"/>
      <sheetName val="일위대가"/>
      <sheetName val="#REF"/>
      <sheetName val="실행내역"/>
      <sheetName val="교대(A1)"/>
      <sheetName val="견적의뢰서"/>
      <sheetName val="배수공"/>
      <sheetName val="집계표"/>
      <sheetName val="공사개요"/>
      <sheetName val="대비"/>
      <sheetName val="Dae_Jiju"/>
      <sheetName val="Sikje_ingun"/>
      <sheetName val="TREE_D"/>
      <sheetName val="건축내역"/>
      <sheetName val="가격조사서"/>
      <sheetName val="Sheet1 (2)"/>
      <sheetName val="대림경상68억"/>
      <sheetName val="재료비"/>
      <sheetName val="총괄내역서"/>
      <sheetName val="시공여유율"/>
      <sheetName val="양수장(기계)"/>
      <sheetName val="사용성검토"/>
      <sheetName val="해평견적"/>
      <sheetName val="청천내"/>
      <sheetName val="별표총괄"/>
      <sheetName val="BID"/>
      <sheetName val="일H35Y4"/>
      <sheetName val="공종별"/>
      <sheetName val="노임"/>
      <sheetName val="실행철강하도"/>
      <sheetName val="EUL"/>
      <sheetName val="방배동내역(리라)"/>
      <sheetName val="공통가설"/>
      <sheetName val="건축공사집계표"/>
      <sheetName val="방배동내역 (총괄)"/>
      <sheetName val="부대공사총괄"/>
      <sheetName val="낙찰표"/>
      <sheetName val="물가변동 총괄서"/>
      <sheetName val="수량조서(신)"/>
      <sheetName val="금액내역서"/>
      <sheetName val="공사비총괄표"/>
      <sheetName val="ASALTOTA"/>
      <sheetName val="부하(성남)"/>
      <sheetName val="인건비"/>
      <sheetName val="MIJIBI"/>
      <sheetName val="Sheet1"/>
      <sheetName val="장비집계"/>
      <sheetName val="제수"/>
      <sheetName val="공기"/>
      <sheetName val="취수탑"/>
      <sheetName val="Sheet17"/>
      <sheetName val="설계조건"/>
      <sheetName val="EQUIP LIST"/>
      <sheetName val="조명시설"/>
      <sheetName val="수량집계"/>
      <sheetName val="노무비계"/>
      <sheetName val="제잡비"/>
      <sheetName val="도시가스현황"/>
      <sheetName val="내역"/>
      <sheetName val="간접"/>
      <sheetName val="허용전류-IEC"/>
      <sheetName val="허용전류-IEC DATA"/>
      <sheetName val="증감내역서"/>
      <sheetName val="기초1"/>
      <sheetName val="맨홀수량"/>
      <sheetName val="7.1유효폭"/>
      <sheetName val="부속동"/>
      <sheetName val="노임단가"/>
      <sheetName val="기계경비일람"/>
      <sheetName val="뚝토공"/>
      <sheetName val="단위단가"/>
      <sheetName val="중기사용료"/>
      <sheetName val="저"/>
      <sheetName val="새공통"/>
      <sheetName val="대전-교대(A1-A2)"/>
      <sheetName val="현황산출서"/>
      <sheetName val="동력부하계산"/>
      <sheetName val="도급"/>
      <sheetName val="부하계산서"/>
      <sheetName val="Sheet3"/>
      <sheetName val="공사비예산서(토목분)"/>
      <sheetName val="TEST1"/>
      <sheetName val="본선 토공 분배표"/>
      <sheetName val="프랜트면허"/>
      <sheetName val="토목주소"/>
      <sheetName val="인사자료총집계"/>
      <sheetName val="평가데이터"/>
      <sheetName val="기본단가"/>
      <sheetName val="DATE"/>
      <sheetName val="현장관리비 산출내역"/>
      <sheetName val="특수선일위대가"/>
      <sheetName val="출자한도"/>
      <sheetName val="단면 (2)"/>
      <sheetName val="변경내역대비표(2)"/>
      <sheetName val="경비"/>
      <sheetName val="침하계"/>
      <sheetName val="3.공통공사대비"/>
      <sheetName val="36+45-113-18+19+20I"/>
      <sheetName val="현장관리비"/>
      <sheetName val="정부노임단가"/>
      <sheetName val="대로근거"/>
      <sheetName val="중로근거"/>
      <sheetName val="갑지(추정)"/>
      <sheetName val="데이타"/>
      <sheetName val="방배동내역(한영)"/>
      <sheetName val="갑지1"/>
      <sheetName val="토사(PE)"/>
      <sheetName val="경비2내역"/>
      <sheetName val="을 2"/>
      <sheetName val="을 1"/>
      <sheetName val="토공 갑지"/>
      <sheetName val="구조물견적"/>
      <sheetName val="수량3"/>
      <sheetName val="노무비단가"/>
      <sheetName val="단면치수"/>
      <sheetName val="Y-WORK"/>
      <sheetName val="물가시세"/>
      <sheetName val="자료"/>
      <sheetName val="INPUT"/>
      <sheetName val="장비"/>
      <sheetName val="산근1"/>
      <sheetName val="노무"/>
      <sheetName val="자재"/>
      <sheetName val="지급자재"/>
      <sheetName val="총공사내역서"/>
      <sheetName val="건축공사실행"/>
      <sheetName val="000000"/>
      <sheetName val="일위대가표"/>
      <sheetName val="변수데이타"/>
      <sheetName val="장비내역서"/>
      <sheetName val="CTEMCOST"/>
      <sheetName val="물량"/>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구조물철거타공정이월"/>
      <sheetName val="1-1"/>
      <sheetName val="내역1"/>
      <sheetName val="CIVIL"/>
      <sheetName val="단가비교표"/>
      <sheetName val="주식"/>
      <sheetName val="영동(D)"/>
      <sheetName val="원형1호맨홀토공수량"/>
      <sheetName val="BOX 본체"/>
      <sheetName val="MAT"/>
      <sheetName val="JUCKEYK"/>
      <sheetName val=" "/>
      <sheetName val="WORK"/>
      <sheetName val="외자배분"/>
      <sheetName val="외자내역"/>
      <sheetName val="U-TYPE(1)"/>
      <sheetName val="적용률"/>
      <sheetName val="6PILE  (돌출)"/>
      <sheetName val="찍기"/>
      <sheetName val="별표"/>
      <sheetName val="자재조사표"/>
      <sheetName val="1,2,3,4,5단위수량"/>
      <sheetName val="견적대비표"/>
      <sheetName val="설계개요"/>
      <sheetName val="예가표"/>
      <sheetName val="단가조사표"/>
      <sheetName val="각사별공사비분개 "/>
      <sheetName val="70%"/>
      <sheetName val="식재인부"/>
      <sheetName val="총괄표"/>
      <sheetName val="바닥판"/>
      <sheetName val="자재단가"/>
      <sheetName val="기계경비(시간당)"/>
      <sheetName val="램머"/>
      <sheetName val="SG"/>
      <sheetName val="TB-내역서"/>
      <sheetName val="Sheet5"/>
      <sheetName val="전기"/>
      <sheetName val="입찰안"/>
      <sheetName val="차액보증"/>
      <sheetName val="2"/>
      <sheetName val="D-3109"/>
      <sheetName val="ABUT수량-A1"/>
      <sheetName val="1.취수장"/>
      <sheetName val="6호기"/>
      <sheetName val="9811"/>
      <sheetName val="설계흐름도"/>
      <sheetName val="터널전기"/>
      <sheetName val="해외법인"/>
      <sheetName val="L-type"/>
      <sheetName val="수량산출"/>
      <sheetName val="표지"/>
      <sheetName val="발생토"/>
      <sheetName val="자재수량"/>
      <sheetName val="마감사양"/>
      <sheetName val="터널조도"/>
      <sheetName val="정SW_원_"/>
      <sheetName val="기성집계"/>
      <sheetName val="공내역서"/>
      <sheetName val="일년TOTAL"/>
      <sheetName val="연돌일위집계"/>
      <sheetName val="간접비"/>
      <sheetName val="유기공정"/>
      <sheetName val="Sheet2"/>
      <sheetName val="COVER-P"/>
      <sheetName val="결재갑지"/>
      <sheetName val="일위대가(건축)"/>
      <sheetName val="표준건축비"/>
      <sheetName val="2006납품"/>
      <sheetName val="S1"/>
      <sheetName val="구성비"/>
      <sheetName val="정렬"/>
      <sheetName val="9GNG운반"/>
      <sheetName val="배명(단가)"/>
      <sheetName val="FORM-0"/>
      <sheetName val="1호맨홀토공"/>
      <sheetName val="Sheet4"/>
      <sheetName val="단가산출1"/>
      <sheetName val="단가산출2"/>
      <sheetName val="JUCK"/>
      <sheetName val="현장지지물물량"/>
      <sheetName val="제경비"/>
      <sheetName val="실적"/>
      <sheetName val="입력(K0)"/>
      <sheetName val="노무비"/>
      <sheetName val="용수간선"/>
      <sheetName val="암거날개벽"/>
      <sheetName val="기초"/>
      <sheetName val="맨홀토공산출"/>
      <sheetName val="계수시트"/>
      <sheetName val="노임이"/>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시설일위"/>
      <sheetName val="식재수량표"/>
      <sheetName val="식재일위"/>
      <sheetName val="수량집계표"/>
      <sheetName val="공종별수량집계"/>
      <sheetName val="기경집계"/>
      <sheetName val="Pier 3"/>
      <sheetName val="2000년 공정표"/>
      <sheetName val="WEON"/>
      <sheetName val="수정2"/>
      <sheetName val="BOX(1.5X1.5)"/>
      <sheetName val="공문(신)"/>
      <sheetName val="3련 BOX"/>
      <sheetName val="와동25-3(변경)"/>
      <sheetName val="간선계산"/>
      <sheetName val="수목단가"/>
      <sheetName val="시설수량표"/>
      <sheetName val="관로토공"/>
      <sheetName val="신천교(음성)"/>
      <sheetName val="기성금내역서"/>
      <sheetName val="자바라1"/>
      <sheetName val="해외 연수비용 계산-삭제"/>
      <sheetName val="해외 기술훈련비 (합계)"/>
      <sheetName val="2000년1차"/>
      <sheetName val="12호기내역서(건축분)"/>
      <sheetName val="적용단가"/>
      <sheetName val="Sheet6"/>
      <sheetName val="날개벽수량표"/>
      <sheetName val="골조시행"/>
      <sheetName val="7-3단면_상시"/>
      <sheetName val="소요자재"/>
      <sheetName val="노무산출서"/>
      <sheetName val="부도어음"/>
      <sheetName val="장비투입 (2)"/>
      <sheetName val="단위중기"/>
      <sheetName val="전체"/>
      <sheetName val="철거산출근거"/>
      <sheetName val="기기리스트"/>
      <sheetName val="금융비용"/>
      <sheetName val="K55수출"/>
      <sheetName val="c_balju"/>
      <sheetName val="영업2"/>
      <sheetName val="옹벽(수량)"/>
      <sheetName val="중기일위대가"/>
      <sheetName val="결과조달"/>
      <sheetName val="조건표"/>
      <sheetName val="품셈TABLE"/>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옹벽수량집계"/>
      <sheetName val="1SPAN"/>
      <sheetName val="T기성9605"/>
      <sheetName val="TYPE A"/>
      <sheetName val="기둥(원형)"/>
      <sheetName val="기초단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문보고"/>
      <sheetName val="국공유지및사유지"/>
      <sheetName val="광산내역"/>
      <sheetName val="방송(체육관)"/>
      <sheetName val="날개벽(시점좌측)"/>
      <sheetName val="참조"/>
      <sheetName val="건축"/>
      <sheetName val="을"/>
      <sheetName val="CC16-내역서"/>
      <sheetName val="NM2"/>
      <sheetName val="NW1"/>
      <sheetName val="NW2"/>
      <sheetName val="PW3"/>
      <sheetName val="PW4"/>
      <sheetName val="SC1"/>
      <sheetName val="DNW"/>
      <sheetName val="N+"/>
      <sheetName val="NE"/>
      <sheetName val="P+"/>
      <sheetName val="PE"/>
      <sheetName val="PM"/>
      <sheetName val="TR"/>
      <sheetName val="시설물일위"/>
      <sheetName val="산출근거"/>
      <sheetName val="Baby일위대가"/>
      <sheetName val="매립"/>
      <sheetName val="산출내역서집계표"/>
      <sheetName val="장문교(대전)"/>
      <sheetName val="1ST"/>
      <sheetName val="메서,변+증"/>
      <sheetName val="경영상태"/>
      <sheetName val="96까지"/>
      <sheetName val="97년"/>
      <sheetName val="98이후"/>
      <sheetName val="1.설계조건"/>
      <sheetName val="수량명세서"/>
      <sheetName val="#10거푸집유로폼(0~7m)"/>
      <sheetName val="상부하중"/>
      <sheetName val="풍하중1"/>
      <sheetName val="예산총괄표"/>
      <sheetName val="L형옹벽단위수량(35)"/>
      <sheetName val="L형옹벽단위수량(25)"/>
      <sheetName val="단기차입금"/>
      <sheetName val="5사남"/>
      <sheetName val="포장물량집계"/>
      <sheetName val="9"/>
      <sheetName val="공사내역"/>
      <sheetName val="1공구 건정토건 토공"/>
      <sheetName val="원가1(기계)"/>
      <sheetName val="C &amp; G RHS"/>
      <sheetName val="jobhist"/>
      <sheetName val="조내역"/>
      <sheetName val="Total"/>
      <sheetName val="일위대가목차"/>
      <sheetName val="간접1"/>
      <sheetName val="1안98Billing"/>
      <sheetName val="실시공"/>
      <sheetName val="DANGA"/>
      <sheetName val="전기일위대가"/>
      <sheetName val="목표세부명세"/>
      <sheetName val="설비원가"/>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L_type"/>
      <sheetName val="식재"/>
      <sheetName val="시설물"/>
      <sheetName val="식재출력용"/>
      <sheetName val="유지관리"/>
      <sheetName val="건축공사요약표"/>
      <sheetName val="집계내역서(가압장)"/>
      <sheetName val="흐름도"/>
      <sheetName val="5.3 단면가정"/>
      <sheetName val="기성내역"/>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유림골조"/>
      <sheetName val="투자효율분석"/>
      <sheetName val="설계명세서"/>
      <sheetName val="설계기준"/>
      <sheetName val="부대내역"/>
      <sheetName val="일위대가(가설)"/>
      <sheetName val="Man Hole"/>
      <sheetName val="기지국"/>
      <sheetName val="F4-F7"/>
      <sheetName val="입찰내역"/>
      <sheetName val="수질정화시설"/>
      <sheetName val="간지"/>
      <sheetName val="신우"/>
      <sheetName val="과천MAIN"/>
      <sheetName val="물량표"/>
      <sheetName val="변경원가서갑"/>
      <sheetName val="°©Áö"/>
      <sheetName val="토공산출(주차장)"/>
      <sheetName val="COVER"/>
      <sheetName val="수리결과"/>
      <sheetName val="단위수량"/>
      <sheetName val="업무처리전"/>
      <sheetName val="선로정수계산"/>
      <sheetName val="CON포장수량"/>
      <sheetName val="ACUNIT"/>
      <sheetName val="CONUNIT"/>
      <sheetName val="포장공"/>
      <sheetName val="화전내"/>
      <sheetName val="2000용수잠관-수량집계"/>
      <sheetName val="부대공사"/>
      <sheetName val="1.토공"/>
      <sheetName val="일반공사"/>
      <sheetName val="변경내역"/>
      <sheetName val="설계서"/>
      <sheetName val="TYPE-A"/>
      <sheetName val="설비"/>
      <sheetName val="교대시점"/>
      <sheetName val="비탈면보호공수량산출"/>
      <sheetName val="증감대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Process Piping"/>
      <sheetName val="BQ(실행)"/>
      <sheetName val="품셈기준"/>
      <sheetName val="FAB별"/>
      <sheetName val="총괄"/>
      <sheetName val="중동공구"/>
      <sheetName val="개산공사비"/>
      <sheetName val="증가분"/>
      <sheetName val="증가수정"/>
      <sheetName val="문의사항"/>
      <sheetName val="수수료율표"/>
      <sheetName val="Calculation"/>
      <sheetName val="토공사"/>
      <sheetName val="목록"/>
      <sheetName val="은행"/>
      <sheetName val="철근단면적"/>
      <sheetName val="TYPE-1"/>
      <sheetName val="집1"/>
      <sheetName val="철근총괄집계표"/>
      <sheetName val="개화1교"/>
      <sheetName val="수량산출서-2"/>
      <sheetName val="깨기"/>
      <sheetName val="Koreasea"/>
      <sheetName val="MOTOR"/>
      <sheetName val="토목-물가"/>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공종별집계표"/>
      <sheetName val="STRA2"/>
      <sheetName val="WEIGHT LIST"/>
      <sheetName val="POL6차-PIPING"/>
      <sheetName val="산#2-1 (2)"/>
      <sheetName val="산#3-1"/>
      <sheetName val="설산1.나"/>
      <sheetName val="본사S"/>
      <sheetName val="상행-교대(A1-A2)"/>
      <sheetName val="FB25JN"/>
      <sheetName val="성곽내역서"/>
      <sheetName val="전라자금"/>
      <sheetName val="9509"/>
      <sheetName val="교각계산"/>
      <sheetName val="TYPE1"/>
      <sheetName val="철근량"/>
      <sheetName val="원가계산"/>
      <sheetName val="원가계산서(남측)"/>
      <sheetName val="공통비(전체)"/>
      <sheetName val="충주"/>
      <sheetName val="품의서"/>
      <sheetName val="자재 집계표"/>
      <sheetName val="2연BOX"/>
      <sheetName val="재료"/>
      <sheetName val="예정(3)"/>
      <sheetName val="동원(3)"/>
      <sheetName val="예가대비"/>
      <sheetName val="기성신청"/>
      <sheetName val="Raw Dat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공사비증감"/>
      <sheetName val="40단가산출서"/>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주형"/>
      <sheetName val="역T형"/>
      <sheetName val="PILE"/>
      <sheetName val="내역서(기성청구)"/>
      <sheetName val="0"/>
      <sheetName val="배관내역"/>
      <sheetName val="산출서양식01"/>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960318-1"/>
      <sheetName val="SBT NO Proj. Controlling Report"/>
      <sheetName val="PI"/>
      <sheetName val="AC포장수량"/>
      <sheetName val="수량이동"/>
      <sheetName val="펌프장수량산출(토)"/>
      <sheetName val="경산"/>
      <sheetName val="tggwan(mac)"/>
      <sheetName val="우각부보강"/>
      <sheetName val="골재"/>
      <sheetName val="원가계산서"/>
      <sheetName val="소방사항"/>
      <sheetName val="방수"/>
      <sheetName val="중기"/>
      <sheetName val="심의위원명단"/>
      <sheetName val="실행간접비"/>
      <sheetName val="소화실적"/>
      <sheetName val="APT"/>
      <sheetName val="견적"/>
      <sheetName val="허용전류_IEC"/>
      <sheetName val="허용전류_IEC DATA"/>
      <sheetName val="잡비계산"/>
      <sheetName val="사통"/>
      <sheetName val="기안"/>
      <sheetName val="내역표지"/>
      <sheetName val="S12"/>
      <sheetName val="S9"/>
      <sheetName val="S14"/>
      <sheetName val="조도계산서 (도서)"/>
      <sheetName val="산1~6"/>
      <sheetName val="토목"/>
      <sheetName val="인천성심병원"/>
      <sheetName val="1TL종점(1)"/>
      <sheetName val="예산서"/>
      <sheetName val="3BL공동구 수량"/>
      <sheetName val="충돌 내용"/>
      <sheetName val="작성방법"/>
      <sheetName val="FOOTING단면력"/>
      <sheetName val="품의"/>
      <sheetName val="주공 갑지"/>
      <sheetName val="음료실행"/>
      <sheetName val="공사원가"/>
      <sheetName val="FLA"/>
      <sheetName val="할증 "/>
      <sheetName val="참고"/>
      <sheetName val="COA-17"/>
      <sheetName val="C-18"/>
      <sheetName val="견적서"/>
      <sheetName val="산출내역서"/>
      <sheetName val="원가"/>
      <sheetName val="교통대책내역"/>
      <sheetName val="시멘트"/>
      <sheetName val="PHC파일 천공 및 항타"/>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5.모델링"/>
      <sheetName val="금융구조검토"/>
      <sheetName val="삼성전기"/>
      <sheetName val="산근터빈"/>
      <sheetName val="xxxxxx"/>
      <sheetName val="구역화물"/>
      <sheetName val="공문갑지"/>
      <sheetName val="G2설비도급"/>
      <sheetName val="21301동"/>
      <sheetName val="11"/>
      <sheetName val="주간기성"/>
      <sheetName val="직종인원"/>
      <sheetName val="일일총괄"/>
      <sheetName val="검사현황"/>
      <sheetName val="10"/>
      <sheetName val="부하"/>
      <sheetName val="Book2"/>
      <sheetName val="8"/>
      <sheetName val="견적서세부내용"/>
      <sheetName val="견적내용입력"/>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A.클라우드 운영관리 개발비 산정"/>
      <sheetName val="A-1.클라우드 운영관리 FP산정"/>
      <sheetName val="A-2.클라우드 인프라 아키텍쳐 투입공수"/>
      <sheetName val="A-2.클라우드 투입공수 산정내역"/>
      <sheetName val="B.데이터관리체계 개발비 산정"/>
      <sheetName val="B-1.데이터관리체계 FP산정"/>
      <sheetName val="C.통합 개발환경 개발비 산정"/>
      <sheetName val="C-1.통합 개발환경 FP산정"/>
      <sheetName val="D-1. 지자체 플랫폼 통합 재개발비"/>
      <sheetName val="D-1.지자체 플랫폼 통합 재개발 FP"/>
      <sheetName val="D-2.지자체 플랫폼 통합 DB 재설계 "/>
      <sheetName val="D-2. 지자체 플랫폼 통합 DB 재설계 투입공수"/>
      <sheetName val="E. 데이터서비스 개발비 산정"/>
      <sheetName val="E-1.데이터서비스 FP산정"/>
      <sheetName val="E-2.데이터서비스 유지보수비 산출"/>
      <sheetName val="E-2.유지보수 투입공수 산정"/>
      <sheetName val="F.가시화시뮬서비스 개발비 산정"/>
      <sheetName val="F-1.가시화시뮬서비스 FP산정"/>
      <sheetName val="(참조)보정계수"/>
      <sheetName val="(참조) 2022년 적용 SW기술자 평균 임금"/>
    </sheetNames>
    <sheetDataSet>
      <sheetData sheetId="0"/>
      <sheetData sheetId="1">
        <row r="11">
          <cell r="K11">
            <v>430930798.51747775</v>
          </cell>
        </row>
      </sheetData>
      <sheetData sheetId="2"/>
      <sheetData sheetId="3">
        <row r="12">
          <cell r="O12">
            <v>116358967.29600002</v>
          </cell>
        </row>
      </sheetData>
      <sheetData sheetId="4"/>
      <sheetData sheetId="5">
        <row r="11">
          <cell r="K11">
            <v>686331394.33641636</v>
          </cell>
        </row>
      </sheetData>
      <sheetData sheetId="6"/>
      <sheetData sheetId="7">
        <row r="11">
          <cell r="K11">
            <v>963010406.45029736</v>
          </cell>
        </row>
      </sheetData>
      <sheetData sheetId="8"/>
      <sheetData sheetId="9">
        <row r="14">
          <cell r="P14">
            <v>325043204.46820158</v>
          </cell>
        </row>
      </sheetData>
      <sheetData sheetId="10"/>
      <sheetData sheetId="11">
        <row r="12">
          <cell r="Q12">
            <v>103862274.04799999</v>
          </cell>
        </row>
      </sheetData>
      <sheetData sheetId="12"/>
      <sheetData sheetId="13">
        <row r="11">
          <cell r="K11">
            <v>1160151715.328634</v>
          </cell>
        </row>
      </sheetData>
      <sheetData sheetId="14"/>
      <sheetData sheetId="15">
        <row r="13">
          <cell r="O13">
            <v>73330642.944000006</v>
          </cell>
        </row>
      </sheetData>
      <sheetData sheetId="16"/>
      <sheetData sheetId="17">
        <row r="11">
          <cell r="K11">
            <v>553110895.25425792</v>
          </cell>
        </row>
      </sheetData>
      <sheetData sheetId="18"/>
      <sheetData sheetId="19"/>
      <sheetData sheetId="20">
        <row r="13">
          <cell r="C13">
            <v>323184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4-3 보온 기본물량집계"/>
      <sheetName val="설계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 val="기준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WBS"/>
    </sheetNames>
    <sheetDataSet>
      <sheetData sheetId="0" refreshError="1"/>
      <sheetData sheetId="1" refreshError="1"/>
      <sheetData sheetId="2">
        <row r="15">
          <cell r="F15" t="str">
            <v>완료</v>
          </cell>
        </row>
        <row r="16">
          <cell r="F16" t="str">
            <v>완료</v>
          </cell>
        </row>
        <row r="19">
          <cell r="F19" t="str">
            <v>완료</v>
          </cell>
          <cell r="I19">
            <v>42559</v>
          </cell>
        </row>
        <row r="20">
          <cell r="F20" t="str">
            <v>완료</v>
          </cell>
          <cell r="I20">
            <v>42559</v>
          </cell>
        </row>
        <row r="21">
          <cell r="F21" t="str">
            <v>완료</v>
          </cell>
          <cell r="I21">
            <v>42566</v>
          </cell>
        </row>
        <row r="22">
          <cell r="F22" t="str">
            <v>대기중</v>
          </cell>
          <cell r="I22">
            <v>42573</v>
          </cell>
        </row>
        <row r="23">
          <cell r="F23" t="str">
            <v>대기중</v>
          </cell>
          <cell r="I23">
            <v>42629</v>
          </cell>
        </row>
        <row r="24">
          <cell r="F24" t="str">
            <v>대기중</v>
          </cell>
          <cell r="I24">
            <v>42576</v>
          </cell>
        </row>
        <row r="25">
          <cell r="F25" t="str">
            <v>대기중</v>
          </cell>
          <cell r="I25">
            <v>42580</v>
          </cell>
        </row>
        <row r="27">
          <cell r="F27" t="str">
            <v>대기중</v>
          </cell>
          <cell r="H27">
            <v>42569</v>
          </cell>
          <cell r="I27">
            <v>42573</v>
          </cell>
        </row>
        <row r="28">
          <cell r="F28" t="str">
            <v>대기중</v>
          </cell>
          <cell r="H28">
            <v>42569</v>
          </cell>
          <cell r="I28">
            <v>42573</v>
          </cell>
        </row>
        <row r="29">
          <cell r="F29" t="str">
            <v>대기중</v>
          </cell>
          <cell r="H29">
            <v>42576</v>
          </cell>
          <cell r="I29">
            <v>42580</v>
          </cell>
        </row>
        <row r="30">
          <cell r="F30" t="str">
            <v>대기중</v>
          </cell>
          <cell r="H30">
            <v>42576</v>
          </cell>
          <cell r="I30">
            <v>42580</v>
          </cell>
        </row>
        <row r="31">
          <cell r="F31" t="str">
            <v>대기중</v>
          </cell>
          <cell r="H31">
            <v>42576</v>
          </cell>
          <cell r="I31">
            <v>42580</v>
          </cell>
        </row>
        <row r="33">
          <cell r="F33" t="str">
            <v>대기중</v>
          </cell>
          <cell r="H33">
            <v>42569</v>
          </cell>
          <cell r="I33">
            <v>42573</v>
          </cell>
        </row>
        <row r="34">
          <cell r="F34" t="str">
            <v>대기중</v>
          </cell>
          <cell r="H34">
            <v>42573</v>
          </cell>
          <cell r="I34">
            <v>42573</v>
          </cell>
        </row>
        <row r="37">
          <cell r="F37" t="str">
            <v>완료</v>
          </cell>
        </row>
        <row r="38">
          <cell r="F38" t="str">
            <v>대기중</v>
          </cell>
        </row>
        <row r="39">
          <cell r="F39" t="str">
            <v>대기중</v>
          </cell>
        </row>
        <row r="40">
          <cell r="F40" t="str">
            <v>대기중</v>
          </cell>
        </row>
        <row r="41">
          <cell r="F41" t="str">
            <v>대기중</v>
          </cell>
        </row>
        <row r="42">
          <cell r="F42" t="str">
            <v>대기중</v>
          </cell>
        </row>
        <row r="43">
          <cell r="F43" t="str">
            <v>대기중</v>
          </cell>
        </row>
        <row r="44">
          <cell r="F44" t="str">
            <v>대기중</v>
          </cell>
        </row>
        <row r="45">
          <cell r="F45" t="str">
            <v>대기중</v>
          </cell>
        </row>
        <row r="46">
          <cell r="F46" t="str">
            <v>대기중</v>
          </cell>
        </row>
        <row r="47">
          <cell r="F47" t="str">
            <v>대기중</v>
          </cell>
        </row>
        <row r="48">
          <cell r="F48" t="str">
            <v>대기중</v>
          </cell>
        </row>
        <row r="49">
          <cell r="F49" t="str">
            <v>대기중</v>
          </cell>
        </row>
        <row r="50">
          <cell r="F50" t="str">
            <v>대기중</v>
          </cell>
        </row>
        <row r="51">
          <cell r="F51" t="str">
            <v>대기중</v>
          </cell>
        </row>
        <row r="52">
          <cell r="F52" t="str">
            <v>대기중</v>
          </cell>
        </row>
        <row r="53">
          <cell r="F53" t="str">
            <v>대기중</v>
          </cell>
        </row>
        <row r="54">
          <cell r="F54" t="str">
            <v>대기중</v>
          </cell>
        </row>
        <row r="55">
          <cell r="F55" t="str">
            <v>대기중</v>
          </cell>
        </row>
        <row r="56">
          <cell r="F56" t="str">
            <v>대기중</v>
          </cell>
        </row>
        <row r="57">
          <cell r="F57" t="str">
            <v>대기중</v>
          </cell>
        </row>
        <row r="58">
          <cell r="F58" t="str">
            <v>대기중</v>
          </cell>
        </row>
        <row r="61">
          <cell r="F61" t="str">
            <v>대기중</v>
          </cell>
          <cell r="H61">
            <v>42584</v>
          </cell>
          <cell r="I61">
            <v>42584</v>
          </cell>
        </row>
        <row r="62">
          <cell r="F62" t="str">
            <v>대기중</v>
          </cell>
          <cell r="H62">
            <v>42619</v>
          </cell>
          <cell r="I62">
            <v>42619</v>
          </cell>
        </row>
        <row r="63">
          <cell r="F63" t="str">
            <v>대기중</v>
          </cell>
          <cell r="H63">
            <v>42647</v>
          </cell>
          <cell r="I63">
            <v>42647</v>
          </cell>
        </row>
        <row r="64">
          <cell r="F64" t="str">
            <v>대기중</v>
          </cell>
          <cell r="H64">
            <v>42675</v>
          </cell>
          <cell r="I64">
            <v>42675</v>
          </cell>
        </row>
        <row r="65">
          <cell r="F65" t="str">
            <v>대기중</v>
          </cell>
          <cell r="H65">
            <v>42710</v>
          </cell>
          <cell r="I65">
            <v>42710</v>
          </cell>
        </row>
        <row r="67">
          <cell r="F67" t="str">
            <v>대기중</v>
          </cell>
          <cell r="H67">
            <v>42634</v>
          </cell>
          <cell r="I67">
            <v>42640</v>
          </cell>
        </row>
        <row r="68">
          <cell r="F68" t="str">
            <v>대기중</v>
          </cell>
          <cell r="H68">
            <v>42640</v>
          </cell>
          <cell r="I68">
            <v>42640</v>
          </cell>
        </row>
        <row r="70">
          <cell r="F70" t="str">
            <v>대기중</v>
          </cell>
          <cell r="H70">
            <v>42711</v>
          </cell>
          <cell r="I70">
            <v>42717</v>
          </cell>
        </row>
        <row r="71">
          <cell r="F71" t="str">
            <v>대기중</v>
          </cell>
          <cell r="H71">
            <v>42734</v>
          </cell>
          <cell r="I71">
            <v>42734</v>
          </cell>
        </row>
        <row r="73">
          <cell r="F73" t="str">
            <v>대기중</v>
          </cell>
          <cell r="H73">
            <v>42576</v>
          </cell>
          <cell r="I73">
            <v>42580</v>
          </cell>
        </row>
        <row r="74">
          <cell r="F74" t="str">
            <v>대기중</v>
          </cell>
          <cell r="H74">
            <v>42583</v>
          </cell>
          <cell r="I74">
            <v>42643</v>
          </cell>
        </row>
        <row r="76">
          <cell r="F76" t="str">
            <v>대기중</v>
          </cell>
          <cell r="H76">
            <v>42607</v>
          </cell>
          <cell r="I76">
            <v>42608</v>
          </cell>
        </row>
        <row r="77">
          <cell r="F77" t="str">
            <v>대기중</v>
          </cell>
          <cell r="H77">
            <v>42642</v>
          </cell>
          <cell r="I77">
            <v>42643</v>
          </cell>
        </row>
        <row r="78">
          <cell r="F78" t="str">
            <v>대기중</v>
          </cell>
          <cell r="H78">
            <v>42670</v>
          </cell>
          <cell r="I78">
            <v>42671</v>
          </cell>
        </row>
        <row r="79">
          <cell r="F79" t="str">
            <v>대기중</v>
          </cell>
          <cell r="H79">
            <v>42698</v>
          </cell>
          <cell r="I79">
            <v>42699</v>
          </cell>
        </row>
        <row r="81">
          <cell r="F81" t="str">
            <v>대기중</v>
          </cell>
          <cell r="H81">
            <v>42613</v>
          </cell>
          <cell r="I81">
            <v>42613</v>
          </cell>
        </row>
        <row r="82">
          <cell r="F82" t="str">
            <v>대기중</v>
          </cell>
          <cell r="H82">
            <v>42648</v>
          </cell>
          <cell r="I82">
            <v>42648</v>
          </cell>
        </row>
        <row r="83">
          <cell r="F83" t="str">
            <v>대기중</v>
          </cell>
          <cell r="H83">
            <v>42676</v>
          </cell>
          <cell r="I83">
            <v>42676</v>
          </cell>
        </row>
        <row r="84">
          <cell r="F84" t="str">
            <v>대기중</v>
          </cell>
          <cell r="H84">
            <v>42704</v>
          </cell>
          <cell r="I84">
            <v>42704</v>
          </cell>
        </row>
        <row r="86">
          <cell r="F86" t="str">
            <v>대기중</v>
          </cell>
          <cell r="H86">
            <v>42632</v>
          </cell>
          <cell r="I86">
            <v>42636</v>
          </cell>
        </row>
        <row r="87">
          <cell r="F87" t="str">
            <v>대기중</v>
          </cell>
          <cell r="H87">
            <v>42639</v>
          </cell>
          <cell r="I87">
            <v>42643</v>
          </cell>
        </row>
        <row r="88">
          <cell r="F88" t="str">
            <v>대기중</v>
          </cell>
          <cell r="H88">
            <v>42646</v>
          </cell>
          <cell r="I88">
            <v>42657</v>
          </cell>
        </row>
        <row r="91">
          <cell r="F91" t="str">
            <v>대기중</v>
          </cell>
          <cell r="H91">
            <v>42695</v>
          </cell>
          <cell r="I91">
            <v>42699</v>
          </cell>
        </row>
        <row r="92">
          <cell r="F92" t="str">
            <v>대기중</v>
          </cell>
          <cell r="H92">
            <v>42702</v>
          </cell>
          <cell r="I92">
            <v>42706</v>
          </cell>
        </row>
        <row r="93">
          <cell r="F93" t="str">
            <v>대기중</v>
          </cell>
          <cell r="H93">
            <v>42709</v>
          </cell>
          <cell r="I93">
            <v>42720</v>
          </cell>
        </row>
        <row r="95">
          <cell r="F95" t="str">
            <v>대기중</v>
          </cell>
          <cell r="H95">
            <v>42709</v>
          </cell>
          <cell r="I95">
            <v>42720</v>
          </cell>
        </row>
        <row r="96">
          <cell r="F96" t="str">
            <v>대기중</v>
          </cell>
          <cell r="H96">
            <v>42724</v>
          </cell>
          <cell r="I96">
            <v>42724</v>
          </cell>
        </row>
        <row r="98">
          <cell r="F98" t="str">
            <v>대기중</v>
          </cell>
          <cell r="H98">
            <v>42706</v>
          </cell>
          <cell r="I98">
            <v>42706</v>
          </cell>
        </row>
        <row r="99">
          <cell r="F99" t="str">
            <v>대기중</v>
          </cell>
          <cell r="H99">
            <v>42709</v>
          </cell>
          <cell r="I99">
            <v>42720</v>
          </cell>
        </row>
        <row r="100">
          <cell r="F100" t="str">
            <v>대기중</v>
          </cell>
          <cell r="H100">
            <v>42720</v>
          </cell>
          <cell r="I100">
            <v>42720</v>
          </cell>
        </row>
        <row r="102">
          <cell r="F102" t="str">
            <v>대기중</v>
          </cell>
          <cell r="H102">
            <v>42724</v>
          </cell>
          <cell r="I102">
            <v>42724</v>
          </cell>
        </row>
        <row r="105">
          <cell r="H105">
            <v>42576</v>
          </cell>
          <cell r="I105">
            <v>42580</v>
          </cell>
        </row>
        <row r="106">
          <cell r="H106">
            <v>42583</v>
          </cell>
          <cell r="I106">
            <v>42587</v>
          </cell>
        </row>
        <row r="107">
          <cell r="H107">
            <v>42591</v>
          </cell>
          <cell r="I107">
            <v>42591</v>
          </cell>
        </row>
        <row r="109">
          <cell r="H109">
            <v>42562</v>
          </cell>
          <cell r="I109">
            <v>42636</v>
          </cell>
        </row>
        <row r="110">
          <cell r="H110">
            <v>42569</v>
          </cell>
          <cell r="I110">
            <v>42643</v>
          </cell>
        </row>
        <row r="111">
          <cell r="H111">
            <v>42569</v>
          </cell>
          <cell r="I111">
            <v>42643</v>
          </cell>
        </row>
        <row r="112">
          <cell r="H112">
            <v>42576</v>
          </cell>
          <cell r="I112">
            <v>42650</v>
          </cell>
        </row>
        <row r="113">
          <cell r="H113">
            <v>42576</v>
          </cell>
          <cell r="I113">
            <v>42650</v>
          </cell>
        </row>
        <row r="114">
          <cell r="H114">
            <v>42583</v>
          </cell>
          <cell r="I114">
            <v>42678</v>
          </cell>
        </row>
        <row r="115">
          <cell r="H115">
            <v>42590</v>
          </cell>
          <cell r="I115">
            <v>42685</v>
          </cell>
        </row>
        <row r="118">
          <cell r="F118" t="str">
            <v>대기중</v>
          </cell>
          <cell r="H118">
            <v>42597</v>
          </cell>
          <cell r="I118">
            <v>42692</v>
          </cell>
        </row>
        <row r="119">
          <cell r="F119" t="str">
            <v>대기중</v>
          </cell>
          <cell r="H119">
            <v>42604</v>
          </cell>
          <cell r="I119">
            <v>42699</v>
          </cell>
        </row>
        <row r="120">
          <cell r="F120" t="str">
            <v>대기중</v>
          </cell>
          <cell r="H120">
            <v>42611</v>
          </cell>
          <cell r="I120">
            <v>42706</v>
          </cell>
        </row>
        <row r="122">
          <cell r="F122" t="str">
            <v>대기중</v>
          </cell>
          <cell r="H122">
            <v>42619</v>
          </cell>
          <cell r="I122">
            <v>42619</v>
          </cell>
        </row>
        <row r="123">
          <cell r="F123" t="str">
            <v>대기중</v>
          </cell>
          <cell r="H123">
            <v>42626</v>
          </cell>
          <cell r="I123">
            <v>42626</v>
          </cell>
        </row>
        <row r="124">
          <cell r="F124" t="str">
            <v>대기중</v>
          </cell>
          <cell r="H124">
            <v>42633</v>
          </cell>
          <cell r="I124">
            <v>42633</v>
          </cell>
        </row>
        <row r="125">
          <cell r="F125" t="str">
            <v>대기중</v>
          </cell>
          <cell r="H125">
            <v>42640</v>
          </cell>
          <cell r="I125">
            <v>42640</v>
          </cell>
        </row>
        <row r="126">
          <cell r="F126" t="str">
            <v>대기중</v>
          </cell>
          <cell r="H126">
            <v>42647</v>
          </cell>
          <cell r="I126">
            <v>42647</v>
          </cell>
        </row>
        <row r="127">
          <cell r="F127" t="str">
            <v>대기중</v>
          </cell>
          <cell r="H127">
            <v>42654</v>
          </cell>
          <cell r="I127">
            <v>42654</v>
          </cell>
        </row>
        <row r="128">
          <cell r="F128" t="str">
            <v>대기중</v>
          </cell>
          <cell r="H128">
            <v>42661</v>
          </cell>
          <cell r="I128">
            <v>42661</v>
          </cell>
        </row>
        <row r="129">
          <cell r="F129" t="str">
            <v>대기중</v>
          </cell>
          <cell r="H129">
            <v>42668</v>
          </cell>
          <cell r="I129">
            <v>42668</v>
          </cell>
        </row>
        <row r="130">
          <cell r="F130" t="str">
            <v>대기중</v>
          </cell>
          <cell r="H130">
            <v>42675</v>
          </cell>
          <cell r="I130">
            <v>42675</v>
          </cell>
        </row>
        <row r="131">
          <cell r="F131" t="str">
            <v>대기중</v>
          </cell>
          <cell r="H131">
            <v>42682</v>
          </cell>
          <cell r="I131">
            <v>42682</v>
          </cell>
        </row>
        <row r="132">
          <cell r="F132" t="str">
            <v>대기중</v>
          </cell>
          <cell r="H132">
            <v>42689</v>
          </cell>
          <cell r="I132">
            <v>42689</v>
          </cell>
        </row>
        <row r="133">
          <cell r="F133" t="str">
            <v>대기중</v>
          </cell>
          <cell r="H133">
            <v>42696</v>
          </cell>
          <cell r="I133">
            <v>42696</v>
          </cell>
        </row>
        <row r="134">
          <cell r="F134" t="str">
            <v>대기중</v>
          </cell>
          <cell r="H134">
            <v>42703</v>
          </cell>
          <cell r="I134">
            <v>42703</v>
          </cell>
        </row>
        <row r="135">
          <cell r="F135" t="str">
            <v>대기중</v>
          </cell>
          <cell r="H135">
            <v>42710</v>
          </cell>
          <cell r="I135">
            <v>42710</v>
          </cell>
        </row>
        <row r="136">
          <cell r="F136" t="str">
            <v>대기중</v>
          </cell>
          <cell r="H136">
            <v>42717</v>
          </cell>
          <cell r="I136">
            <v>42717</v>
          </cell>
        </row>
        <row r="138">
          <cell r="F138" t="str">
            <v>대기중</v>
          </cell>
          <cell r="H138">
            <v>42619</v>
          </cell>
          <cell r="I138">
            <v>42713</v>
          </cell>
        </row>
        <row r="139">
          <cell r="F139" t="str">
            <v>대기중</v>
          </cell>
          <cell r="H139">
            <v>42632</v>
          </cell>
          <cell r="I139">
            <v>42713</v>
          </cell>
        </row>
        <row r="140">
          <cell r="F140" t="str">
            <v>대기중</v>
          </cell>
          <cell r="H140">
            <v>42646</v>
          </cell>
          <cell r="I140">
            <v>42720</v>
          </cell>
        </row>
        <row r="144">
          <cell r="F144" t="str">
            <v>완료</v>
          </cell>
          <cell r="H144">
            <v>42569</v>
          </cell>
          <cell r="I144">
            <v>42580</v>
          </cell>
        </row>
        <row r="145">
          <cell r="F145" t="str">
            <v>지연</v>
          </cell>
          <cell r="H145">
            <v>42576</v>
          </cell>
          <cell r="I145">
            <v>42587</v>
          </cell>
        </row>
        <row r="146">
          <cell r="F146" t="str">
            <v>대기중</v>
          </cell>
          <cell r="H146">
            <v>42590</v>
          </cell>
          <cell r="I146">
            <v>42594</v>
          </cell>
        </row>
        <row r="147">
          <cell r="F147" t="str">
            <v>대기중</v>
          </cell>
          <cell r="H147">
            <v>42597</v>
          </cell>
          <cell r="I147">
            <v>42601</v>
          </cell>
        </row>
        <row r="148">
          <cell r="F148" t="str">
            <v>대기중</v>
          </cell>
          <cell r="H148">
            <v>42597</v>
          </cell>
          <cell r="I148">
            <v>42608</v>
          </cell>
        </row>
        <row r="149">
          <cell r="F149" t="str">
            <v>대기중</v>
          </cell>
          <cell r="H149">
            <v>42611</v>
          </cell>
          <cell r="I149">
            <v>42629</v>
          </cell>
        </row>
        <row r="150">
          <cell r="F150" t="str">
            <v>대기중</v>
          </cell>
          <cell r="H150">
            <v>42625</v>
          </cell>
          <cell r="I150">
            <v>42671</v>
          </cell>
        </row>
        <row r="151">
          <cell r="F151" t="str">
            <v>대기중</v>
          </cell>
          <cell r="H151">
            <v>42674</v>
          </cell>
          <cell r="I151">
            <v>42685</v>
          </cell>
        </row>
        <row r="152">
          <cell r="F152" t="str">
            <v>대기중</v>
          </cell>
          <cell r="H152">
            <v>42625</v>
          </cell>
          <cell r="I152">
            <v>42699</v>
          </cell>
        </row>
        <row r="153">
          <cell r="F153" t="str">
            <v>대기중</v>
          </cell>
          <cell r="H153">
            <v>42702</v>
          </cell>
          <cell r="I153">
            <v>42713</v>
          </cell>
        </row>
        <row r="154">
          <cell r="F154" t="str">
            <v>대기중</v>
          </cell>
          <cell r="H154">
            <v>42709</v>
          </cell>
          <cell r="I154">
            <v>42720</v>
          </cell>
        </row>
        <row r="156">
          <cell r="F156" t="str">
            <v>지연</v>
          </cell>
          <cell r="H156">
            <v>42576</v>
          </cell>
          <cell r="I156">
            <v>42587</v>
          </cell>
        </row>
        <row r="157">
          <cell r="F157" t="str">
            <v>대기중</v>
          </cell>
          <cell r="H157">
            <v>42590</v>
          </cell>
          <cell r="I157">
            <v>42608</v>
          </cell>
        </row>
        <row r="158">
          <cell r="F158" t="str">
            <v>대기중</v>
          </cell>
          <cell r="H158">
            <v>42611</v>
          </cell>
          <cell r="I158">
            <v>42643</v>
          </cell>
        </row>
        <row r="159">
          <cell r="F159" t="str">
            <v>대기중</v>
          </cell>
          <cell r="H159">
            <v>42646</v>
          </cell>
          <cell r="I159">
            <v>42713</v>
          </cell>
        </row>
        <row r="160">
          <cell r="F160" t="str">
            <v>대기중</v>
          </cell>
          <cell r="H160">
            <v>42709</v>
          </cell>
          <cell r="I160">
            <v>42720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일위대가목록"/>
      <sheetName val="I一般比"/>
      <sheetName val="3-1-3.센터설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동원(3)"/>
      <sheetName val="노무비단가"/>
      <sheetName val="옥외 전력간선공사"/>
      <sheetName val="내역1"/>
      <sheetName val="#REF"/>
      <sheetName val="수량산출1"/>
      <sheetName val="자재단가표"/>
      <sheetName val="화해(함평)"/>
      <sheetName val="화해(장성)"/>
      <sheetName val="내역서"/>
      <sheetName val="N賃率_職"/>
      <sheetName val="시설물일위"/>
      <sheetName val="경율산정.XLS"/>
      <sheetName val="중기사용료"/>
      <sheetName val="공조기휀"/>
      <sheetName val="노임단가"/>
      <sheetName val="제작비추산총괄표"/>
      <sheetName val="노임"/>
      <sheetName val="노무비"/>
      <sheetName val="C-직노1"/>
      <sheetName val="내역"/>
      <sheetName val="일위대가(가설)"/>
      <sheetName val="b_balju_cho"/>
      <sheetName val="집계"/>
      <sheetName val="새공통"/>
      <sheetName val="인부임"/>
      <sheetName val="중기일위대가"/>
      <sheetName val="토공"/>
      <sheetName val="공사원가계산서"/>
      <sheetName val="단가조사"/>
      <sheetName val="수량산출"/>
      <sheetName val="Baby일위대가"/>
      <sheetName val="순공사비"/>
      <sheetName val="Sheet1"/>
      <sheetName val="전기공사일위대가"/>
      <sheetName val="단"/>
      <sheetName val="KCS-CA"/>
      <sheetName val="산경"/>
      <sheetName val="일위대가목록"/>
      <sheetName val="직노"/>
      <sheetName val="을-ATYPE"/>
      <sheetName val="문산"/>
      <sheetName val="을지"/>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Data"/>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P&amp;L(Ahn)"/>
      <sheetName val="포장공"/>
      <sheetName val="배수공"/>
      <sheetName val="WATER"/>
      <sheetName val="차도부연장현황"/>
      <sheetName val="Galaxy 소비자가격표"/>
      <sheetName val="목록"/>
      <sheetName val="70%"/>
      <sheetName val="96노임기준"/>
      <sheetName val="단위수량"/>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중기사용료산출근거"/>
      <sheetName val="단가 및 재료비"/>
      <sheetName val="적현로"/>
      <sheetName val="아파트"/>
      <sheetName val="소비자가"/>
      <sheetName val="설직재-1"/>
      <sheetName val="EQT-ESTN"/>
      <sheetName val="기술부 VENDOR LIST"/>
      <sheetName val="B1(반포1차)"/>
      <sheetName val="원가계산서"/>
      <sheetName val="일위목록"/>
      <sheetName val="1차설계변경내역"/>
      <sheetName val="D-경비1"/>
      <sheetName val="건축내역"/>
      <sheetName val="8.수량산출서"/>
      <sheetName val="9.단가조사서"/>
      <sheetName val="6.일위목록"/>
      <sheetName val="내역서(실)"/>
      <sheetName val="단가산출"/>
      <sheetName val="일위대가표(유단가)"/>
      <sheetName val="증감대비"/>
      <sheetName val="5사남"/>
      <sheetName val="COST"/>
      <sheetName val="전기"/>
      <sheetName val="요율"/>
      <sheetName val="하도관리"/>
      <sheetName val="확약서"/>
      <sheetName val="Sheet9"/>
      <sheetName val="퇴직영수증"/>
      <sheetName val="건축-물가변동"/>
      <sheetName val="단위단가"/>
      <sheetName val="000000"/>
      <sheetName val="Sheet4"/>
      <sheetName val="을_ATYPE"/>
      <sheetName val="견적서"/>
      <sheetName val="합천내역"/>
      <sheetName val="공통가설"/>
      <sheetName val="인건비"/>
      <sheetName val="실행대비"/>
      <sheetName val="갑지"/>
      <sheetName val="지수"/>
      <sheetName val="갑지(추정)"/>
      <sheetName val="Sheet5"/>
      <sheetName val="guard(mac)"/>
      <sheetName val="조명시설"/>
      <sheetName val="시행후면적"/>
      <sheetName val="가설대가"/>
      <sheetName val="토공대가"/>
      <sheetName val="구조대가"/>
      <sheetName val="포설대가1"/>
      <sheetName val="부대대가"/>
      <sheetName val="공정집계_국별"/>
      <sheetName val="설계명세서"/>
      <sheetName val="(변경계약)총괄내역"/>
      <sheetName val="8.PILE  (돌출)"/>
      <sheetName val="입찰안"/>
      <sheetName val="전국현황"/>
      <sheetName val="MOTOR"/>
      <sheetName val="4. 자재단가비교표"/>
      <sheetName val="4. 일위대가"/>
      <sheetName val="일위대가(출입)"/>
      <sheetName val="(A)내역서"/>
      <sheetName val="자재집계"/>
      <sheetName val="Sheet3"/>
      <sheetName val="대구-교대(A1)"/>
      <sheetName val="단1"/>
      <sheetName val="FACTOR"/>
      <sheetName val="工관리비율"/>
      <sheetName val="工완성공사율"/>
      <sheetName val="dt0301"/>
      <sheetName val="dtt0301"/>
      <sheetName val="아파트_9"/>
      <sheetName val="정부노임단가"/>
      <sheetName val="품셈TABLE"/>
      <sheetName val="노임단가(일반)"/>
      <sheetName val="전기일위대가"/>
      <sheetName val="대목"/>
      <sheetName val="경산"/>
      <sheetName val="변압기 및 발전기 용량"/>
      <sheetName val="MOKDONG(1)"/>
      <sheetName val="준검 내역서"/>
      <sheetName val="기본단가표"/>
      <sheetName val="내역단위"/>
      <sheetName val="소화설비"/>
      <sheetName val="기존단가 (2)"/>
      <sheetName val="자료입력"/>
      <sheetName val="예산명세서"/>
      <sheetName val="대전-교대(A1-A2)"/>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시설물기초"/>
      <sheetName val="Total"/>
      <sheetName val="6호기"/>
      <sheetName val="건축공사실행"/>
      <sheetName val="마포토정"/>
      <sheetName val="10월"/>
      <sheetName val="신천3호용수로"/>
      <sheetName val="2공구산출내역"/>
      <sheetName val="식재일위대가"/>
      <sheetName val="펀칭"/>
      <sheetName val="노임이"/>
      <sheetName val="물량"/>
      <sheetName val="시공변경 설명서"/>
      <sheetName val="공사비증감내역"/>
      <sheetName val="변경조서"/>
      <sheetName val="362품셈"/>
      <sheetName val="평균높이산출근거"/>
      <sheetName val="횡배수관위치조서"/>
      <sheetName val="Sheet13"/>
      <sheetName val="기자재비"/>
      <sheetName val="woo(mac)"/>
      <sheetName val="횡배수관집현황(2공구)"/>
      <sheetName val="인건-측정"/>
      <sheetName val="sw1"/>
      <sheetName val="아스콘포장 (5t)"/>
      <sheetName val="원가_(2)1"/>
      <sheetName val="전선_및_전선관1"/>
      <sheetName val="원형1호맨홀토공수량"/>
      <sheetName val="기별"/>
      <sheetName val="램머"/>
      <sheetName val="내역을"/>
      <sheetName val="건축"/>
      <sheetName val="방식총괄"/>
      <sheetName val="단가목록"/>
      <sheetName val="토목검측서"/>
      <sheetName val="부대내역"/>
      <sheetName val="내역서(기성청구)"/>
      <sheetName val="설계서(1)"/>
      <sheetName val="부하계산서"/>
      <sheetName val="도로단위당"/>
      <sheetName val="실행철강하도"/>
      <sheetName val="계수원본(99.2.28)"/>
      <sheetName val="POL6차-PIPING"/>
      <sheetName val="경율산정"/>
      <sheetName val="방지책개소별명세"/>
      <sheetName val="단가명령서"/>
      <sheetName val="3"/>
      <sheetName val="패널"/>
      <sheetName val="대창(장성)"/>
      <sheetName val="대창(함평)-창열"/>
      <sheetName val="수공기"/>
      <sheetName val="중기"/>
      <sheetName val="수지예산"/>
      <sheetName val="CAUDIT"/>
      <sheetName val="토적계산"/>
      <sheetName val="목차"/>
      <sheetName val="전선"/>
      <sheetName val="CABLE"/>
      <sheetName val="48평단가"/>
      <sheetName val="57단가"/>
      <sheetName val="54평단가"/>
      <sheetName val="66평단가"/>
      <sheetName val="61단가"/>
      <sheetName val="89평단가"/>
      <sheetName val="84평단가"/>
      <sheetName val="골조시행"/>
      <sheetName val="사용성검토"/>
      <sheetName val="공예을"/>
      <sheetName val="실행내역"/>
      <sheetName val="9GNG운반"/>
      <sheetName val="을"/>
      <sheetName val="금융비용"/>
      <sheetName val="ERL_TBL"/>
      <sheetName val="asd"/>
      <sheetName val="b_sul"/>
      <sheetName val="급여대장출력"/>
      <sheetName val="인원계획-미화"/>
      <sheetName val="자재단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EXPENSE"/>
      <sheetName val="건축원가"/>
      <sheetName val="전체"/>
      <sheetName val="기기리스트"/>
      <sheetName val="실행내역 "/>
      <sheetName val="기초단가"/>
      <sheetName val="COVER"/>
      <sheetName val="estimate(TOTAL) (2)"/>
      <sheetName val="estimate"/>
      <sheetName val="내역서2안"/>
      <sheetName val="7.수지"/>
      <sheetName val="기계실"/>
      <sheetName val="Tool"/>
      <sheetName val="C-노임단가"/>
      <sheetName val="45,46"/>
      <sheetName val="사업성분석"/>
      <sheetName val="백호우계수"/>
      <sheetName val="총괄갑 "/>
      <sheetName val="99년신청"/>
      <sheetName val="건축토목내역"/>
      <sheetName val="단가표"/>
      <sheetName val="금액"/>
      <sheetName val="Sheet1 (2)"/>
      <sheetName val="내역서1999.8최종"/>
      <sheetName val="철거산출근거"/>
      <sheetName val="1-최종안"/>
      <sheetName val="사업분석-분양가결정"/>
      <sheetName val="제품별구성표"/>
      <sheetName val="산출근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일위대가"/>
      <sheetName val="I一般比"/>
      <sheetName val="과천MAIN"/>
      <sheetName val="대비"/>
      <sheetName val="내역서(총)"/>
      <sheetName val="부대대비"/>
      <sheetName val="냉연집계"/>
      <sheetName val="Sheet3"/>
      <sheetName val="신우"/>
      <sheetName val="교각계산"/>
      <sheetName val="민속촌메뉴"/>
      <sheetName val="수량산출서"/>
      <sheetName val="N賃率-職"/>
      <sheetName val="노원열병합  건축공사기성내역서"/>
      <sheetName val="직재"/>
      <sheetName val="설계조건"/>
      <sheetName val="직노"/>
      <sheetName val="20관리비율"/>
      <sheetName val="plan&amp;section of foundation"/>
      <sheetName val="경산"/>
      <sheetName val="Sheet2"/>
      <sheetName val="C-노임단가"/>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내역"/>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도"/>
      <sheetName val="내역"/>
      <sheetName val="BID"/>
      <sheetName val="갑지(추정)"/>
      <sheetName val="1단계"/>
      <sheetName val="PANEL_중량산출"/>
      <sheetName val="노원열병합__건축공사기성내역서"/>
      <sheetName val="plan&amp;section_of_foundation"/>
      <sheetName val="LEGEND"/>
      <sheetName val="조경"/>
      <sheetName val="최종갑지"/>
      <sheetName val="sum1 (2)"/>
      <sheetName val="견적정보"/>
      <sheetName val="FB25JN"/>
      <sheetName val="년도별실"/>
      <sheetName val="설직재-1"/>
      <sheetName val="주소록"/>
      <sheetName val="Sheet1"/>
      <sheetName val="건축내역"/>
      <sheetName val="본장"/>
      <sheetName val="을지"/>
      <sheetName val="DB"/>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심사물량"/>
      <sheetName val="심사계산"/>
      <sheetName val="7.1 자재단가표(케이블)"/>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원가 (2)"/>
      <sheetName val="대치판정"/>
      <sheetName val="기성"/>
      <sheetName val="rate"/>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담장산출"/>
      <sheetName val="dt0301"/>
      <sheetName val="dtt0301"/>
      <sheetName val="목록"/>
      <sheetName val="내부부하"/>
      <sheetName val="품산출서"/>
      <sheetName val="1-1"/>
      <sheetName val="차도조도계산"/>
      <sheetName val="LOAD-46"/>
      <sheetName val="BOX"/>
      <sheetName val="유통망계획"/>
      <sheetName val="기준자료"/>
      <sheetName val="제품"/>
      <sheetName val="견적계산"/>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부하(성남)"/>
      <sheetName val="말뚝지지력산정"/>
      <sheetName val="예산대비"/>
      <sheetName val="공문"/>
      <sheetName val="NEYOK"/>
      <sheetName val="외주가공"/>
      <sheetName val="7단가"/>
      <sheetName val="건축내역서"/>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견내"/>
      <sheetName val="매립"/>
      <sheetName val="Cost bd-&quot;A&quot;"/>
      <sheetName val="FACTOR"/>
      <sheetName val="실행"/>
      <sheetName val="DLA"/>
      <sheetName val=" 견적서"/>
      <sheetName val="dtxl"/>
      <sheetName val="DRUM"/>
      <sheetName val="물가시세"/>
      <sheetName val="ITEM"/>
      <sheetName val="type-F"/>
      <sheetName val="소업1교"/>
      <sheetName val="TRE TABLE"/>
      <sheetName val="단면가정"/>
      <sheetName val="토공계산서(부체도로)"/>
      <sheetName val="협조전"/>
      <sheetName val="CB"/>
      <sheetName val="본체"/>
      <sheetName val="단위수량"/>
      <sheetName val="표지판단위"/>
      <sheetName val="설계"/>
      <sheetName val="시행후면적"/>
      <sheetName val="수지예산"/>
      <sheetName val="단가대비"/>
      <sheetName val="소요자재"/>
      <sheetName val="ROOF(ALKALI)"/>
      <sheetName val="일위대가(4층원격)"/>
      <sheetName val="자료"/>
      <sheetName val="우각부보강"/>
      <sheetName val="건축집계표"/>
      <sheetName val="단가표 "/>
      <sheetName val="cost"/>
      <sheetName val="총괄"/>
      <sheetName val="공사비"/>
      <sheetName val="OPT"/>
      <sheetName val="SV"/>
      <sheetName val="노무비 근거"/>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부대내역"/>
      <sheetName val="실행내역서_"/>
      <sheetName val="3련 BOX"/>
      <sheetName val="DATA1"/>
      <sheetName val="간지"/>
      <sheetName val="소운반"/>
      <sheetName val="7내역"/>
      <sheetName val="BUS제원1"/>
      <sheetName val="11"/>
      <sheetName val="3BL공동구 수량"/>
      <sheetName val="수안보-MBR1"/>
      <sheetName val="L형 옹벽"/>
      <sheetName val="단가조사서"/>
      <sheetName val="목차"/>
      <sheetName val="재1"/>
      <sheetName val="I.설계조건"/>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금융비용"/>
      <sheetName val="주안3차A-A"/>
      <sheetName val="배수내역 (2)"/>
      <sheetName val="수량산출서 갑지"/>
      <sheetName val="간선계산"/>
      <sheetName val="계약내력"/>
      <sheetName val="도근좌표"/>
      <sheetName val="입상내역"/>
      <sheetName val="FAB별"/>
      <sheetName val="견적(갑지)"/>
      <sheetName val="Baby일위대가"/>
      <sheetName val="자재테이블"/>
      <sheetName val="산출금액내역"/>
      <sheetName val="A-4"/>
      <sheetName val="실행간접비용"/>
      <sheetName val="자판실행"/>
      <sheetName val="DHEQSUPT"/>
      <sheetName val="자재조사표(참고용)"/>
      <sheetName val="품셈집계표"/>
      <sheetName val="일반부표집계표"/>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단가조사"/>
      <sheetName val="대비"/>
      <sheetName val="BID"/>
      <sheetName val="투찰"/>
      <sheetName val="경비2내역"/>
      <sheetName val="공사내역"/>
      <sheetName val="간이연락"/>
      <sheetName val="수량산출"/>
      <sheetName val="J直材4"/>
      <sheetName val="구미4단2"/>
      <sheetName val="원가 (2)"/>
      <sheetName val="Galaxy 소비자가격표"/>
      <sheetName val="전기"/>
      <sheetName val="갑지"/>
      <sheetName val="단가 및 재료비"/>
      <sheetName val="Y-WORK"/>
      <sheetName val="보도경계블럭"/>
      <sheetName val="날개벽"/>
      <sheetName val="BSD (2)"/>
      <sheetName val="을"/>
      <sheetName val=" 견적서"/>
      <sheetName val="기초공"/>
      <sheetName val="기둥(원형)"/>
      <sheetName val="일위대가목차"/>
      <sheetName val="2.고용보험료산출근거"/>
      <sheetName val="INPUT"/>
      <sheetName val="CC16-내역서"/>
      <sheetName val="건축원가계산서"/>
      <sheetName val="공사비집계"/>
      <sheetName val="집계표"/>
      <sheetName val="예산M12A"/>
      <sheetName val="결과조달"/>
      <sheetName val="토공"/>
      <sheetName val="개요"/>
      <sheetName val="견적서"/>
      <sheetName val="중기사용료산출근거"/>
      <sheetName val="말뚝지지력산정"/>
      <sheetName val="PUMP"/>
      <sheetName val="내역"/>
      <sheetName val="품종별-이름"/>
      <sheetName val="Const Staff"/>
      <sheetName val="FREU Engineering"/>
      <sheetName val="Startup Staff"/>
      <sheetName val="단위세대"/>
      <sheetName val="Customer Databas"/>
      <sheetName val="금액내역서"/>
      <sheetName val="Sheet5"/>
      <sheetName val="Main"/>
      <sheetName val="Data"/>
      <sheetName val="설계조건"/>
      <sheetName val="노원열병합  건축공사기성내역서"/>
      <sheetName val="CAPVC"/>
      <sheetName val="내역서(총)"/>
      <sheetName val="기계내역"/>
      <sheetName val="기초자료"/>
      <sheetName val="98태백"/>
      <sheetName val="건축집계표"/>
      <sheetName val="소업1교"/>
      <sheetName val="제경비"/>
      <sheetName val="TEL"/>
      <sheetName val="데이타"/>
      <sheetName val="Proposal"/>
      <sheetName val="금액집계"/>
      <sheetName val="구조물공1"/>
      <sheetName val="배수및구조물공1"/>
      <sheetName val="내역서"/>
      <sheetName val="설계"/>
      <sheetName val="3련 BOX"/>
      <sheetName val="조명시설"/>
      <sheetName val="수량산출서"/>
      <sheetName val="단가산출서"/>
      <sheetName val="design criteria"/>
      <sheetName val="working load at the btm ft."/>
      <sheetName val="plan&amp;section of foundation"/>
      <sheetName val="member design"/>
      <sheetName val="soil bearing check"/>
      <sheetName val="음료실행"/>
      <sheetName val="사업부배부A"/>
      <sheetName val="부대내역"/>
      <sheetName val="일위대가"/>
      <sheetName val="1단계"/>
      <sheetName val="단가"/>
      <sheetName val="DATE"/>
      <sheetName val="터파기및재료"/>
      <sheetName val="Mc1"/>
      <sheetName val="단가산출"/>
      <sheetName val="SG"/>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단가비교표"/>
      <sheetName val="N賃率-職"/>
      <sheetName val="일위"/>
      <sheetName val="매립"/>
      <sheetName val="I一般比"/>
      <sheetName val="과천MAIN"/>
      <sheetName val="원가 (2)"/>
      <sheetName val="노임"/>
      <sheetName val="ABUT수량-A1"/>
      <sheetName val="예가표"/>
      <sheetName val="일위대가목차"/>
      <sheetName val="J直材4"/>
      <sheetName val="내역서1999.8최종"/>
      <sheetName val="2F 회의실견적(5_14 일대)"/>
      <sheetName val="품목납기"/>
      <sheetName val="Sheet2"/>
      <sheetName val="신우"/>
      <sheetName val="송라초중학교(final)"/>
      <sheetName val="Macro1"/>
      <sheetName val="S0"/>
      <sheetName val="#REF"/>
      <sheetName val="집계표"/>
      <sheetName val="제-노임"/>
      <sheetName val="제직재"/>
      <sheetName val="전차선로 물량표"/>
      <sheetName val="여과지동"/>
      <sheetName val="기초자료"/>
      <sheetName val="감가상각"/>
      <sheetName val="96갑지"/>
      <sheetName val="인건-측정"/>
      <sheetName val="Sheet1"/>
      <sheetName val="기본일위"/>
      <sheetName val="PANEL_중량산출"/>
      <sheetName val="원가_(2)"/>
      <sheetName val="노무비"/>
      <sheetName val="정부노임단가"/>
      <sheetName val="sw1"/>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성남)"/>
      <sheetName val="부대내역"/>
      <sheetName val="부하LOAD"/>
      <sheetName val="ITEM"/>
      <sheetName val="OPT7"/>
      <sheetName val="외천교"/>
      <sheetName val="종배수관"/>
      <sheetName val="Total"/>
      <sheetName val="발신정보"/>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한전고리-을"/>
      <sheetName val="갑"/>
      <sheetName val="호남2"/>
      <sheetName val="소요자재"/>
      <sheetName val="10월가격"/>
      <sheetName val="기타유틸리티설비"/>
      <sheetName val="명세서"/>
      <sheetName val="일위대가목록"/>
      <sheetName val="2F_회의실견적(5_14_일대)"/>
      <sheetName val="실행철강하도"/>
      <sheetName val="COVER"/>
      <sheetName val="Sheet3"/>
      <sheetName val="SBarch산근"/>
      <sheetName val="예총"/>
      <sheetName val="CTEMCOST"/>
      <sheetName val="일위총괄표"/>
      <sheetName val="소방"/>
      <sheetName val="건축-물가변동"/>
      <sheetName val="공량서"/>
      <sheetName val="기관"/>
      <sheetName val="257A1"/>
      <sheetName val="교환노무"/>
      <sheetName val="DATE"/>
      <sheetName val="산출내역서"/>
      <sheetName val="직공비"/>
      <sheetName val="Piping Design Data"/>
      <sheetName val="SCH"/>
      <sheetName val="저리조양"/>
      <sheetName val="금호"/>
      <sheetName val="차액보증"/>
      <sheetName val="K1자재(3차등)"/>
      <sheetName val="원가계산서"/>
      <sheetName val="우각부보강"/>
      <sheetName val="유기공정"/>
      <sheetName val="총괄"/>
      <sheetName val="약품공급2"/>
      <sheetName val="운동장 (2)"/>
      <sheetName val="Sheet4"/>
      <sheetName val="업무분장 "/>
      <sheetName val="공통"/>
      <sheetName val="판매96"/>
      <sheetName val="직재"/>
      <sheetName val="price"/>
      <sheetName val="배수공 시멘트 및 골재량 산출"/>
      <sheetName val="WORK"/>
      <sheetName val="DATA"/>
      <sheetName val="산출근거#2-3"/>
      <sheetName val="일보"/>
      <sheetName val="현장지지물물량"/>
      <sheetName val="사업장공제"/>
      <sheetName val="물량산출근거"/>
      <sheetName val="단위수량"/>
      <sheetName val="가시설수량"/>
      <sheetName val="관급자재대"/>
      <sheetName val="입찰안"/>
      <sheetName val="도급"/>
      <sheetName val="사통"/>
      <sheetName val="공통가설"/>
      <sheetName val="Macro(차단기)"/>
      <sheetName val="순공사비"/>
      <sheetName val="실행비교"/>
      <sheetName val="Project Brief"/>
      <sheetName val="각형맨홀"/>
      <sheetName val="가설건물"/>
      <sheetName val="SANBAISU"/>
      <sheetName val="SANTOGO"/>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001"/>
      <sheetName val="소상 &quot;1&quot;"/>
      <sheetName val="MFAB"/>
      <sheetName val="MFRT"/>
      <sheetName val="MPKG"/>
      <sheetName val="MPRD"/>
      <sheetName val="소비자가"/>
      <sheetName val="표지"/>
      <sheetName val="부하계산서"/>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xml:space="preserve"> </v>
          </cell>
          <cell r="H5" t="str">
            <v xml:space="preserve"> </v>
          </cell>
        </row>
        <row r="6">
          <cell r="A6">
            <v>6</v>
          </cell>
          <cell r="B6" t="str">
            <v xml:space="preserve"> </v>
          </cell>
          <cell r="C6">
            <v>0</v>
          </cell>
          <cell r="D6">
            <v>0</v>
          </cell>
          <cell r="E6">
            <v>0</v>
          </cell>
          <cell r="F6" t="str">
            <v xml:space="preserve"> </v>
          </cell>
        </row>
        <row r="7">
          <cell r="A7">
            <v>7</v>
          </cell>
          <cell r="B7" t="str">
            <v xml:space="preserve"> </v>
          </cell>
          <cell r="C7">
            <v>0</v>
          </cell>
          <cell r="D7">
            <v>0</v>
          </cell>
          <cell r="E7">
            <v>0</v>
          </cell>
          <cell r="F7" t="str">
            <v xml:space="preserve"> </v>
          </cell>
        </row>
        <row r="8">
          <cell r="A8">
            <v>8</v>
          </cell>
          <cell r="B8" t="str">
            <v xml:space="preserve">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xml:space="preserve">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xml:space="preserve">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xml:space="preserve">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xml:space="preserve">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xml:space="preserve">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xml:space="preserve"> </v>
          </cell>
          <cell r="C124" t="str">
            <v xml:space="preserve">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xml:space="preserve">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xml:space="preserve"> </v>
          </cell>
          <cell r="C172">
            <v>0</v>
          </cell>
          <cell r="D172">
            <v>0</v>
          </cell>
          <cell r="E172" t="str">
            <v xml:space="preserve"> </v>
          </cell>
        </row>
        <row r="173">
          <cell r="A173" t="e">
            <v>#REF!</v>
          </cell>
        </row>
        <row r="174">
          <cell r="A174" t="e">
            <v>#REF!</v>
          </cell>
        </row>
        <row r="175">
          <cell r="A175" t="e">
            <v>#REF!</v>
          </cell>
        </row>
        <row r="176">
          <cell r="A176" t="e">
            <v>#REF!</v>
          </cell>
          <cell r="B176" t="str">
            <v xml:space="preserve">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xml:space="preserve">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xml:space="preserve">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xml:space="preserve">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xml:space="preserve"> </v>
          </cell>
          <cell r="D253" t="str">
            <v xml:space="preserve"> </v>
          </cell>
          <cell r="E253" t="str">
            <v xml:space="preserve"> </v>
          </cell>
          <cell r="F253" t="str">
            <v xml:space="preserve"> </v>
          </cell>
        </row>
        <row r="254">
          <cell r="A254" t="e">
            <v>#REF!</v>
          </cell>
          <cell r="B254" t="str">
            <v xml:space="preserve"> </v>
          </cell>
          <cell r="C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xml:space="preserve"> </v>
          </cell>
          <cell r="C262" t="str">
            <v xml:space="preserve">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견적서 (2)"/>
      <sheetName val="20관리비율"/>
      <sheetName val="수량산출"/>
      <sheetName val="을"/>
      <sheetName val="제-노임"/>
      <sheetName val="차액보증"/>
      <sheetName val="#REF"/>
      <sheetName val="견적서_(2)"/>
      <sheetName val="직노"/>
      <sheetName val="설직재-1"/>
      <sheetName val="직재"/>
      <sheetName val="단가표 "/>
      <sheetName val=" 견적서"/>
      <sheetName val="말뚝물량"/>
      <sheetName val="1.설계조건"/>
      <sheetName val="조명시설"/>
      <sheetName val="신우"/>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부표총괄"/>
      <sheetName val="내역"/>
      <sheetName val="금액내역서"/>
      <sheetName val="archi(본사)"/>
      <sheetName val="직재"/>
      <sheetName val="#REF"/>
      <sheetName val="내역서"/>
      <sheetName val="OPT7"/>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부하(성남)"/>
      <sheetName val="1ST"/>
      <sheetName val="계화배수"/>
      <sheetName val="ZURRIEQ"/>
      <sheetName val="일위대가목차"/>
      <sheetName val="횡배수관토공수량"/>
      <sheetName val="J直材4"/>
      <sheetName val="C-직노1"/>
      <sheetName val="D-경비1"/>
      <sheetName val="설직재-1"/>
      <sheetName val="제직재"/>
      <sheetName val="제-노임"/>
      <sheetName val="별첨 #1-1. 각기능별개발원가"/>
      <sheetName val="입력변수"/>
      <sheetName val="노임단가"/>
      <sheetName val="시행후면적"/>
      <sheetName val="공사내역"/>
      <sheetName val="Oper Amount"/>
      <sheetName val="물량"/>
      <sheetName val="부하"/>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공사설계서"/>
      <sheetName val="현장관리비"/>
      <sheetName val="토목주소"/>
      <sheetName val="직접인건비"/>
      <sheetName val="설계조건"/>
      <sheetName val="안정계산"/>
      <sheetName val="단면검토"/>
      <sheetName val="진주방향"/>
      <sheetName val="마산방향"/>
      <sheetName val="마산방향철근집계"/>
      <sheetName val="날개벽수량표"/>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제-노임"/>
      <sheetName val="제직재"/>
      <sheetName val="Sheet3"/>
      <sheetName val="직재"/>
      <sheetName val="Sheet1"/>
      <sheetName val="수량산출"/>
      <sheetName val="단가표 "/>
      <sheetName val="J直材4"/>
      <sheetName val="차액보증"/>
      <sheetName val="특2호부관하천산근"/>
      <sheetName val="PILE  (돌출)"/>
      <sheetName val="3BL공동구 수량"/>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부하계산서"/>
      <sheetName val="CT "/>
      <sheetName val="과천MAIN"/>
      <sheetName val="발신정보"/>
      <sheetName val="J直材4"/>
      <sheetName val="노임"/>
      <sheetName val="ABUT수량-A1"/>
      <sheetName val="기본일위"/>
      <sheetName val="2F 회의실견적(5_14 일대)"/>
      <sheetName val="동원(3)"/>
      <sheetName val="예정(3)"/>
      <sheetName val="단가비교표"/>
      <sheetName val="NOMUBI"/>
      <sheetName val="sw1"/>
      <sheetName val="TOTAL"/>
      <sheetName val="실행철강하도"/>
      <sheetName val="I一般比"/>
      <sheetName val="인건-측정"/>
      <sheetName val="조도계산서 (도서)"/>
      <sheetName val="동력부하(도산)"/>
      <sheetName val="감가상각"/>
      <sheetName val="명세서"/>
      <sheetName val="유기공정"/>
      <sheetName val="TABLE"/>
      <sheetName val="연부97-1"/>
      <sheetName val="갑지1"/>
      <sheetName val="96물가 CODE"/>
      <sheetName val="종배수관"/>
      <sheetName val="CP-E2 (품셈표)"/>
      <sheetName val="노임단가"/>
      <sheetName val="U-TYPE(1)"/>
      <sheetName val="Sheet1"/>
      <sheetName val="터널조도"/>
      <sheetName val="설비"/>
      <sheetName val="조도계산(1)"/>
      <sheetName val="품목납기"/>
      <sheetName val="N賃率-職"/>
      <sheetName val="일위대가목록"/>
      <sheetName val="전차선로 물량표"/>
      <sheetName val="와동25-3(변경)"/>
      <sheetName val="인건비"/>
      <sheetName val="자재단가"/>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일위"/>
      <sheetName val="CONCRETE"/>
      <sheetName val="부하LOAD"/>
      <sheetName val="DATA"/>
      <sheetName val="데이타"/>
      <sheetName val="11월 가격"/>
      <sheetName val="일위대가(1)"/>
      <sheetName val="6PILE  (돌출)"/>
      <sheetName val="1000 DB구축 부표"/>
      <sheetName val="청천내"/>
      <sheetName val="원형1호맨홀토공수량"/>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조도계산서 _도서_"/>
      <sheetName val="심사물량"/>
      <sheetName val="심사계산"/>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1공구(을)"/>
      <sheetName val="부하(성남)"/>
      <sheetName val="시행후면적"/>
      <sheetName val="수지예산"/>
      <sheetName val="단가대비"/>
      <sheetName val="소요자재"/>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표지판단위"/>
      <sheetName val="설계"/>
      <sheetName val=" HIT-&gt;HMC 견적(3900)"/>
      <sheetName val="일위대가(4층원격)"/>
      <sheetName val="LOAD-46"/>
      <sheetName val="토공계산서(부체도로)"/>
      <sheetName val="dt0301"/>
      <sheetName val="dtt0301"/>
      <sheetName val="목록"/>
      <sheetName val="단면가정"/>
      <sheetName val="내부부하"/>
      <sheetName val="VE절감"/>
      <sheetName val="물량표S"/>
      <sheetName val="금액내역서"/>
      <sheetName val="물가시세"/>
      <sheetName val="ITEM"/>
      <sheetName val="type-F"/>
      <sheetName val="실행"/>
      <sheetName val="TRE TABLE"/>
      <sheetName val="DRUM"/>
      <sheetName val="건축내역서"/>
      <sheetName val="BOX"/>
      <sheetName val="말뚝지지력산정"/>
      <sheetName val="예산대비"/>
      <sheetName val="공문"/>
      <sheetName val="NEYOK"/>
      <sheetName val="외주가공"/>
      <sheetName val="7단가"/>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관급"/>
      <sheetName val="투찰(하수)"/>
      <sheetName val="수안보-MBR1"/>
      <sheetName val="L형 옹벽"/>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노무비 근거"/>
      <sheetName val="실행내역서_"/>
      <sheetName val="3련 BOX"/>
      <sheetName val="__MAIN"/>
      <sheetName val="회로내역(승인)"/>
      <sheetName val="안정검토(온1)"/>
      <sheetName val="입상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산출내역서집계표"/>
      <sheetName val="내역"/>
      <sheetName val="여과지동"/>
      <sheetName val="기초자료"/>
      <sheetName val="기초단가"/>
      <sheetName val="BASE DATA1"/>
      <sheetName val="전기단가조사서"/>
      <sheetName val="터널조도"/>
      <sheetName val="집계표"/>
      <sheetName val="일위대가"/>
      <sheetName val="수량산출"/>
      <sheetName val="공사비"/>
      <sheetName val="개요"/>
      <sheetName val="일반공사"/>
      <sheetName val="경"/>
      <sheetName val="전체공내역서"/>
      <sheetName val="자재단가"/>
      <sheetName val="산출근거"/>
      <sheetName val="우수"/>
      <sheetName val="변경품셈총괄"/>
      <sheetName val="인력터파기품"/>
      <sheetName val="1단계"/>
      <sheetName val="지급자재"/>
      <sheetName val="마산방향"/>
      <sheetName val="진주방향"/>
      <sheetName val="하수급견적대비"/>
      <sheetName val="화재 탐지 설비"/>
      <sheetName val="덕전리"/>
      <sheetName val="Sheet6"/>
      <sheetName val="관경별우수관집계"/>
      <sheetName val="Sheet2"/>
      <sheetName val="갑지(추정)"/>
      <sheetName val="BSD (2)"/>
      <sheetName val="차액보증"/>
      <sheetName val="BID"/>
      <sheetName val="#REF"/>
      <sheetName val="cp1"/>
      <sheetName val="기초작업"/>
      <sheetName val="설비"/>
      <sheetName val="대림경상68억"/>
      <sheetName val="플랜트 설치"/>
      <sheetName val="내역서"/>
      <sheetName val="금융비용"/>
      <sheetName val="차수"/>
      <sheetName val="입찰안"/>
      <sheetName val="PROJECT BRIEF"/>
      <sheetName val="평당자료"/>
      <sheetName val="전체"/>
      <sheetName val="단가산출"/>
      <sheetName val="Macro2"/>
      <sheetName val="잔수량(작성)"/>
      <sheetName val="유림총괄"/>
      <sheetName val="일위_파일"/>
      <sheetName val="표지"/>
      <sheetName val="Total"/>
      <sheetName val="선정요령"/>
      <sheetName val="추가예산"/>
      <sheetName val="POOM_MOTO"/>
      <sheetName val="POOM_MOTO2"/>
      <sheetName val="공통가설"/>
      <sheetName val="총괄-1"/>
      <sheetName val="원가서"/>
      <sheetName val="공량산출서"/>
      <sheetName val="안양동교 1안"/>
      <sheetName val="ABUT수량-A1"/>
      <sheetName val="JUCKEYK"/>
      <sheetName val="00상노임"/>
      <sheetName val="노임단가"/>
      <sheetName val="WORK"/>
      <sheetName val="Sheet1"/>
      <sheetName val="기계경비"/>
      <sheetName val="건축공사"/>
      <sheetName val="대치판정"/>
      <sheetName val="조명시설"/>
      <sheetName val="2.대외공문"/>
      <sheetName val="5.전사투자계획종함안"/>
      <sheetName val="손익차9월2"/>
      <sheetName val="업체별기성내역"/>
      <sheetName val="9GNG운반"/>
      <sheetName val="목록"/>
      <sheetName val="간접(90)"/>
      <sheetName val="남양내역"/>
      <sheetName val="용수간선"/>
      <sheetName val="Macro(차단기)"/>
      <sheetName val="견적정보"/>
      <sheetName val="COVER"/>
      <sheetName val="단양 00 아파트-세부내역"/>
      <sheetName val="날개벽수량표"/>
      <sheetName val="N賃率-職"/>
      <sheetName val="전 기"/>
      <sheetName val="관급"/>
      <sheetName val="단면치수"/>
      <sheetName val="중동상가"/>
      <sheetName val="선급금신청서"/>
      <sheetName val="시화점실행"/>
      <sheetName val="맨홀수량산출"/>
      <sheetName val="관급자재"/>
      <sheetName val="정렬"/>
      <sheetName val="기둥(원형)"/>
      <sheetName val="갱폼수직망"/>
      <sheetName val="시설물 설치표"/>
      <sheetName val="소상 &quot;1&quot;"/>
      <sheetName val="본사인상전"/>
      <sheetName val="영동(D)"/>
      <sheetName val="2공구산출내역"/>
      <sheetName val="CONCRETE"/>
      <sheetName val="물가시세"/>
      <sheetName val="자재비"/>
      <sheetName val="정보"/>
      <sheetName val="자재단가비교표"/>
      <sheetName val="SP-B1"/>
      <sheetName val="네고율"/>
      <sheetName val="터파기및재료"/>
      <sheetName val="예산조서"/>
      <sheetName val="노임"/>
      <sheetName val="입찰품의서"/>
      <sheetName val="DATA1"/>
      <sheetName val="계정"/>
      <sheetName val="(A)내역서"/>
      <sheetName val="총괄표"/>
      <sheetName val="건축공사집계"/>
      <sheetName val="일반부표"/>
      <sheetName val="시멘트"/>
      <sheetName val="내역표지"/>
      <sheetName val="데이타"/>
      <sheetName val="식재인부"/>
      <sheetName val="설계가"/>
      <sheetName val="T형( 파일기초) 공현1교"/>
      <sheetName val="98지급계획"/>
      <sheetName val="골조시행"/>
      <sheetName val="카렌스센터계량기설치공사"/>
      <sheetName val="대공종"/>
      <sheetName val="data"/>
      <sheetName val="PW3"/>
      <sheetName val="PW4"/>
      <sheetName val="SC1"/>
      <sheetName val="PE"/>
      <sheetName val="PM"/>
      <sheetName val="TR"/>
      <sheetName val="정부노임단가"/>
      <sheetName val="IT-BAT"/>
      <sheetName val="역공종"/>
      <sheetName val="SCH"/>
      <sheetName val="조건표"/>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일위"/>
      <sheetName val="J直材4"/>
      <sheetName val="model master"/>
      <sheetName val="생산수량"/>
      <sheetName val="직재"/>
      <sheetName val="일위대가표"/>
      <sheetName val="model_master"/>
      <sheetName val="실행철강하도"/>
      <sheetName val="대치판정"/>
      <sheetName val="I一般比"/>
      <sheetName val="수량산출"/>
      <sheetName val="DATA"/>
      <sheetName val="#REF"/>
      <sheetName val="직노"/>
      <sheetName val="6PILE  (돌출)"/>
      <sheetName val="총괄집계표"/>
      <sheetName val="약품공급2"/>
      <sheetName val="호남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JUCK"/>
      <sheetName val="밸브설치"/>
      <sheetName val="현장관리비 산출내역"/>
      <sheetName val="구조물철거타공정이월"/>
      <sheetName val="J直材4"/>
      <sheetName val="일반공사"/>
      <sheetName val="토목내역"/>
      <sheetName val="수량산출"/>
      <sheetName val="N賃率-職"/>
      <sheetName val="model master"/>
      <sheetName val="table"/>
      <sheetName val="제-노임"/>
      <sheetName val="중기사용료"/>
      <sheetName val="신청서"/>
      <sheetName val="건축집계"/>
      <sheetName val="소상 &quot;1&quot;"/>
      <sheetName val="장비명"/>
      <sheetName val="와동25-3(변경)"/>
      <sheetName val="Sheet1"/>
      <sheetName val="약품공급2"/>
      <sheetName val="수안보-MBR1"/>
      <sheetName val="공사비집계"/>
      <sheetName val="#REF"/>
      <sheetName val="6PILE  (돌출)"/>
      <sheetName val="우각부보강"/>
      <sheetName val="DATA"/>
      <sheetName val="우배수"/>
      <sheetName val="계산식"/>
      <sheetName val="차액보증"/>
      <sheetName val="Sheet2"/>
      <sheetName val="투찰"/>
      <sheetName val="Macro(차단기)"/>
      <sheetName val="준검 내역서"/>
      <sheetName val="설명"/>
      <sheetName val="매입세율"/>
      <sheetName val="공사개요"/>
      <sheetName val="MOTOR"/>
      <sheetName val="Y-WORK"/>
      <sheetName val="ABUT수량-A1"/>
      <sheetName val="부하(성남)"/>
      <sheetName val="Pjny"/>
      <sheetName val="원형1호맨홀토공수량"/>
      <sheetName val="98수문일위"/>
      <sheetName val="기초자료입력"/>
      <sheetName val="01"/>
      <sheetName val="WORK"/>
      <sheetName val="관접합및부설"/>
      <sheetName val="단가"/>
      <sheetName val="cable-data"/>
      <sheetName val="BACK DATA"/>
      <sheetName val="c_balju"/>
      <sheetName val="외천교"/>
      <sheetName val="금액내역서"/>
      <sheetName val="Sheet3"/>
      <sheetName val="P-산#1-1(WOWA1)"/>
      <sheetName val="Factor"/>
      <sheetName val="갑지(추정)"/>
      <sheetName val="HRSG SMALL07220"/>
      <sheetName val="costing_CV"/>
      <sheetName val="내역서"/>
      <sheetName val="기기리스트"/>
      <sheetName val="집계표"/>
      <sheetName val="Graph (LGEN)"/>
      <sheetName val="out_prog"/>
      <sheetName val="선적schedule (2)"/>
      <sheetName val="타공종이기"/>
      <sheetName val="BID"/>
      <sheetName val="간접비"/>
      <sheetName val="동해title"/>
      <sheetName val="DATA1"/>
      <sheetName val="DATE"/>
      <sheetName val="다이꾸"/>
      <sheetName val="S0"/>
      <sheetName val="물량표"/>
      <sheetName val="데이타"/>
      <sheetName val="CTEMCOST"/>
      <sheetName val="Total"/>
      <sheetName val="자압"/>
      <sheetName val="ⴭⴭⴭⴭ"/>
      <sheetName val="COPING"/>
      <sheetName val="전차선로 물량표"/>
      <sheetName val="노임이"/>
      <sheetName val="입찰안"/>
      <sheetName val="001"/>
      <sheetName val="Sheet1 (2)"/>
      <sheetName val="바닥판(1)"/>
      <sheetName val="3련 BOX"/>
      <sheetName val="woo(mac)"/>
      <sheetName val="제출내역 (2)"/>
      <sheetName val="3.하중산정4.지지력"/>
      <sheetName val="BQ"/>
      <sheetName val="쌍송교"/>
      <sheetName val="예정(3)"/>
      <sheetName val="직노"/>
      <sheetName val="1.설계조건"/>
      <sheetName val="정부노임단가"/>
      <sheetName val="SG"/>
      <sheetName val="HD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안"/>
      <sheetName val="원가계산"/>
      <sheetName val="2안"/>
      <sheetName val="3안"/>
      <sheetName val="I一般比"/>
      <sheetName val="6호기"/>
      <sheetName val="수량산출"/>
      <sheetName val="N賃率-職"/>
      <sheetName val="내역서"/>
      <sheetName val="3. 규모산정(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AS포장복구 "/>
      <sheetName val="1안"/>
      <sheetName val="5.모델링"/>
      <sheetName val="1.설계조건"/>
      <sheetName val="2.단면가정"/>
      <sheetName val="집계표"/>
      <sheetName val="직재"/>
      <sheetName val="재집"/>
      <sheetName val="금액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입찰안"/>
      <sheetName val="내역"/>
      <sheetName val="단가"/>
      <sheetName val="시설물일위"/>
      <sheetName val="수목데이타"/>
      <sheetName val="노무비"/>
      <sheetName val="1,2공구원가계산서"/>
      <sheetName val="2공구산출내역"/>
      <sheetName val="1공구산출내역서"/>
      <sheetName val="공문"/>
      <sheetName val="2호맨홀공제수량"/>
      <sheetName val="총괄내역서"/>
      <sheetName val="DATE"/>
      <sheetName val="Total"/>
      <sheetName val="선급금신청서"/>
      <sheetName val="가설공사"/>
      <sheetName val="단가결정"/>
      <sheetName val="내역아"/>
      <sheetName val="울타리"/>
      <sheetName val="갑지"/>
      <sheetName val="연습"/>
      <sheetName val="실행철강하도"/>
      <sheetName val="시행후면적"/>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노임이"/>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실행(표지,갑,을)"/>
      <sheetName val="자단"/>
      <sheetName val="터파기및재료"/>
      <sheetName val="준공정산"/>
      <sheetName val="공량서"/>
      <sheetName val="단가 산출서(산근#1~#102)"/>
      <sheetName val="목공1"/>
      <sheetName val="미장"/>
      <sheetName val="일(4)"/>
      <sheetName val="건축-물가변동"/>
      <sheetName val="담장산출"/>
      <sheetName val="01"/>
      <sheetName val="표지 (2)"/>
      <sheetName val="copy"/>
      <sheetName val="서식"/>
      <sheetName val="J直材4"/>
      <sheetName val="가격"/>
      <sheetName val="설비원가"/>
      <sheetName val="계약용"/>
      <sheetName val="DATA_Garak"/>
      <sheetName val="DATA_Total"/>
      <sheetName val="DATA_Kwangju"/>
      <sheetName val="DATA_Daejeon"/>
      <sheetName val="DATA_Sadang"/>
      <sheetName val="DATA_Yangjae"/>
      <sheetName val="DATA_Yoido"/>
      <sheetName val="DATA_Ulsan"/>
      <sheetName val="DATA_Incheon"/>
      <sheetName val="DATA_Jeonju"/>
      <sheetName val="표지"/>
      <sheetName val="자재단가조사표-수목"/>
      <sheetName val="기본일위"/>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수량산출서"/>
      <sheetName val="경비산출"/>
      <sheetName val="단가기준"/>
      <sheetName val="신청서"/>
      <sheetName val="공종집계"/>
      <sheetName val="PANEL_중량산출"/>
      <sheetName val="타견적서_영시스템"/>
      <sheetName val="5_모델링"/>
      <sheetName val="1_설계조건"/>
      <sheetName val="2_단면가정"/>
      <sheetName val="AS포장복구_"/>
      <sheetName val="일위대가표지"/>
      <sheetName val="건축내역서"/>
      <sheetName val="설비내역서"/>
      <sheetName val="전기내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sw1"/>
      <sheetName val="H-PILE수량집계"/>
      <sheetName val="기본일위"/>
      <sheetName val="직노"/>
      <sheetName val="실행내역"/>
      <sheetName val="1.토공집계표"/>
      <sheetName val="관리자"/>
      <sheetName val="00노임기준"/>
      <sheetName val="일위대가"/>
      <sheetName val="내역서1999.8최종"/>
      <sheetName val="토목공사일반"/>
      <sheetName val="I一般比"/>
      <sheetName val="재료비"/>
      <sheetName val="데이타"/>
      <sheetName val="식재인부"/>
      <sheetName val="금액내역서"/>
      <sheetName val="설직재-1"/>
      <sheetName val="참조"/>
      <sheetName val="집계"/>
      <sheetName val="패널"/>
      <sheetName val="일위"/>
      <sheetName val="99노임기준"/>
      <sheetName val="구체"/>
      <sheetName val="좌측날개벽"/>
      <sheetName val="우측날개벽"/>
      <sheetName val="setup"/>
      <sheetName val="PANEL_중량산출"/>
      <sheetName val="실측자료"/>
      <sheetName val="1안"/>
      <sheetName val="연습"/>
      <sheetName val="호남2"/>
      <sheetName val="이월가격"/>
      <sheetName val="단가 및 재료비"/>
      <sheetName val="중기사용료산출근거"/>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소요자재"/>
      <sheetName val=" 총괄표"/>
      <sheetName val="설계기준"/>
      <sheetName val="내역1"/>
      <sheetName val="실정공사비단가표"/>
      <sheetName val="단가표"/>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암센터"/>
      <sheetName val="T13(P68~72,78)"/>
      <sheetName val="건축일위"/>
      <sheetName val="그라우팅일위"/>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cell>
          <cell r="H5" t="str">
            <v xml:space="preserve"> </v>
          </cell>
        </row>
        <row r="6">
          <cell r="A6">
            <v>6</v>
          </cell>
          <cell r="B6" t="str">
            <v/>
          </cell>
          <cell r="F6" t="str">
            <v xml:space="preserve"> </v>
          </cell>
        </row>
        <row r="7">
          <cell r="A7">
            <v>7</v>
          </cell>
          <cell r="B7" t="str">
            <v/>
          </cell>
          <cell r="F7" t="str">
            <v xml:space="preserve"> </v>
          </cell>
        </row>
        <row r="8">
          <cell r="A8">
            <v>8</v>
          </cell>
          <cell r="B8" t="str">
            <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G25" t="str">
            <v xml:space="preserve"> </v>
          </cell>
          <cell r="H25" t="str">
            <v>NO.1-00-00</v>
          </cell>
        </row>
        <row r="26">
          <cell r="B26" t="str">
            <v>PLACARD BATTEN</v>
          </cell>
          <cell r="C26" t="str">
            <v>7,400L</v>
          </cell>
          <cell r="D26" t="str">
            <v>SET</v>
          </cell>
          <cell r="E26">
            <v>1</v>
          </cell>
          <cell r="F26" t="str">
            <v>NO.1-01-00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H29" t="str">
            <v>NO.1-04-00</v>
          </cell>
        </row>
        <row r="30">
          <cell r="A30">
            <v>29</v>
          </cell>
          <cell r="B30" t="str">
            <v>COVER CURTAIN</v>
          </cell>
          <cell r="C30" t="str">
            <v>8,800 x 3,500H</v>
          </cell>
          <cell r="D30" t="str">
            <v>SET</v>
          </cell>
          <cell r="E30">
            <v>1</v>
          </cell>
          <cell r="F30" t="str">
            <v>NO.1-05-00</v>
          </cell>
          <cell r="H30" t="str">
            <v>NO.1-05-00</v>
          </cell>
        </row>
        <row r="31">
          <cell r="A31">
            <v>30</v>
          </cell>
          <cell r="B31" t="str">
            <v>WINDOW DARKEN CURTAIN</v>
          </cell>
          <cell r="C31" t="str">
            <v>4,050L x 3,500H</v>
          </cell>
          <cell r="D31" t="str">
            <v>SET</v>
          </cell>
          <cell r="E31">
            <v>6</v>
          </cell>
          <cell r="F31" t="str">
            <v>NO.1-06-00</v>
          </cell>
          <cell r="H31" t="str">
            <v>NO.1-06-00</v>
          </cell>
        </row>
        <row r="32">
          <cell r="A32">
            <v>31</v>
          </cell>
          <cell r="B32" t="str">
            <v>DOOR DARKEN CURTAIN</v>
          </cell>
          <cell r="C32" t="str">
            <v>4,050L x 3,500H</v>
          </cell>
          <cell r="D32" t="str">
            <v>SET</v>
          </cell>
          <cell r="E32">
            <v>2</v>
          </cell>
          <cell r="F32" t="str">
            <v>NO.1-06-00</v>
          </cell>
          <cell r="H32" t="str">
            <v>NO.1-06-00</v>
          </cell>
        </row>
        <row r="33">
          <cell r="A33">
            <v>32</v>
          </cell>
          <cell r="B33" t="str">
            <v>GRID IRON</v>
          </cell>
          <cell r="C33" t="str">
            <v>8600L x 900D</v>
          </cell>
          <cell r="D33" t="str">
            <v>L/S</v>
          </cell>
          <cell r="E33">
            <v>1</v>
          </cell>
          <cell r="F33" t="str">
            <v>NO.1-07-00</v>
          </cell>
          <cell r="H33" t="str">
            <v>NO.1-07-00</v>
          </cell>
        </row>
        <row r="34">
          <cell r="A34">
            <v>33</v>
          </cell>
          <cell r="B34" t="str">
            <v>CONTROL PANEL</v>
          </cell>
          <cell r="C34" t="str">
            <v>600L x 1,000H x 250W</v>
          </cell>
          <cell r="D34" t="str">
            <v>SET</v>
          </cell>
          <cell r="E34">
            <v>1</v>
          </cell>
          <cell r="F34" t="str">
            <v>NO.1-08-00</v>
          </cell>
          <cell r="H34" t="str">
            <v>NO.1-08-00</v>
          </cell>
        </row>
        <row r="35">
          <cell r="A35">
            <v>34</v>
          </cell>
          <cell r="B35" t="str">
            <v>CONTROL BOARD</v>
          </cell>
          <cell r="C35" t="str">
            <v xml:space="preserve"> </v>
          </cell>
          <cell r="D35" t="str">
            <v>SET</v>
          </cell>
          <cell r="E35">
            <v>1</v>
          </cell>
          <cell r="F35" t="str">
            <v>NO.1-09-00</v>
          </cell>
          <cell r="H35" t="str">
            <v>NO.1-09-00</v>
          </cell>
        </row>
        <row r="36">
          <cell r="A36">
            <v>35</v>
          </cell>
          <cell r="B36" t="str">
            <v>배관 및 배선</v>
          </cell>
          <cell r="C36" t="str">
            <v xml:space="preserve"> </v>
          </cell>
          <cell r="D36" t="str">
            <v>식</v>
          </cell>
          <cell r="E36">
            <v>1</v>
          </cell>
          <cell r="F36" t="str">
            <v>NO.1-10-00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cell>
          <cell r="H39" t="str">
            <v xml:space="preserve"> </v>
          </cell>
        </row>
        <row r="40">
          <cell r="A40">
            <v>39</v>
          </cell>
          <cell r="B40" t="str">
            <v xml:space="preserve"> </v>
          </cell>
          <cell r="C40" t="str">
            <v xml:space="preserve"> </v>
          </cell>
          <cell r="D40" t="str">
            <v xml:space="preserve"> </v>
          </cell>
          <cell r="E40" t="str">
            <v xml:space="preserve"> </v>
          </cell>
          <cell r="F40" t="str">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E172" t="str">
            <v xml:space="preserve"> </v>
          </cell>
        </row>
        <row r="173">
          <cell r="A173" t="e">
            <v>#REF!</v>
          </cell>
        </row>
        <row r="174">
          <cell r="A174" t="e">
            <v>#REF!</v>
          </cell>
        </row>
        <row r="175">
          <cell r="A175" t="e">
            <v>#REF!</v>
          </cell>
        </row>
        <row r="176">
          <cell r="A176" t="e">
            <v>#REF!</v>
          </cell>
          <cell r="B176" t="str">
            <v/>
          </cell>
          <cell r="F176" t="str">
            <v xml:space="preserve"> </v>
          </cell>
        </row>
        <row r="177">
          <cell r="A177" t="e">
            <v>#REF!</v>
          </cell>
        </row>
        <row r="178">
          <cell r="A178" t="e">
            <v>#REF!</v>
          </cell>
        </row>
        <row r="179">
          <cell r="A179" t="e">
            <v>#REF!</v>
          </cell>
          <cell r="B179" t="str">
            <v>공사명:DOOR DARKEN CURTAIN(4,050L x 3,500H)</v>
          </cell>
          <cell r="C179" t="str">
            <v>NO.1-07-00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F200" t="str">
            <v>293KG=0.293TON</v>
          </cell>
        </row>
        <row r="201">
          <cell r="A201" t="e">
            <v>#REF!</v>
          </cell>
          <cell r="B201" t="str">
            <v>공사명:GRID IRON(8,600L x 900D)</v>
          </cell>
          <cell r="C201" t="str">
            <v>NO.1-08-00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xml:space="preserve"> </v>
          </cell>
        </row>
        <row r="245">
          <cell r="A245" t="e">
            <v>#REF!</v>
          </cell>
          <cell r="B245" t="str">
            <v>공사명: CONTROL BOARD</v>
          </cell>
          <cell r="C245" t="str">
            <v>NO.1-10-00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cell>
          <cell r="D253" t="str">
            <v xml:space="preserve"> </v>
          </cell>
          <cell r="E253" t="str">
            <v xml:space="preserve"> </v>
          </cell>
          <cell r="F253" t="str">
            <v xml:space="preserve"> </v>
          </cell>
        </row>
        <row r="254">
          <cell r="A254" t="e">
            <v>#REF!</v>
          </cell>
          <cell r="B254" t="str">
            <v xml:space="preserve"> </v>
          </cell>
          <cell r="C254" t="str">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건축일위"/>
      <sheetName val="그라우팅일위"/>
      <sheetName val="N賃率-職"/>
      <sheetName val="단가 및 재료비"/>
      <sheetName val="단가산출2"/>
      <sheetName val="일위대가"/>
      <sheetName val="수량산출"/>
      <sheetName val="전기"/>
      <sheetName val="00노임기준"/>
      <sheetName val="기본일위"/>
      <sheetName val="I一般比"/>
      <sheetName val="94"/>
      <sheetName val="Sheet1"/>
      <sheetName val="#REF"/>
      <sheetName val="신우"/>
      <sheetName val="수목단가"/>
      <sheetName val="시설수량표"/>
      <sheetName val="식재수량표"/>
      <sheetName val="총 원가계산"/>
      <sheetName val="데이타"/>
      <sheetName val="소비자가"/>
      <sheetName val="갑지"/>
      <sheetName val="제잡비"/>
      <sheetName val="자재단가"/>
      <sheetName val="건축"/>
      <sheetName val="원가계산서"/>
      <sheetName val="토사(PE)"/>
      <sheetName val="기계경비산출기준"/>
      <sheetName val="단가표"/>
      <sheetName val="수량산출(음암)"/>
      <sheetName val="6호기"/>
      <sheetName val="일(4)"/>
      <sheetName val="재료비"/>
      <sheetName val="식재인부"/>
      <sheetName val="금액내역서"/>
      <sheetName val="일위목록"/>
      <sheetName val="철거산출근거"/>
      <sheetName val="공사개요"/>
      <sheetName val="공량서"/>
      <sheetName val="1안"/>
      <sheetName val="현장관리비"/>
      <sheetName val="내역서1-2"/>
      <sheetName val="기본단가표"/>
      <sheetName val="골조시행"/>
      <sheetName val="성북내역서(종합)"/>
      <sheetName val="기타경비"/>
      <sheetName val="실행(ALT1)"/>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집계"/>
      <sheetName val="배관일위"/>
      <sheetName val="배선옥내"/>
      <sheetName val="배선옥외"/>
      <sheetName val="기타일위"/>
      <sheetName val="기자재"/>
      <sheetName val="계측기"/>
      <sheetName val="단가"/>
      <sheetName val="노무비 "/>
      <sheetName val="기자제설치산출"/>
      <sheetName val="기자제산출"/>
      <sheetName val="직영비"/>
      <sheetName val="내역서_e_f"/>
      <sheetName val="(실사조정)총괄"/>
      <sheetName val="IN"/>
      <sheetName val="노무비"/>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첫장"/>
      <sheetName val="요구사항정의서"/>
      <sheetName val="작성가이드"/>
      <sheetName val="양식 예-고객요구사항"/>
    </sheetNames>
    <sheetDataSet>
      <sheetData sheetId="0">
        <row r="3">
          <cell r="L3" t="str">
            <v>보육통합정보시스템 고도화 사업</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
      <sheetName val="원가 계산서-교체 "/>
      <sheetName val="직접재료비-교체"/>
      <sheetName val="단말단위직노 -교체"/>
      <sheetName val="일위대가표 -교체"/>
      <sheetName val="노임단가"/>
    </sheetNames>
    <sheetDataSet>
      <sheetData sheetId="0"/>
      <sheetData sheetId="1"/>
      <sheetData sheetId="2"/>
      <sheetData sheetId="3"/>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1안"/>
      <sheetName val="2안"/>
      <sheetName val="3안"/>
      <sheetName val="일위대가목록"/>
      <sheetName val="원가"/>
      <sheetName val="단가산출"/>
      <sheetName val="일용노임단가2001상"/>
      <sheetName val="참조자료"/>
      <sheetName val="감가상각"/>
      <sheetName val="직재"/>
      <sheetName val="단가"/>
      <sheetName val="화전내"/>
      <sheetName val="WPL"/>
      <sheetName val="내역서2안"/>
      <sheetName val="통장출금액"/>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1000 DB구축 부표"/>
      <sheetName val="20관리비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건축내역"/>
      <sheetName val="J直材4"/>
      <sheetName val="ilch"/>
      <sheetName val="중기사용료"/>
      <sheetName val="대,유,램"/>
      <sheetName val="국별인원"/>
      <sheetName val="전선 및 전선관"/>
      <sheetName val="2공구산출내역"/>
      <sheetName val="인건비(VOICE)"/>
      <sheetName val="명세서"/>
      <sheetName val="I一般比"/>
      <sheetName val="터파기및재료"/>
      <sheetName val="Sheet1"/>
      <sheetName val="용산1(해보)"/>
      <sheetName val="동원인원"/>
      <sheetName val="일위대가(4층원격)"/>
      <sheetName val="일위목록"/>
      <sheetName val="패널"/>
      <sheetName val="1안"/>
      <sheetName val="입찰안"/>
      <sheetName val="단가산출목록표"/>
      <sheetName val="1000 DB구축 부표"/>
      <sheetName val="DATE"/>
      <sheetName val="설계내역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대목"/>
      <sheetName val="대가"/>
      <sheetName val="단가산출목록"/>
      <sheetName val="실적공사비단가"/>
      <sheetName val="노임"/>
      <sheetName val="10.공통-노임단가"/>
      <sheetName val="단가산출"/>
      <sheetName val="기자재비"/>
      <sheetName val="일위대가표(유단가)"/>
      <sheetName val="내역서"/>
      <sheetName val="Sheet3"/>
      <sheetName val="시설물기초"/>
      <sheetName val="옥외 전력간선공사"/>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시설장비부하계산서"/>
      <sheetName val="가로등내역서"/>
      <sheetName val="GISDB_단가산출목록"/>
      <sheetName val="GISDB_단가산출표"/>
      <sheetName val="기본일위"/>
      <sheetName val="견적서"/>
      <sheetName val="인건비"/>
      <sheetName val="단가조사"/>
      <sheetName val="단가 "/>
      <sheetName val="일위대가 (PM)"/>
      <sheetName val="9509"/>
      <sheetName val="공정량산출내역서 "/>
      <sheetName val="5흙막이"/>
      <sheetName val="재료"/>
      <sheetName val="설치자재"/>
      <sheetName val="노임단가"/>
      <sheetName val="일위대가표(교체)"/>
      <sheetName val="2000시행총괄"/>
      <sheetName val="산출"/>
      <sheetName val="자재단가"/>
      <sheetName val="증감대비"/>
      <sheetName val="8.PILE  (돌출)"/>
      <sheetName val="공종단가"/>
      <sheetName val="일용노임단가2001상"/>
      <sheetName val="단"/>
      <sheetName val="자료"/>
      <sheetName val="을"/>
      <sheetName val="물량산출(지점)"/>
      <sheetName val="골조시행"/>
      <sheetName val="구리토평1전기"/>
      <sheetName val="대"/>
      <sheetName val="CATV"/>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전기"/>
      <sheetName val="일위대가(출입)"/>
      <sheetName val="금액내역서"/>
      <sheetName val="공사비"/>
      <sheetName val="도로정위치부표"/>
      <sheetName val="도로조사부표"/>
      <sheetName val="2-1. 경관조명 내역총괄표"/>
      <sheetName val="날개벽"/>
      <sheetName val="식재일위대가"/>
      <sheetName val="ABUT수량-A1"/>
      <sheetName val="경율산정.XLS"/>
      <sheetName val="INPUT"/>
      <sheetName val="Sheet4"/>
      <sheetName val="단가기준"/>
      <sheetName val="현장경비"/>
      <sheetName val="공문"/>
      <sheetName val="WORK"/>
      <sheetName val="단가조사서"/>
      <sheetName val="현장관리비"/>
      <sheetName val="Sheet13"/>
      <sheetName val="전국현황"/>
      <sheetName val="내역"/>
      <sheetName val="일위(PN)"/>
      <sheetName val="예정공정표 (2)"/>
      <sheetName val="2-3.공사비내역서"/>
      <sheetName val="4-2. 기계경비산출"/>
      <sheetName val="7.노무비 근거"/>
      <sheetName val="3-2.일위대가"/>
      <sheetName val="기계경비(시간당)"/>
      <sheetName val="램머"/>
      <sheetName val="3련 BOX"/>
      <sheetName val="이토변실(A3-LINE)"/>
      <sheetName val="Sheet14"/>
      <sheetName val="노무비"/>
      <sheetName val="96작생능"/>
      <sheetName val="환율"/>
      <sheetName val="2분기평가"/>
      <sheetName val="도급FORM"/>
      <sheetName val="덤프"/>
      <sheetName val="석재다짐"/>
      <sheetName val="소운반"/>
      <sheetName val="아스콘"/>
      <sheetName val="장비"/>
      <sheetName val="2000년1차"/>
      <sheetName val="횡 연장"/>
      <sheetName val="암거단위"/>
      <sheetName val="일위대가(가설)"/>
      <sheetName val="ELECTRIC"/>
      <sheetName val="차액보증"/>
      <sheetName val="전력"/>
      <sheetName val="특수선일위대가"/>
      <sheetName val="소방"/>
      <sheetName val="정부노임단가"/>
      <sheetName val="PANEL가격"/>
      <sheetName val="Customer Databas"/>
      <sheetName val="전체"/>
      <sheetName val="갑지(추정)"/>
      <sheetName val="프랜트면허"/>
      <sheetName val="2.냉난방설비공사"/>
      <sheetName val="7.자동제어공사"/>
      <sheetName val="동수"/>
      <sheetName val="TOTAL"/>
      <sheetName val="식재인부"/>
      <sheetName val="실행철강하도"/>
      <sheetName val="급수 (LPM)"/>
      <sheetName val="CTEMCOST"/>
      <sheetName val="일위"/>
      <sheetName val="전차선로 물량표"/>
      <sheetName val="한강운반비"/>
      <sheetName val="자재"/>
      <sheetName val="파일의이용"/>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DWG-CAB-I"/>
      <sheetName val="TRE TABLE"/>
      <sheetName val="생산량"/>
      <sheetName val="판매가격(정리)"/>
      <sheetName val="주문"/>
      <sheetName val="실행내역서"/>
      <sheetName val="적현로"/>
      <sheetName val="기본사항"/>
      <sheetName val="Sheet5"/>
      <sheetName val="기본입력"/>
      <sheetName val="EXPENSE"/>
      <sheetName val="기초자료입력"/>
      <sheetName val="내역전기"/>
      <sheetName val="산출기초"/>
      <sheetName val="부하계산서"/>
      <sheetName val="수량산출2"/>
      <sheetName val="단가대비"/>
      <sheetName val="중기일위대가"/>
      <sheetName val="일위_파일"/>
      <sheetName val="설계서식"/>
      <sheetName val="기성2"/>
      <sheetName val="Mc1"/>
      <sheetName val="인원계획-미화"/>
      <sheetName val="익산"/>
      <sheetName val="총체보활공정표"/>
      <sheetName val="A1"/>
      <sheetName val="회사정보"/>
      <sheetName val="단가산출서_토목"/>
      <sheetName val="단가(1)"/>
      <sheetName val="도급예산내역서총괄표"/>
      <sheetName val="설계산출기초"/>
      <sheetName val="철거산출근거"/>
      <sheetName val="BEND LOSS"/>
      <sheetName val="기계경비총괄표"/>
      <sheetName val="일위대가_현장"/>
      <sheetName val="HW"/>
      <sheetName val="범용도입(1차)"/>
      <sheetName val="SW"/>
      <sheetName val="중기목록표"/>
      <sheetName val="wall"/>
      <sheetName val="건축일위"/>
      <sheetName val="그라우팅일위"/>
      <sheetName val="예산내역"/>
      <sheetName val="총괄수지표"/>
      <sheetName val="설계내역2"/>
      <sheetName val="깨기"/>
      <sheetName val="공사내역"/>
      <sheetName val="일용직내역"/>
      <sheetName val="길어깨(현황)"/>
      <sheetName val="출력은 금물"/>
      <sheetName val="COVER"/>
      <sheetName val="6. 직접경비"/>
      <sheetName val="설계서"/>
      <sheetName val="물량"/>
      <sheetName val="총 원가계산"/>
      <sheetName val="수목표준대가"/>
      <sheetName val="돈암사업"/>
      <sheetName val="OPGW기별"/>
      <sheetName val="단가표"/>
      <sheetName val="내역5"/>
      <sheetName val="대가단최종"/>
      <sheetName val="전기일위목록"/>
      <sheetName val="S&amp;R"/>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 갑  지 "/>
      <sheetName val="일명"/>
      <sheetName val="일명95"/>
      <sheetName val="일비"/>
      <sheetName val="일비95"/>
      <sheetName val="경명"/>
      <sheetName val="경명95"/>
      <sheetName val="경배"/>
      <sheetName val="경배95"/>
      <sheetName val="임율95"/>
      <sheetName val="간노비"/>
      <sheetName val="간노비95"/>
      <sheetName val="Y-WORK"/>
      <sheetName val="물량표"/>
      <sheetName val="물량내역"/>
      <sheetName val="BOX전기내역"/>
      <sheetName val="5사남"/>
      <sheetName val="맨홀수량산출(1.0×1.0×1.0)"/>
      <sheetName val="data spec"/>
      <sheetName val="투찰추정"/>
      <sheetName val="요율"/>
      <sheetName val="물가대비표"/>
      <sheetName val="배관내역"/>
      <sheetName val="데리네이타현황"/>
      <sheetName val="을지"/>
      <sheetName val="대가목록"/>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pen_0126"/>
      <sheetName val="합천내역"/>
      <sheetName val="단가조사"/>
      <sheetName val="60명당사(총괄)"/>
    </sheetNames>
    <sheetDataSet>
      <sheetData sheetId="0"/>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일위대가(가설)"/>
      <sheetName val="Baby일위대가"/>
      <sheetName val="N賃率-職"/>
      <sheetName val="비목계산"/>
    </sheetNames>
    <sheetDataSet>
      <sheetData sheetId="0" refreshError="1"/>
      <sheetData sheetId="1" refreshError="1"/>
      <sheetData sheetId="2" refreshError="1"/>
      <sheetData sheetId="3" refreshError="1"/>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Sheet1"/>
      <sheetName val="1안"/>
      <sheetName val="일위대가목록"/>
      <sheetName val="PI"/>
      <sheetName val="재료"/>
      <sheetName val="설치자재"/>
      <sheetName val="기초목록"/>
      <sheetName val="단가(자재)"/>
      <sheetName val="을지"/>
      <sheetName val="합천내역"/>
      <sheetName val="공조기휀"/>
      <sheetName val="일위대가(가설)"/>
      <sheetName val="내역"/>
      <sheetName val="일위목록"/>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실행내역"/>
      <sheetName val="직노"/>
      <sheetName val="내역서2안"/>
      <sheetName val="패널"/>
      <sheetName val="기본일위"/>
      <sheetName val="집계"/>
      <sheetName val="Sheet1"/>
      <sheetName val="Sheet2"/>
      <sheetName val="Sheet3"/>
      <sheetName val="J直材4"/>
      <sheetName val="I一般比"/>
      <sheetName val="N賃率-職"/>
      <sheetName val="설직재-1"/>
      <sheetName val="제직재"/>
      <sheetName val="목록"/>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경율산정.XLS"/>
      <sheetName val="1안"/>
      <sheetName val="조명시설"/>
      <sheetName val="내역"/>
      <sheetName val="명세서"/>
      <sheetName val="을"/>
      <sheetName val="table"/>
      <sheetName val="6호기"/>
      <sheetName val="견적을지"/>
      <sheetName val="조직"/>
      <sheetName val="데이타"/>
      <sheetName val="식재인부"/>
      <sheetName val="재정비직인"/>
      <sheetName val="재정비내역"/>
      <sheetName val="지적고시내역"/>
      <sheetName val="총괄내역서"/>
      <sheetName val="수량산출(모형)"/>
      <sheetName val="수량산출(공수)"/>
      <sheetName val="모형단가"/>
      <sheetName val="Sheet6"/>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2F_회의실견적(5_14_일대)"/>
      <sheetName val="_HIT-&gt;HMC_견적(3900)"/>
      <sheetName val="단가_(2)"/>
      <sheetName val="경율산정_XLS"/>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토사(PE)"/>
      <sheetName val="APT"/>
      <sheetName val="북제주원가"/>
      <sheetName val="양천현"/>
      <sheetName val="카니발(자105노60)"/>
      <sheetName val="공사내역"/>
      <sheetName val="코드"/>
      <sheetName val="제경비율"/>
      <sheetName val="단가조사"/>
      <sheetName val="bCord공정"/>
      <sheetName val="e대가"/>
      <sheetName val="g단가"/>
      <sheetName val="h집계"/>
      <sheetName val="재공품기초자료"/>
      <sheetName val="약품공급2"/>
      <sheetName val="20관리비율"/>
      <sheetName val="건축내역"/>
      <sheetName val="세부내역"/>
      <sheetName val="Customer Databas"/>
      <sheetName val="DATE"/>
      <sheetName val="원본(갑지)"/>
      <sheetName val="인사자료총집계"/>
      <sheetName val="설비단가표"/>
      <sheetName val="차액보증"/>
      <sheetName val="건축일위"/>
      <sheetName val="그라우팅일위"/>
      <sheetName val="PROJECT BRIEF(EX.NEW)"/>
      <sheetName val="갑지(추정)"/>
      <sheetName val="금융비용"/>
      <sheetName val="IMPEADENCE MAP 취수장"/>
      <sheetName val="개요"/>
      <sheetName val="공사비예산서(토목분)"/>
      <sheetName val="일위대가표"/>
      <sheetName val="설계내역서"/>
      <sheetName val="ABUT수량-A1"/>
      <sheetName val="GAEYO"/>
      <sheetName val="소비자가"/>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감가상각"/>
      <sheetName val="Sheet5"/>
      <sheetName val="원가 (2)"/>
      <sheetName val="원가계산서"/>
      <sheetName val="전선 및 전선관"/>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1층"/>
      <sheetName val="유기공정"/>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22전선(P)"/>
      <sheetName val="22전선(L)"/>
      <sheetName val="22전선(R)"/>
      <sheetName val="연결임시"/>
      <sheetName val="가로등내역서"/>
      <sheetName val="FitOutConfCentre"/>
      <sheetName val="FAB별"/>
      <sheetName val="C-직노1"/>
      <sheetName val="단위중량"/>
      <sheetName val="내역서(교량)전체"/>
      <sheetName val="000000"/>
      <sheetName val="비탈면보호공수량산출"/>
      <sheetName val="공사현황"/>
      <sheetName val="에어샵공사"/>
      <sheetName val="Macro(ST)"/>
      <sheetName val="_REF"/>
      <sheetName val="설직재_1"/>
      <sheetName val="I.설계조건"/>
      <sheetName val="조건입력"/>
      <sheetName val="조건입력(2)"/>
      <sheetName val="장비선정"/>
      <sheetName val="내역서-CCTV"/>
      <sheetName val="copy"/>
      <sheetName val="서식"/>
      <sheetName val="실행"/>
      <sheetName val="KCS-CA"/>
      <sheetName val="본공사"/>
      <sheetName val="부대비율"/>
      <sheetName val="danga"/>
      <sheetName val="ilch"/>
      <sheetName val="중기사용료"/>
      <sheetName val="심사계산"/>
      <sheetName val="심사물량"/>
      <sheetName val="BOQ건축"/>
      <sheetName val="일위대가(계측기설치)"/>
      <sheetName val="6PILE  (돌출)"/>
      <sheetName val="수지예산"/>
      <sheetName val="부속동"/>
      <sheetName val="간접"/>
      <sheetName val="하중계산"/>
      <sheetName val="정부노임단가"/>
      <sheetName val="도급양식"/>
      <sheetName val="토공(우물통,기타) "/>
      <sheetName val="5.연간운전비계산서"/>
      <sheetName val="작업시작"/>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식재"/>
      <sheetName val="시설물"/>
      <sheetName val="식재출력용"/>
      <sheetName val="유지관리"/>
      <sheetName val="입찰"/>
      <sheetName val="현경"/>
      <sheetName val="토목주소"/>
      <sheetName val="프랜트면허"/>
      <sheetName val="회사정보"/>
      <sheetName val="97년추정손익계산서"/>
      <sheetName val="AS복구"/>
      <sheetName val="중기터파기"/>
      <sheetName val="변수값"/>
      <sheetName val="중기상차"/>
      <sheetName val=" 내역"/>
      <sheetName val="3.공통공사대비"/>
      <sheetName val="공비대비"/>
      <sheetName val="DB구축"/>
      <sheetName val="인구"/>
      <sheetName val="환경평가"/>
      <sheetName val="실행철강하도"/>
      <sheetName val="1000 DB구축 부표"/>
      <sheetName val="M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2.개정이력"/>
      <sheetName val="공정진척관리"/>
      <sheetName val="3.프로그램목록"/>
      <sheetName val="Sheet1"/>
    </sheetNames>
    <sheetDataSet>
      <sheetData sheetId="0">
        <row r="3">
          <cell r="C3" t="str">
            <v>차세대 KOVIS 구축</v>
          </cell>
        </row>
        <row r="4">
          <cell r="C4" t="str">
            <v>프로그램 목록</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9.비기능"/>
    </sheetNames>
    <sheetDataSet>
      <sheetData sheetId="0">
        <row r="3">
          <cell r="C3" t="str">
            <v>LX플랫폼 고도화 사업</v>
          </cell>
        </row>
        <row r="4">
          <cell r="C4" t="str">
            <v>요구사항정의서(통합)</v>
          </cell>
        </row>
      </sheetData>
      <sheetData sheetId="1"/>
      <sheetData sheetId="2"/>
      <sheetData sheetId="3"/>
      <sheetData sheetId="4"/>
      <sheetData sheetId="5"/>
      <sheetData sheetId="6"/>
      <sheetData sheetId="7"/>
      <sheetData sheetId="8"/>
      <sheetData sheetId="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9.비기능"/>
    </sheetNames>
    <sheetDataSet>
      <sheetData sheetId="0">
        <row r="3">
          <cell r="C3" t="str">
            <v>LX플랫폼 고도화 사업</v>
          </cell>
        </row>
        <row r="4">
          <cell r="C4" t="str">
            <v>요구사항정의서(통합)</v>
          </cell>
        </row>
      </sheetData>
      <sheetData sheetId="1"/>
      <sheetData sheetId="2"/>
      <sheetData sheetId="3"/>
      <sheetData sheetId="4"/>
      <sheetData sheetId="5"/>
      <sheetData sheetId="6"/>
      <sheetData sheetId="7"/>
      <sheetData sheetId="8"/>
      <sheetData sheetId="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1-1.클라우드 FP"/>
      <sheetName val="2-1.데이터관리체계 FP"/>
      <sheetName val="3-1.통합 개발환경 FP"/>
      <sheetName val="4-1.지자체 플랫폼 통합 FP"/>
      <sheetName val="5-1.데이터서비스 FP"/>
      <sheetName val="6-1.가시화시뮬 FP"/>
    </sheetNames>
    <sheetDataSet>
      <sheetData sheetId="0">
        <row r="3">
          <cell r="C3" t="str">
            <v>LX플랫폼 고도화 사업</v>
          </cell>
        </row>
        <row r="4">
          <cell r="C4" t="str">
            <v>요구사항정의서(통합)</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고도화"/>
      <sheetName val="9.비기능"/>
      <sheetName val="1-1.클라우드 FP"/>
      <sheetName val="2-1.데이터관리체계 FP"/>
      <sheetName val="3-1.통합 개발환경 FP"/>
      <sheetName val="4-1.지자체 플랫폼 통합 FP"/>
      <sheetName val="5-1.데이터서비스 FP"/>
      <sheetName val="6-1.가시화시뮬 FP"/>
    </sheetNames>
    <sheetDataSet>
      <sheetData sheetId="0">
        <row r="3">
          <cell r="C3" t="str">
            <v>LX플랫폼 고도화 사업</v>
          </cell>
        </row>
        <row r="4">
          <cell r="C4" t="str">
            <v>요구사항정의서(통합)</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9GNG운반"/>
      <sheetName val="단가산출"/>
      <sheetName val="bid"/>
      <sheetName val="DATE"/>
      <sheetName val="내역서"/>
      <sheetName val="내역"/>
      <sheetName val="원남울진낙찰내역(99.4.13 부산청)"/>
      <sheetName val="EACT10"/>
      <sheetName val="3BL공동구 수량"/>
      <sheetName val="간이연락"/>
      <sheetName val="#REF"/>
      <sheetName val="일위대가(가설)"/>
      <sheetName val="제4장11"/>
      <sheetName val="입찰안"/>
      <sheetName val="수량산출"/>
      <sheetName val="가로등내역서"/>
      <sheetName val="현황산출서"/>
      <sheetName val="간접"/>
      <sheetName val="구의33고"/>
      <sheetName val="집계표"/>
      <sheetName val="화전내"/>
      <sheetName val="대비"/>
      <sheetName val="자재"/>
      <sheetName val="코드표"/>
      <sheetName val="물가기준년"/>
      <sheetName val="장비기준"/>
      <sheetName val="개산공사비"/>
      <sheetName val="내역(중앙)"/>
      <sheetName val="내역(창신)"/>
      <sheetName val="개요"/>
      <sheetName val="배수설비"/>
      <sheetName val="맨홀수량"/>
      <sheetName val="단가"/>
      <sheetName val="입력"/>
      <sheetName val="98수문일위"/>
      <sheetName val="자료입력"/>
      <sheetName val="마산월령동골조물량변경"/>
      <sheetName val="2.건축"/>
      <sheetName val="터파기및재료"/>
      <sheetName val="화설내"/>
      <sheetName val="산출내역서집계표"/>
      <sheetName val="토목내역"/>
      <sheetName val="설계내역서"/>
      <sheetName val="빗물받이(910-510-410)"/>
      <sheetName val="본공사"/>
      <sheetName val="갑지"/>
      <sheetName val="APT"/>
      <sheetName val="s"/>
      <sheetName val="보안등"/>
      <sheetName val="본부장"/>
      <sheetName val="비교1"/>
      <sheetName val="갑지(추정)"/>
      <sheetName val="아파트-가설"/>
      <sheetName val="소방사항"/>
      <sheetName val="증감내역서"/>
      <sheetName val="Total"/>
      <sheetName val="콘크리트타설집계표"/>
      <sheetName val="돈암사업"/>
      <sheetName val="기초코드"/>
      <sheetName val="Sheet3"/>
      <sheetName val="준검 내역서"/>
      <sheetName val="부하계산서"/>
      <sheetName val="현장별계약현황('98.10.31)"/>
      <sheetName val="라이닝보강"/>
      <sheetName val="2000년1차"/>
      <sheetName val="C-노임단가"/>
      <sheetName val="Sheet1 (2)"/>
      <sheetName val="인건비"/>
      <sheetName val="차액보증"/>
      <sheetName val="집계"/>
      <sheetName val="노임"/>
      <sheetName val="신공항A-9(원가수정)"/>
      <sheetName val="원가 (2)"/>
      <sheetName val="총괄내역서"/>
      <sheetName val="2.대외공문"/>
      <sheetName val="A-4"/>
      <sheetName val="일위대가"/>
      <sheetName val="일위대가목차"/>
      <sheetName val="토목주소"/>
      <sheetName val="Sheet6"/>
      <sheetName val="70%"/>
      <sheetName val="일위대가표"/>
      <sheetName val="실행(ALT1)"/>
      <sheetName val="내역서 (2)"/>
      <sheetName val="Sheet4"/>
      <sheetName val="대창(장성)"/>
      <sheetName val="신대방33(적용)"/>
      <sheetName val="견적의뢰"/>
      <sheetName val="신우"/>
      <sheetName val="진주방향"/>
      <sheetName val="Sheet1"/>
      <sheetName val="전기일위대가"/>
      <sheetName val="토목"/>
      <sheetName val="내역서(총)"/>
      <sheetName val="일반수량총괄집계"/>
      <sheetName val="낙찰표"/>
      <sheetName val="6공구(당초)"/>
      <sheetName val="1.설계조건"/>
      <sheetName val="6PILE  (돌출)"/>
      <sheetName val="설-원가"/>
      <sheetName val="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직재"/>
      <sheetName val="I一般比"/>
      <sheetName val="20관리비율"/>
      <sheetName val="C-노임단가"/>
      <sheetName val="단가산출"/>
      <sheetName val="실행철강하도"/>
      <sheetName val="건축내역"/>
      <sheetName val="간지"/>
      <sheetName val="일위대가(가설)"/>
      <sheetName val="#REF"/>
      <sheetName val="갑지(추정)"/>
      <sheetName val="J直材4"/>
      <sheetName val="8.PILE  (돌출)"/>
      <sheetName val="수량산출"/>
      <sheetName val="설계서"/>
      <sheetName val="직노"/>
      <sheetName val="기계공사"/>
      <sheetName val="관급자재"/>
      <sheetName val="자재"/>
      <sheetName val="Sheet1"/>
      <sheetName val="노임단가"/>
      <sheetName val="PLT8500"/>
      <sheetName val="1단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실행철강하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청주과학대학내역서(타견적)"/>
      <sheetName val="전기단가조사서"/>
      <sheetName val="청천내"/>
      <sheetName val="신우"/>
      <sheetName val="개요"/>
      <sheetName val="선급금신청서"/>
      <sheetName val="내역서단가산출용"/>
      <sheetName val="여과지동"/>
      <sheetName val="기초자료"/>
      <sheetName val="제품별"/>
      <sheetName val="9GNG운반"/>
      <sheetName val="N賃率-職"/>
      <sheetName val="일위대가"/>
      <sheetName val="자재단가"/>
      <sheetName val="입찰견적보고서"/>
      <sheetName val="UNIT"/>
      <sheetName val="I一般比"/>
      <sheetName val="문학간접"/>
      <sheetName val="J直材4"/>
      <sheetName val="일위"/>
      <sheetName val="XL4Poppy"/>
      <sheetName val="#REF"/>
      <sheetName val="본사인상전"/>
      <sheetName val="유림총괄"/>
      <sheetName val="TNC(1안)"/>
      <sheetName val="데이타"/>
      <sheetName val="식재인부"/>
      <sheetName val="노임단가"/>
      <sheetName val="터파기및재료"/>
      <sheetName val="일위대가(1)"/>
      <sheetName val="산출근거"/>
      <sheetName val="단가 및 재료비"/>
      <sheetName val="내역"/>
      <sheetName val="직재"/>
      <sheetName val="산출내역서집계표"/>
      <sheetName val="제36-40호표"/>
      <sheetName val="덕전리"/>
      <sheetName val="하조서"/>
      <sheetName val="20관리비율"/>
      <sheetName val="제조 경영"/>
      <sheetName val="일위대가(가설)"/>
      <sheetName val="Y-WORK"/>
      <sheetName val="차액보증"/>
      <sheetName val="기초단가"/>
      <sheetName val="원가서"/>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Sheet1"/>
      <sheetName val="원본(갑지)"/>
      <sheetName val="PANEL_인원산출"/>
      <sheetName val="타견적서_영시스템"/>
      <sheetName val="단가대비표_(2)"/>
      <sheetName val="원가 (2)"/>
      <sheetName val="연습"/>
      <sheetName val="재집"/>
      <sheetName val="열차무선 수량집계"/>
      <sheetName val="집계표"/>
      <sheetName val="Total"/>
      <sheetName val="C-노임단가"/>
      <sheetName val="요율"/>
      <sheetName val="인건비"/>
      <sheetName val="단가"/>
      <sheetName val="역공종"/>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SW개발대상목록(기능점수)"/>
      <sheetName val="단가산출"/>
      <sheetName val="샌딩 에폭시 도장"/>
      <sheetName val="일반문틀 설치"/>
      <sheetName val="소요자재"/>
      <sheetName val="00상노임"/>
      <sheetName val="96보완계획7.12"/>
      <sheetName val="공통"/>
      <sheetName val="ABUT수량-A1"/>
      <sheetName val="관로공표지"/>
      <sheetName val="산출근거1"/>
      <sheetName val="공종목록표"/>
      <sheetName val="공정집계_국별"/>
      <sheetName val="감리원단가"/>
      <sheetName val="거리계산"/>
      <sheetName val="단가목록"/>
      <sheetName val="모래기초"/>
      <sheetName val="샘플표지"/>
      <sheetName val="입찰안"/>
      <sheetName val="매출매입"/>
      <sheetName val="AS포장복구 "/>
      <sheetName val="내역서적용"/>
      <sheetName val="일위대가표"/>
      <sheetName val="단가표"/>
      <sheetName val="4안전율"/>
      <sheetName val="자료입력"/>
      <sheetName val="DATE"/>
      <sheetName val="소방공사"/>
      <sheetName val="전기공사"/>
      <sheetName val="건설공사"/>
      <sheetName val="정보통신공사"/>
      <sheetName val="45,46"/>
      <sheetName val="인건-측정"/>
      <sheetName val="이름정의"/>
      <sheetName val="초기화면"/>
      <sheetName val="실행철강하도"/>
      <sheetName val="실행내역서 "/>
      <sheetName val="연부97-1"/>
      <sheetName val="수자재단위당"/>
      <sheetName val="기본일위"/>
      <sheetName val="CAUDIT"/>
      <sheetName val="변경갑지"/>
      <sheetName val="증감(갑지)"/>
      <sheetName val="남양내역"/>
      <sheetName val="노임"/>
      <sheetName val="DATA"/>
      <sheetName val="내역서변경성원"/>
      <sheetName val="단가대비표(SYS)"/>
      <sheetName val="제조노임"/>
      <sheetName val="danga"/>
      <sheetName val="단"/>
      <sheetName val="일위대가1"/>
      <sheetName val="5.단가대비표"/>
      <sheetName val="설직재-1"/>
      <sheetName val="APT"/>
      <sheetName val="범용개발순소요비용"/>
      <sheetName val="위치"/>
      <sheetName val="DHEQSUPT"/>
      <sheetName val="직접비내역서"/>
      <sheetName val="Sheet6"/>
      <sheetName val="인원계획-미화"/>
      <sheetName val="단가산출서"/>
      <sheetName val="조명시설"/>
      <sheetName val="견적정보"/>
      <sheetName val="집계표(육상)"/>
      <sheetName val="예측단가간지"/>
      <sheetName val="감리매출"/>
      <sheetName val="48일위"/>
      <sheetName val="22철거수량"/>
      <sheetName val="최종총괄"/>
      <sheetName val="세부산출내역서"/>
      <sheetName val="2.어플리케이션보정계수"/>
      <sheetName val="내역서2안"/>
      <sheetName val="시화점실행"/>
      <sheetName val="O＆P"/>
      <sheetName val="copy"/>
      <sheetName val="식음료"/>
      <sheetName val="감액총괄표"/>
      <sheetName val="#3_일위대가목록"/>
      <sheetName val="대치판정"/>
      <sheetName val="VXXXXXXX"/>
      <sheetName val="배수관공"/>
      <sheetName val="역무용(산출)"/>
      <sheetName val="철거수량(전송)"/>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자재단가"/>
      <sheetName val="관급"/>
      <sheetName val="집계표"/>
      <sheetName val="내역"/>
      <sheetName val="1단계"/>
      <sheetName val="터파기및재료"/>
      <sheetName val="총괄표"/>
      <sheetName val="노임단가"/>
      <sheetName val="입찰안"/>
      <sheetName val="공통(20-91)"/>
      <sheetName val="수량산출"/>
      <sheetName val="원도급"/>
      <sheetName val="하도급"/>
      <sheetName val="차액보증"/>
      <sheetName val="감가상각"/>
      <sheetName val="총괄내역서"/>
      <sheetName val="일위대가"/>
      <sheetName val="단가"/>
      <sheetName val="도급"/>
      <sheetName val="DANGA"/>
      <sheetName val="DATE"/>
      <sheetName val="원가서"/>
      <sheetName val="장비단가"/>
      <sheetName val="기본단가표"/>
      <sheetName val="환율change"/>
      <sheetName val="옥외외등집계표"/>
      <sheetName val="원본(갑지)"/>
      <sheetName val="일위대가표"/>
      <sheetName val="산출내역서집계표"/>
      <sheetName val="WORK"/>
      <sheetName val="참조자료"/>
      <sheetName val="신고조서"/>
      <sheetName val="원남울진낙찰내역(99.4.13 부산청)"/>
      <sheetName val="공사비집계"/>
      <sheetName val="I一般比"/>
      <sheetName val="Sheet6"/>
      <sheetName val="전기공사"/>
      <sheetName val="공사"/>
      <sheetName val="SOS_PLC &amp; Panel"/>
      <sheetName val="wall"/>
      <sheetName val="A01"/>
      <sheetName val="A11"/>
      <sheetName val="A16"/>
      <sheetName val="A02"/>
      <sheetName val="A03"/>
      <sheetName val="A04"/>
      <sheetName val="A05"/>
      <sheetName val="A06"/>
      <sheetName val="A07"/>
      <sheetName val="A08a"/>
      <sheetName val="A08b"/>
      <sheetName val="#REF"/>
      <sheetName val="N賃率-職"/>
      <sheetName val="내역서"/>
      <sheetName val="S0"/>
      <sheetName val="신천3호용수로"/>
      <sheetName val="여과지동"/>
      <sheetName val="기초자료"/>
      <sheetName val="포장(수량)-관로부"/>
      <sheetName val="공통가설"/>
      <sheetName val="설계내역서"/>
      <sheetName val="원하대비"/>
      <sheetName val="ABUT수량-A1"/>
      <sheetName val="목차"/>
      <sheetName val="원가 (2)"/>
      <sheetName val="일위대가(1)"/>
      <sheetName val="지급자재"/>
      <sheetName val="내역서2안"/>
      <sheetName val="단가표"/>
      <sheetName val="Total"/>
      <sheetName val="골조시행"/>
      <sheetName val="_갑지"/>
      <sheetName val="현장별"/>
      <sheetName val="Sheet1"/>
      <sheetName val="Sheet3"/>
      <sheetName val="금융비용"/>
      <sheetName val="전 기"/>
      <sheetName val="표지"/>
      <sheetName val="영업소실적"/>
      <sheetName val="옥외배관기본공량"/>
      <sheetName val="마산월령동골조물량변경"/>
      <sheetName val="갑지(추정)"/>
      <sheetName val="시화점실행"/>
      <sheetName val="개요"/>
      <sheetName val="98NS-N"/>
      <sheetName val="관급자재"/>
      <sheetName val="정렬"/>
      <sheetName val="교각1"/>
      <sheetName val="1.수인터널"/>
      <sheetName val="퍼스트"/>
      <sheetName val="인건비"/>
      <sheetName val="토목"/>
      <sheetName val="일반수량"/>
      <sheetName val="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단가"/>
      <sheetName val="산출내역서"/>
      <sheetName val="BID"/>
      <sheetName val=" HIT-&gt;HMC 견적(3900)"/>
      <sheetName val="입찰안"/>
      <sheetName val="현장관리비"/>
      <sheetName val="한전일위"/>
      <sheetName val="갑지"/>
      <sheetName val="일위목록"/>
      <sheetName val="요율"/>
      <sheetName val="일위대가목록"/>
      <sheetName val="투찰내역"/>
      <sheetName val="일위대가"/>
      <sheetName val="후다내역"/>
      <sheetName val="SG"/>
      <sheetName val="실행철강하도"/>
      <sheetName val="간접비계산"/>
      <sheetName val="합계"/>
      <sheetName val="인부신상자료"/>
      <sheetName val="준검 내역서"/>
      <sheetName val="노임단가"/>
      <sheetName val="일위CODE"/>
      <sheetName val="중기비"/>
      <sheetName val="노무비"/>
      <sheetName val="단가산출"/>
      <sheetName val="자재단가"/>
      <sheetName val="품셈"/>
      <sheetName val="일  위  대  가  목  록"/>
      <sheetName val="Macro1"/>
      <sheetName val="산수배수"/>
      <sheetName val="당초명세(평)"/>
      <sheetName val="일위산출"/>
      <sheetName val="설계가"/>
      <sheetName val="2공구산출내역"/>
      <sheetName val="전체"/>
      <sheetName val="PI"/>
      <sheetName val="품셈총괄표"/>
      <sheetName val="#2_일위대가목록"/>
      <sheetName val="운반비요율"/>
      <sheetName val="교각토공 _2_"/>
      <sheetName val="세부추진"/>
      <sheetName val="제안서"/>
      <sheetName val="상용보강"/>
      <sheetName val="행정표준(1)"/>
      <sheetName val="행정표준(2)"/>
      <sheetName val="1공구원가계산서"/>
      <sheetName val="1공구산출내역서"/>
      <sheetName val="1유리"/>
      <sheetName val="직노"/>
      <sheetName val="금액결정"/>
      <sheetName val="원가계산서"/>
      <sheetName val="관급자재"/>
      <sheetName val="장문교(대전)"/>
      <sheetName val="관급"/>
      <sheetName val="장비"/>
      <sheetName val="산근1"/>
      <sheetName val="노무"/>
      <sheetName val="자재"/>
      <sheetName val="INSTR"/>
      <sheetName val="건설성적"/>
      <sheetName val="간접(90)"/>
      <sheetName val="유동표"/>
      <sheetName val="원형1호맨홀토공수량"/>
      <sheetName val="우배수"/>
      <sheetName val="계산식"/>
      <sheetName val="증감내역서"/>
      <sheetName val="HRSG SMALL07220"/>
      <sheetName val="1,2공구원가계산서"/>
      <sheetName val="3.공통공사대비"/>
      <sheetName val="6. 안전관리비"/>
      <sheetName val="조건표"/>
      <sheetName val="#REF"/>
      <sheetName val="차액보증"/>
      <sheetName val="조명율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6PILE  (돌출)"/>
      <sheetName val="참조"/>
      <sheetName val="b_balju"/>
      <sheetName val="내역(한신APT)"/>
      <sheetName val="견적의뢰서"/>
      <sheetName val="JUCKEYK"/>
      <sheetName val="S0"/>
      <sheetName val="기본설계기준"/>
      <sheetName val="일위"/>
      <sheetName val="노임"/>
      <sheetName val="코드표"/>
      <sheetName val="TEST1"/>
      <sheetName val="작업일보"/>
      <sheetName val="수정2"/>
      <sheetName val="단가적용"/>
      <sheetName val="하도내역 (철콘)"/>
      <sheetName val="특기사항"/>
      <sheetName val="중기"/>
      <sheetName val="U형개거"/>
      <sheetName val="BSD (2)"/>
      <sheetName val="노임조서"/>
      <sheetName val="인원"/>
      <sheetName val="약품공급2"/>
      <sheetName val="덕전리"/>
      <sheetName val="1단계"/>
      <sheetName val="일위총괄"/>
      <sheetName val="저"/>
      <sheetName val="조건표 (2)"/>
      <sheetName val="3개월-백데이타"/>
      <sheetName val="LG배관재단가"/>
      <sheetName val="다다수전류단가"/>
      <sheetName val="LG유통상품단가표"/>
      <sheetName val="지급자재"/>
      <sheetName val="97년 추정"/>
      <sheetName val="Macro2"/>
      <sheetName val="표지1"/>
      <sheetName val="임율 Data"/>
      <sheetName val="일위대가목차"/>
      <sheetName val="2000년1차"/>
      <sheetName val="2000전체분"/>
      <sheetName val="도급"/>
      <sheetName val="일위대가목록표"/>
      <sheetName val="노무비 근거"/>
      <sheetName val="조명시설"/>
      <sheetName val="DHEQSUPT"/>
      <sheetName val="입출재고현황 (2)"/>
      <sheetName val="공통가설"/>
      <sheetName val="내역전기"/>
      <sheetName val="일위대가D"/>
      <sheetName val="10공구일위"/>
      <sheetName val="수량산출서"/>
      <sheetName val="신공항A-9(원가수정)"/>
      <sheetName val="집계"/>
      <sheetName val="개거총"/>
      <sheetName val="1.설계기준"/>
      <sheetName val="수량3"/>
      <sheetName val="별표집계"/>
      <sheetName val="ORIGIN"/>
      <sheetName val="호안사석"/>
      <sheetName val="배수자집"/>
      <sheetName val="설계예산서"/>
      <sheetName val="토공유동표(전체.당초)"/>
      <sheetName val="FORM-0"/>
      <sheetName val="추가예산"/>
      <sheetName val="목차 "/>
      <sheetName val="일위산출근거"/>
      <sheetName val="배수내역"/>
      <sheetName val="c_balju"/>
      <sheetName val="물가시세"/>
      <sheetName val="2000용수잠관-수량집계"/>
      <sheetName val="ABUT수량-A1"/>
      <sheetName val="48일위"/>
      <sheetName val="맨홀수량산출"/>
      <sheetName val="2터널시점"/>
      <sheetName val="기초1"/>
      <sheetName val="을"/>
      <sheetName val="IT-BAT"/>
      <sheetName val="수문일위1"/>
      <sheetName val="첨부1"/>
      <sheetName val="산출근거"/>
      <sheetName val="공정집계_국별"/>
      <sheetName val="b_balju (2)"/>
      <sheetName val="b_gunmul"/>
      <sheetName val="표준건축비"/>
      <sheetName val="A1"/>
      <sheetName val="일위단가"/>
      <sheetName val="입력데이타"/>
      <sheetName val="실행내역서 "/>
      <sheetName val="WORK"/>
      <sheetName val="예산총괄"/>
      <sheetName val="단위단가"/>
      <sheetName val="Total"/>
      <sheetName val="CTEMCOST"/>
      <sheetName val="이월"/>
      <sheetName val="SLAB근거-1"/>
      <sheetName val="단면 (2)"/>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전기"/>
      <sheetName val="유입량"/>
      <sheetName val="효율표"/>
      <sheetName val="토목품셈"/>
      <sheetName val="수량분개내역"/>
      <sheetName val="간선계산"/>
      <sheetName val="DANGA"/>
      <sheetName val="(원)기흥상갈"/>
      <sheetName val="기본단가표"/>
      <sheetName val="실행내역"/>
      <sheetName val="임율산출표"/>
      <sheetName val="일일"/>
      <sheetName val="#2정산"/>
      <sheetName val="공사비증감"/>
      <sheetName val="일위(PN)"/>
      <sheetName val="배수공"/>
      <sheetName val="8.PILE  (돌출)"/>
      <sheetName val="제경비산출서"/>
      <sheetName val="환기시설"/>
      <sheetName val="조명"/>
      <sheetName val="점보전력사용"/>
      <sheetName val="단면"/>
      <sheetName val="배수처리"/>
      <sheetName val="입력자료(노무비)"/>
      <sheetName val="노무비 "/>
      <sheetName val="단가표"/>
      <sheetName val="단위량당중기"/>
      <sheetName val="DATA"/>
      <sheetName val="7. 현장관리비 "/>
      <sheetName val="수량산출"/>
      <sheetName val="기계내역"/>
      <sheetName val="기본단가"/>
      <sheetName val="1. 설계조건 2.단면가정 3. 하중계산"/>
      <sheetName val="DATA 입력란"/>
      <sheetName val="구조     ."/>
      <sheetName val="INPUT"/>
      <sheetName val="DATE"/>
      <sheetName val="토공(1)"/>
      <sheetName val="차수공(1)"/>
      <sheetName val="인사자료총집계"/>
      <sheetName val="단면가정"/>
      <sheetName val="8.현장관리비"/>
      <sheetName val="7.안전관리비"/>
      <sheetName val="경상비"/>
      <sheetName val="전문하도급"/>
      <sheetName val="교량전기"/>
      <sheetName val="평가데이터"/>
      <sheetName val="MOTOR"/>
      <sheetName val="현장관리비 산출내역"/>
      <sheetName val="인명부"/>
      <sheetName val="장비단가"/>
      <sheetName val="내역표지"/>
      <sheetName val="가스"/>
      <sheetName val="양수장(기계)"/>
      <sheetName val="tggwan(mac)"/>
      <sheetName val="금액내역서"/>
      <sheetName val="대로근거"/>
      <sheetName val="중로근거"/>
      <sheetName val="일위대가표48"/>
      <sheetName val="4.일위대가집계"/>
      <sheetName val="공량산출서"/>
      <sheetName val="결재난"/>
      <sheetName val="만년달력"/>
      <sheetName val="SHL"/>
      <sheetName val="BND"/>
      <sheetName val="금리계산"/>
      <sheetName val="설계내역"/>
      <sheetName val="마산방향철근집계"/>
      <sheetName val="진주방향"/>
      <sheetName val="공사내역서(을)실행"/>
      <sheetName val="기성갑지"/>
      <sheetName val="직접비"/>
      <sheetName val="건장설비"/>
      <sheetName val="교통대책내역"/>
      <sheetName val="단위중량"/>
      <sheetName val="토공사"/>
      <sheetName val="중기일위대가"/>
      <sheetName val="재료비"/>
      <sheetName val="1.설계조건"/>
      <sheetName val="유림골조"/>
      <sheetName val="공통부대비"/>
      <sheetName val="사업관리"/>
      <sheetName val="운반"/>
      <sheetName val="물가자료"/>
      <sheetName val="적현로"/>
      <sheetName val="인사자료"/>
      <sheetName val="내역(2000년)"/>
      <sheetName val="FB25JN"/>
      <sheetName val="중기조종사 단위단가"/>
      <sheetName val="(당평)자재"/>
      <sheetName val="총괄내역서"/>
      <sheetName val="간 지1"/>
      <sheetName val="예가표"/>
      <sheetName val="파이프류"/>
      <sheetName val="프랜트면허"/>
      <sheetName val="토목주소"/>
      <sheetName val="설계명세서"/>
      <sheetName val="내역서 제출"/>
      <sheetName val="자료입력"/>
      <sheetName val="날개벽수량표"/>
      <sheetName val="시화점실행"/>
      <sheetName val="터널대가"/>
      <sheetName val="경영상태"/>
      <sheetName val="건설실행"/>
      <sheetName val="콘크리트타설집계표"/>
      <sheetName val="일위(시설)"/>
      <sheetName val="금융비용"/>
      <sheetName val="2"/>
      <sheetName val="자재일람"/>
      <sheetName val="화재 탐지 설비"/>
      <sheetName val="우수"/>
      <sheetName val="공사비예산서(토목분)"/>
      <sheetName val="Customer Databas"/>
      <sheetName val="일위대가(1)"/>
      <sheetName val="5. 현장관리비(new) "/>
      <sheetName val="방배동내역(리라)"/>
      <sheetName val="현장경비"/>
      <sheetName val="건축공사집계표"/>
      <sheetName val="방배동내역 (총괄)"/>
      <sheetName val="부대공사총괄"/>
      <sheetName val="lab"/>
      <sheetName val="부하계산서"/>
      <sheetName val="단가산출(T)"/>
      <sheetName val="공사원가계산서"/>
      <sheetName val="날개벽(시점좌측)"/>
      <sheetName val="재료집계표"/>
      <sheetName val="일위대가목록(ems)"/>
      <sheetName val="기자재비"/>
      <sheetName val="청천내"/>
      <sheetName val="일위집계(기존)"/>
      <sheetName val="일반공사"/>
      <sheetName val="하도내역_(철콘)"/>
      <sheetName val="입출재고현황_(2)"/>
      <sheetName val="노무비_근거"/>
      <sheetName val="임율_Data"/>
      <sheetName val="조건표_(2)"/>
      <sheetName val="목차_"/>
      <sheetName val="1_설계기준"/>
      <sheetName val="7__현장관리비_"/>
      <sheetName val="산출내역서집계표"/>
      <sheetName val="5_ 현장관리비_new_ "/>
      <sheetName val="인원계획"/>
      <sheetName val="인계"/>
      <sheetName val="경비2내역"/>
      <sheetName val="Temporary Mooring"/>
      <sheetName val="공문"/>
      <sheetName val="A LINE"/>
      <sheetName val="우석문틀"/>
      <sheetName val="품셈TABLE"/>
      <sheetName val="2.대외공문"/>
      <sheetName val="U-TYPE(1)"/>
      <sheetName val="일위목록데이타"/>
      <sheetName val="설내역서 "/>
      <sheetName val="세부내역서"/>
      <sheetName val="기성내역"/>
      <sheetName val="입력정보"/>
      <sheetName val="경산"/>
      <sheetName val="격점별물량"/>
      <sheetName val="7.PILE  (돌출)"/>
      <sheetName val="일H35Y4"/>
      <sheetName val="전도금월정금액"/>
      <sheetName val="일위대가집계"/>
      <sheetName val="단가대비표"/>
      <sheetName val="코드"/>
      <sheetName val="여과지동"/>
      <sheetName val="기초자료"/>
      <sheetName val="식재가격"/>
      <sheetName val="식재총괄"/>
      <sheetName val="초기화면"/>
      <sheetName val="교각계산"/>
      <sheetName val="700seg"/>
      <sheetName val="N賃率-職"/>
      <sheetName val="원도급"/>
      <sheetName val="하도급"/>
      <sheetName val="RE9604"/>
      <sheetName val="BQ"/>
      <sheetName val="내역서2안"/>
      <sheetName val="동천하상준설"/>
      <sheetName val="측량요율"/>
      <sheetName val="자재대"/>
      <sheetName val="점검총괄"/>
      <sheetName val="특수선일위대가"/>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돈암사업"/>
      <sheetName val="2.2_오피스텔(12~32F)"/>
      <sheetName val="1"/>
      <sheetName val="현장별"/>
      <sheetName val="간접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 갑지"/>
      <sheetName val="집 계 표"/>
      <sheetName val="계측기"/>
      <sheetName val="갑지(추정)"/>
      <sheetName val="입력데이타(비인쇄용)"/>
      <sheetName val="BOX 본체"/>
      <sheetName val="설 계"/>
      <sheetName val="CONCRETE"/>
      <sheetName val="자재단가비교표"/>
      <sheetName val="일용직6월"/>
      <sheetName val="골조"/>
      <sheetName val="원가계산서(변경)"/>
      <sheetName val="2.2 띠장의 설계"/>
      <sheetName val="Sheet1 (2)"/>
      <sheetName val="소방"/>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1.취수장"/>
      <sheetName val="변경내역"/>
      <sheetName val="Sheet5"/>
      <sheetName val="기초단가"/>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실행(ALT1)"/>
      <sheetName val="환율change"/>
      <sheetName val="GRDBS"/>
      <sheetName val="견적대비표"/>
      <sheetName val="Y-WORK"/>
      <sheetName val="4 LINE"/>
      <sheetName val="7 th"/>
      <sheetName val="C10집계2"/>
      <sheetName val="특별"/>
      <sheetName val="양덕동"/>
      <sheetName val="입력"/>
      <sheetName val="일용직"/>
      <sheetName val="인천제철"/>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MATRLDATA"/>
      <sheetName val="Print"/>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설계명세"/>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테이블"/>
      <sheetName val="단가 및 재료비"/>
      <sheetName val="단가산출1"/>
      <sheetName val="회사정보"/>
      <sheetName val="C䈀꼬ԯ"/>
      <sheetName val="일일총괄"/>
      <sheetName val="연돌일위집계"/>
      <sheetName val="0226"/>
      <sheetName val="울산"/>
      <sheetName val="Anti"/>
      <sheetName val="Xunit (단위환산)"/>
      <sheetName val="벽체면적당일위대가"/>
      <sheetName val="갑"/>
      <sheetName val="조명일위"/>
      <sheetName val="소화실적"/>
      <sheetName val="단위별용량계산"/>
      <sheetName val="산3_4"/>
      <sheetName val="본실행경비"/>
      <sheetName val="GRD⍠も"/>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실행내역서(DCU)"/>
      <sheetName val="Sikje_inĴ¾_x0000_"/>
      <sheetName val="D1.2 COF모듈자재 입출재고 (B급)"/>
      <sheetName val="견적내역"/>
      <sheetName val="CԀ_x0000_缀"/>
      <sheetName val="연장및면적(좌측)"/>
      <sheetName val="사유서제출현황-2"/>
      <sheetName val="산출근거(S4)"/>
      <sheetName val="주공기준"/>
      <sheetName val="맨홀토공"/>
      <sheetName val="전기일목(조사가)"/>
      <sheetName val="공사내역"/>
      <sheetName val="안정검토"/>
      <sheetName val="시험연구비상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예금"/>
      <sheetName val="유가증권"/>
      <sheetName val="매출채권"/>
      <sheetName val="미수금"/>
      <sheetName val="미수수익"/>
      <sheetName val="선급금"/>
      <sheetName val="선급비용"/>
      <sheetName val="전도금"/>
      <sheetName val="EUN-특정현금예금"/>
      <sheetName val="관급"/>
      <sheetName val="집계표"/>
      <sheetName val="실행철강하도"/>
      <sheetName val="Sheet1"/>
      <sheetName val="I一般比"/>
      <sheetName val="lee"/>
    </sheetNames>
    <sheetDataSet>
      <sheetData sheetId="0" refreshError="1">
        <row r="8">
          <cell r="D8" t="str">
            <v>제  일     마    포</v>
          </cell>
        </row>
        <row r="9">
          <cell r="D9" t="str">
            <v>상  업     공 덕 동</v>
          </cell>
        </row>
        <row r="10">
          <cell r="D10" t="str">
            <v>외  환     여의도남</v>
          </cell>
        </row>
        <row r="11">
          <cell r="D11" t="str">
            <v>주  택     영 업 부</v>
          </cell>
        </row>
        <row r="12">
          <cell r="D12" t="str">
            <v>한  일     영 등 포</v>
          </cell>
        </row>
        <row r="13">
          <cell r="D13" t="str">
            <v>A M E X    B A N K</v>
          </cell>
        </row>
        <row r="15">
          <cell r="D15" t="str">
            <v>상  업     공 덕 동</v>
          </cell>
        </row>
        <row r="16">
          <cell r="D16" t="str">
            <v>경  남     서    울</v>
          </cell>
        </row>
        <row r="17">
          <cell r="D17" t="str">
            <v>국  민     마    포</v>
          </cell>
        </row>
        <row r="18">
          <cell r="D18" t="str">
            <v>국  민     영 등 포</v>
          </cell>
        </row>
        <row r="19">
          <cell r="D19" t="str">
            <v>농  협     영 등 포</v>
          </cell>
        </row>
        <row r="20">
          <cell r="D20" t="str">
            <v>외  환     여의도남</v>
          </cell>
        </row>
        <row r="21">
          <cell r="D21" t="str">
            <v>외  환     계    동</v>
          </cell>
        </row>
        <row r="22">
          <cell r="D22" t="str">
            <v>서  울     영 등 포</v>
          </cell>
        </row>
        <row r="23">
          <cell r="D23" t="str">
            <v>조  흥     마    포</v>
          </cell>
        </row>
        <row r="24">
          <cell r="D24" t="str">
            <v>한  일     영 업 부</v>
          </cell>
        </row>
        <row r="26">
          <cell r="D26" t="str">
            <v>한  일     영 업 부</v>
          </cell>
        </row>
        <row r="27">
          <cell r="D27" t="str">
            <v>외  환     여의도남</v>
          </cell>
        </row>
        <row r="28">
          <cell r="D28" t="str">
            <v>국  민     영 업 부</v>
          </cell>
        </row>
        <row r="30">
          <cell r="D30" t="str">
            <v>서  울     영 등 포</v>
          </cell>
        </row>
        <row r="32">
          <cell r="D32" t="str">
            <v>상  업     공 덕 동</v>
          </cell>
        </row>
        <row r="33">
          <cell r="D33" t="str">
            <v>한  일     영 업 부</v>
          </cell>
        </row>
        <row r="35">
          <cell r="D35" t="str">
            <v>쌍 용  투 자  증 권</v>
          </cell>
        </row>
        <row r="36">
          <cell r="D36" t="str">
            <v>동 양  종 합  금 융</v>
          </cell>
        </row>
        <row r="39">
          <cell r="D39" t="str">
            <v>경  남     창    원</v>
          </cell>
        </row>
        <row r="40">
          <cell r="D40" t="str">
            <v>한  일     창    원</v>
          </cell>
        </row>
        <row r="42">
          <cell r="D42" t="str">
            <v>상  업     창    원</v>
          </cell>
        </row>
        <row r="43">
          <cell r="D43" t="str">
            <v>농  협     창    원</v>
          </cell>
        </row>
        <row r="46">
          <cell r="D46" t="str">
            <v>상  업     방 배 동</v>
          </cell>
        </row>
        <row r="47">
          <cell r="D47" t="str">
            <v>서  울     청 담 동</v>
          </cell>
        </row>
        <row r="48">
          <cell r="D48" t="str">
            <v>한  일     청 담 동</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목록"/>
      <sheetName val="견적서"/>
      <sheetName val="Sheet3"/>
      <sheetName val="Contract Cover"/>
      <sheetName val="9GNG운반"/>
      <sheetName val="내역서"/>
    </sheetNames>
    <sheetDataSet>
      <sheetData sheetId="0">
        <row r="2">
          <cell r="A2" t="str">
            <v>QLA2342-CK</v>
          </cell>
        </row>
      </sheetData>
      <sheetData sheetId="1"/>
      <sheetData sheetId="2"/>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2000년1차"/>
      <sheetName val="2000전체분"/>
      <sheetName val="집계표"/>
      <sheetName val="투찰내역"/>
      <sheetName val="교통대책내역"/>
      <sheetName val="조경일람"/>
      <sheetName val="BID"/>
      <sheetName val="내역서"/>
      <sheetName val="SLAB데이터"/>
      <sheetName val="단가일람"/>
      <sheetName val="99총공사내역서"/>
      <sheetName val="간접1"/>
      <sheetName val="부대공사비"/>
      <sheetName val="퍼스트"/>
      <sheetName val="차액보증"/>
      <sheetName val="#REF"/>
      <sheetName val="지질조사"/>
      <sheetName val="CALCULATION"/>
      <sheetName val="조명일위"/>
      <sheetName val="약품공급2"/>
      <sheetName val="C1ㅇ"/>
      <sheetName val="N賃率-職"/>
      <sheetName val="노임"/>
      <sheetName val="정부노임단가"/>
      <sheetName val="접지수량"/>
      <sheetName val="sheet1"/>
      <sheetName val="Total 단위경유량집계"/>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배수공"/>
      <sheetName val="5회토적"/>
      <sheetName val="DB"/>
      <sheetName val="구조물공"/>
      <sheetName val="부대공"/>
      <sheetName val="토공"/>
      <sheetName val="포장공"/>
      <sheetName val="토공유동표(전체.당초)"/>
      <sheetName val="총공사내역서"/>
      <sheetName val="품셈TABLE"/>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현장설명"/>
      <sheetName val="일위목록"/>
      <sheetName val="요율"/>
      <sheetName val="DATA"/>
      <sheetName val="I.설계조건"/>
      <sheetName val="산출근거"/>
      <sheetName val="표  지"/>
      <sheetName val="설비2차"/>
      <sheetName val="공사비예산서(토목분)"/>
      <sheetName val="을-ATYPE"/>
      <sheetName val="제1호단위수량"/>
      <sheetName val="예가내역서"/>
      <sheetName val="전기"/>
      <sheetName val="현장지지물물량"/>
      <sheetName val="자재단가비교표"/>
      <sheetName val="BH-1 (2)"/>
      <sheetName val="hvac(제어동)"/>
      <sheetName val="결재갑지"/>
      <sheetName val="조도계산서 (도서)"/>
      <sheetName val="자료"/>
      <sheetName val="도급"/>
      <sheetName val="단가대비표"/>
      <sheetName val="기초일위"/>
      <sheetName val="시설일위"/>
      <sheetName val="관리비비계상"/>
      <sheetName val="경비2내역"/>
      <sheetName val="세부내역"/>
      <sheetName val="운반"/>
      <sheetName val="ABUT수량-A1"/>
      <sheetName val="제안서"/>
      <sheetName val="행정표준(1)"/>
      <sheetName val="행정표준(2)"/>
      <sheetName val="초기화면"/>
      <sheetName val="폐기물"/>
      <sheetName val="노원열병합  건축공사기성내역서"/>
      <sheetName val="증감내역서"/>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총괄내역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11.산출(전열)"/>
      <sheetName val="6.산출(동력)"/>
      <sheetName val="7.산출(TRAY)"/>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98지급계획"/>
      <sheetName val="간접(90)"/>
      <sheetName val="참조"/>
      <sheetName val="소포내역 (2)"/>
      <sheetName val="설계서(7)"/>
      <sheetName val="예산서(6)"/>
      <sheetName val="INPUT"/>
      <sheetName val="횡배위치"/>
      <sheetName val="신림자금"/>
      <sheetName val="운반비"/>
      <sheetName val="2000양배"/>
      <sheetName val="11.우각부 보강"/>
      <sheetName val="갑지"/>
      <sheetName val="추가예산"/>
      <sheetName val="품셈"/>
      <sheetName val="현금예금"/>
      <sheetName val="재료비"/>
      <sheetName val="보고서 기기리스트"/>
      <sheetName val="3련 BOX"/>
      <sheetName val="단가산출"/>
      <sheetName val="견적조건"/>
      <sheetName val="토목주소"/>
      <sheetName val="분뇨"/>
      <sheetName val="실행(1)"/>
      <sheetName val="전기내역서(총계)"/>
      <sheetName val="토공A"/>
      <sheetName val="7. 현장관리비 "/>
      <sheetName val="6. 안전관리비"/>
      <sheetName val="_HIT__HMC 견적_3900_"/>
      <sheetName val="구조물견적서"/>
      <sheetName val="금호"/>
      <sheetName val="여과지동"/>
      <sheetName val="기초자료"/>
      <sheetName val="일위대가목록"/>
      <sheetName val="COVER"/>
      <sheetName val="간접비계산"/>
      <sheetName val="적용단가"/>
      <sheetName val="입력데이타"/>
      <sheetName val="Macro1"/>
      <sheetName val="원가"/>
      <sheetName val="설계예산서"/>
      <sheetName val="ilch"/>
      <sheetName val="plan&amp;section of foundation"/>
      <sheetName val="pile bearing capa &amp; arrenge"/>
      <sheetName val="working load at the btm ft."/>
      <sheetName val="stability check"/>
      <sheetName val="design criteria"/>
      <sheetName val="연결임시"/>
      <sheetName val="내   역"/>
      <sheetName val="플랜트 설치"/>
      <sheetName val="99월별경비계획"/>
      <sheetName val="가격조사서"/>
      <sheetName val="검암내역"/>
      <sheetName val="bearing"/>
      <sheetName val="소야공정계획표"/>
      <sheetName val="토목내역"/>
      <sheetName val="사급자재"/>
      <sheetName val="기계공사"/>
      <sheetName val="배수내역"/>
      <sheetName val="입력"/>
      <sheetName val="산출내역서집계표"/>
      <sheetName val="부재예실1월"/>
      <sheetName val="13LPMCC"/>
      <sheetName val="현장관리비"/>
      <sheetName val="상-교대(A1-A2)"/>
      <sheetName val="분전반"/>
      <sheetName val="기본일위"/>
      <sheetName val="역T형옹벽단위수량"/>
      <sheetName val="간이영수증"/>
      <sheetName val="할증"/>
      <sheetName val="내역원본"/>
      <sheetName val="결과조달"/>
      <sheetName val="내역(창신)"/>
      <sheetName val="Resource2"/>
      <sheetName val="배수내역 (2)"/>
      <sheetName val="측구터파기공수량집계"/>
      <sheetName val="배수공 시멘트 및 골재량 산출"/>
      <sheetName val=" HIT-&gt;HMC 견적(3900)"/>
      <sheetName val="lee"/>
      <sheetName val="집계표소트"/>
      <sheetName val="투찰추정"/>
      <sheetName val="검토"/>
      <sheetName val="일위대가(가설)"/>
      <sheetName val="INPUT-DATA"/>
      <sheetName val="용소리교"/>
      <sheetName val="총괄-1"/>
      <sheetName val="자재단가"/>
      <sheetName val="교량"/>
      <sheetName val="Macro(차단기)"/>
      <sheetName val="시멘트"/>
      <sheetName val="8설7발"/>
      <sheetName val="현금흐름"/>
      <sheetName val="전체_1설계"/>
      <sheetName val="노임 단가"/>
      <sheetName val="배수통관(좌)"/>
      <sheetName val="01AC"/>
      <sheetName val="정화조내역"/>
      <sheetName val="EBSDATA"/>
      <sheetName val="일위대가(1)"/>
      <sheetName val="마산방향"/>
      <sheetName val="진주방향"/>
      <sheetName val="봉양~조차장간고하개명(신설)"/>
      <sheetName val="FM"/>
      <sheetName val="자재단가표"/>
      <sheetName val="부대내역"/>
      <sheetName val="토목"/>
      <sheetName val="설 계"/>
      <sheetName val="정렬"/>
      <sheetName val="제품원재"/>
      <sheetName val="단가조사-2"/>
      <sheetName val="건설성적"/>
      <sheetName val="부속동"/>
      <sheetName val="APT"/>
      <sheetName val="구간별관경"/>
      <sheetName val="날개벽수량표"/>
      <sheetName val="조건표"/>
      <sheetName val="일위집계(기존)"/>
      <sheetName val="99-0002"/>
      <sheetName val="A 견적"/>
      <sheetName val="전기일위목록"/>
      <sheetName val="인사자료총집계"/>
      <sheetName val="중기"/>
      <sheetName val="설계"/>
      <sheetName val="공통가설"/>
      <sheetName val="바닥판"/>
      <sheetName val="입력DATA"/>
      <sheetName val="EUPDAT2"/>
      <sheetName val="5호광장_(만점)"/>
      <sheetName val="인천국제_(만점)_(2)"/>
      <sheetName val="Total_단위경유량집계"/>
      <sheetName val="준검_내역서"/>
      <sheetName val="토공유동표(전체_당초)"/>
      <sheetName val="1_수인터널"/>
      <sheetName val="귀래 설계 공내역서"/>
      <sheetName val="WORK"/>
      <sheetName val="단가조건(02년)"/>
      <sheetName val="동방설계서"/>
      <sheetName val="JUCKEYK"/>
      <sheetName val="기초수량집"/>
      <sheetName val="type-F"/>
      <sheetName val="중기비"/>
      <sheetName val="원계약고시공및준비구분"/>
      <sheetName val="1.취수장"/>
      <sheetName val="spc 배관견적"/>
      <sheetName val="내역(가지)"/>
      <sheetName val="일용노임단가"/>
      <sheetName val="데리네이타현황"/>
      <sheetName val="예산총괄"/>
      <sheetName val="공사원가계산서"/>
      <sheetName val="별첨1-임식"/>
      <sheetName val="기본자료"/>
      <sheetName val="소비자가"/>
      <sheetName val="원가+내역"/>
      <sheetName val="광산내역"/>
      <sheetName val="신천3호용수로"/>
      <sheetName val="70%"/>
      <sheetName val="정산내역"/>
      <sheetName val="TYPE-A"/>
      <sheetName val="Cash Flow-1"/>
      <sheetName val="Y-WORK"/>
      <sheetName val="3.1공사현황 공정표"/>
      <sheetName val="단가(적용)"/>
      <sheetName val="기성내역"/>
      <sheetName val="MILL"/>
      <sheetName val="현장관리비참조"/>
      <sheetName val="편입토지조서"/>
      <sheetName val="건축공사"/>
      <sheetName val="6PILE  (돌출)"/>
      <sheetName val="공사비총괄"/>
      <sheetName val="화재 탐지 설비"/>
      <sheetName val="시설물일위"/>
      <sheetName val="기초코드"/>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물량표S"/>
      <sheetName val="중기일위대가"/>
      <sheetName val="일위대가목차"/>
      <sheetName val="소방사항"/>
      <sheetName val="단가집"/>
      <sheetName val="8.현장관리비"/>
      <sheetName val="7.안전관리비"/>
      <sheetName val="BH_1 _2_"/>
      <sheetName val="전기실-1"/>
      <sheetName val="C97상"/>
      <sheetName val="백암비스타내역"/>
      <sheetName val="#2_일위대가목록"/>
      <sheetName val="전기일위대가"/>
      <sheetName val="전 기"/>
      <sheetName val="CORE#2"/>
      <sheetName val="관급자재"/>
      <sheetName val="내역표지"/>
      <sheetName val="SHEET PILE단가"/>
      <sheetName val="수정2"/>
      <sheetName val="unit 4"/>
      <sheetName val="견적서"/>
      <sheetName val="목차 "/>
      <sheetName val="200"/>
      <sheetName val="SLAB"/>
      <sheetName val="퇴직금(울산천상)"/>
      <sheetName val="asd"/>
      <sheetName val="직재"/>
      <sheetName val="WING3"/>
      <sheetName val="전동기"/>
      <sheetName val="일위대가(집계)"/>
      <sheetName val="기기리스트"/>
      <sheetName val="전라자금"/>
      <sheetName val="내역서1"/>
      <sheetName val="주관사업"/>
      <sheetName val="시운전연료"/>
      <sheetName val="수량산출"/>
      <sheetName val="전입"/>
      <sheetName val="일위"/>
      <sheetName val="장비단가표"/>
      <sheetName val="Customer Databas"/>
      <sheetName val="d118"/>
      <sheetName val="b_balju"/>
      <sheetName val="원가총괄"/>
      <sheetName val="갑지(추정)"/>
      <sheetName val="파일구성"/>
      <sheetName val="유입량"/>
      <sheetName val="투입내역"/>
      <sheetName val="접속도로1"/>
      <sheetName val="지불내역(자재외)"/>
      <sheetName val="시설물기초"/>
      <sheetName val="SG"/>
      <sheetName val="공정증감대ㅈ표"/>
      <sheetName val="예가표"/>
      <sheetName val="입찰"/>
      <sheetName val="현경"/>
      <sheetName val="중기사용료산출근거"/>
      <sheetName val="단가산출1"/>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직접경비호표"/>
      <sheetName val="ELEC"/>
      <sheetName val="1유리"/>
      <sheetName val="실행(ALT1)"/>
      <sheetName val="개인별 순위표"/>
      <sheetName val="INDEX"/>
      <sheetName val="프랜트면허"/>
      <sheetName val="냉천부속동"/>
      <sheetName val="네고율"/>
      <sheetName val="Sheet5"/>
      <sheetName val="재집"/>
      <sheetName val="총"/>
      <sheetName val="물량표"/>
      <sheetName val="오산갈곳"/>
      <sheetName val="설계서(본관)"/>
      <sheetName val="안정계산"/>
      <sheetName val="단면검토"/>
      <sheetName val="2000년하반기"/>
      <sheetName val="수지예산"/>
      <sheetName val="수량산출서집계(1-4차)"/>
      <sheetName val="모델명"/>
      <sheetName val="손익분석"/>
      <sheetName val="(1)본선수량집계"/>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SUMMARY(S)"/>
      <sheetName val="설치"/>
      <sheetName val="저장소"/>
      <sheetName val="내역집계"/>
      <sheetName val="재료"/>
      <sheetName val="Macro(전선)"/>
      <sheetName val="POL6차-PIPING"/>
      <sheetName val="덕전리"/>
      <sheetName val="1,2,3,4,5단위수량"/>
      <sheetName val="Sheet2"/>
      <sheetName val="계산표지"/>
      <sheetName val="노임변동률"/>
      <sheetName val="개산공사비"/>
      <sheetName val="재개발"/>
      <sheetName val="TOT"/>
      <sheetName val="유림골조"/>
      <sheetName val="별표 "/>
      <sheetName val="인건비"/>
      <sheetName val="도담구내 개소별 명세"/>
      <sheetName val="1안"/>
      <sheetName val="BQ"/>
      <sheetName val="집계및폼"/>
      <sheetName val="04_10_11"/>
      <sheetName val="원가서"/>
      <sheetName val="환율change"/>
      <sheetName val="당초"/>
      <sheetName val="단가표"/>
      <sheetName val="시화점실행"/>
      <sheetName val="기별(종합)"/>
      <sheetName val="건축"/>
      <sheetName val="부서코드표"/>
      <sheetName val="결재란"/>
      <sheetName val="협력업체"/>
      <sheetName val="코드1"/>
      <sheetName val="코드2"/>
      <sheetName val="분전반일위대가"/>
      <sheetName val="품목납기"/>
      <sheetName val="대림경상68억"/>
      <sheetName val="단중표"/>
      <sheetName val="7"/>
      <sheetName val="投标材料清单 "/>
      <sheetName val="공사비산출내역"/>
      <sheetName val="TCDB"/>
      <sheetName val="손익차9월2"/>
      <sheetName val="득점현황"/>
      <sheetName val="전기공사"/>
      <sheetName val="청천내"/>
      <sheetName val="재료값"/>
      <sheetName val="합계"/>
      <sheetName val="내역서 "/>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중사"/>
      <sheetName val="직접비"/>
      <sheetName val="자재co"/>
      <sheetName val="BJJIN"/>
      <sheetName val="대공종"/>
      <sheetName val="집 계 표"/>
      <sheetName val="10공구일위"/>
      <sheetName val="인천제철"/>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Sheet4"/>
      <sheetName val="심사물량"/>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평3"/>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sw1"/>
      <sheetName val="일위대_x0000__x0000_Ԁ_x0000_䀀"/>
      <sheetName val="골조"/>
      <sheetName val="마스터원본"/>
      <sheetName val="esc"/>
      <sheetName val="일위산출근거"/>
      <sheetName val="일위대㐀븁_x0000__x0000_退"/>
      <sheetName val="기성(1차) "/>
      <sheetName val="NOMUBI"/>
      <sheetName val="토공(1)"/>
      <sheetName val="준공조서갑지"/>
      <sheetName val="일위대가(계측기설치)"/>
      <sheetName val="설계명세서"/>
      <sheetName val="MSS"/>
      <sheetName val="정화조"/>
      <sheetName val="참조 (2)"/>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관경별내역서"/>
      <sheetName val="접속도수량집계표"/>
      <sheetName val="일위대가목록표"/>
      <sheetName val="자재"/>
      <sheetName val="산근1"/>
      <sheetName val="조립1부실적"/>
      <sheetName val="재정비내역"/>
      <sheetName val="지적고시내역"/>
      <sheetName val="수배전(갑)"/>
      <sheetName val="전압강하자료"/>
      <sheetName val="유치원내역"/>
      <sheetName val="에어샵공사"/>
      <sheetName val="Sheet16"/>
      <sheetName val="견내"/>
      <sheetName val="조도계산서_(도서_x0000_"/>
      <sheetName val="포장(수량)-관로부"/>
      <sheetName val="일위대가 "/>
      <sheetName val="1ST"/>
      <sheetName val="4 LINE"/>
      <sheetName val="7 th"/>
      <sheetName val="CTEMCOST"/>
      <sheetName val="ELECTRIC"/>
      <sheetName val="SCHEDULE"/>
      <sheetName val="04변경-상하"/>
      <sheetName val="설계서"/>
      <sheetName val="20관리비율"/>
      <sheetName val="변경명신물량 (2)"/>
      <sheetName val="내역서(100%)"/>
      <sheetName val="수량산출서집계"/>
      <sheetName val="맨홀수량"/>
      <sheetName val="상반기손익차2총괄"/>
      <sheetName val="일위CODE"/>
      <sheetName val="골재산출"/>
      <sheetName val="토공 토적표"/>
      <sheetName val="자재단가리스트"/>
      <sheetName val="변경내역"/>
      <sheetName val="新철폐복2"/>
      <sheetName val="新철폐복3"/>
      <sheetName val="新철폐복"/>
      <sheetName val="실행내역서(DCU)"/>
      <sheetName val="토목내역서"/>
      <sheetName val="현황산출서"/>
      <sheetName val="전사 (2)"/>
      <sheetName val="BA (2)"/>
      <sheetName val="CP (2)"/>
      <sheetName val="시산표"/>
      <sheetName val="인건-측정"/>
      <sheetName val="울산자동제어"/>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포장수량집계"/>
      <sheetName val="LIST"/>
      <sheetName val="정산서"/>
      <sheetName val="단위중량"/>
      <sheetName val="전기단가조사서"/>
      <sheetName val="조직"/>
      <sheetName val="CON'C"/>
      <sheetName val="간접비"/>
      <sheetName val="아파트 "/>
      <sheetName val="J"/>
      <sheetName val="건축집계"/>
      <sheetName val="송전기본"/>
      <sheetName val="물류최종8월7"/>
      <sheetName val="부대대비"/>
      <sheetName val="냉연집계"/>
      <sheetName val="15100"/>
      <sheetName val="월별손익"/>
      <sheetName val="PI"/>
      <sheetName val="REDUCER"/>
      <sheetName val="WE'T"/>
      <sheetName val="각종양식"/>
      <sheetName val="&lt;--"/>
      <sheetName val="갑지.을지"/>
      <sheetName val="기타"/>
      <sheetName val="안정검토"/>
      <sheetName val="K1자재(3차등)"/>
      <sheetName val="제수변수량"/>
      <sheetName val="하수급견적대비"/>
      <sheetName val="지급자재"/>
      <sheetName val="교대(A1)"/>
      <sheetName val="기성갑지"/>
      <sheetName val="예산조서(전송)"/>
      <sheetName val="간접경상비"/>
      <sheetName val="apt수량"/>
      <sheetName val="현금"/>
      <sheetName val="첨부1"/>
      <sheetName val="식음료"/>
      <sheetName val="난간벽단위"/>
      <sheetName val="MIJIBI"/>
      <sheetName val="0Title"/>
      <sheetName val="할빙수"/>
      <sheetName val="(당평)자재"/>
      <sheetName val="제목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refreshError="1"/>
      <sheetData sheetId="1109" refreshError="1"/>
      <sheetData sheetId="1110"/>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0.총괄"/>
      <sheetName val="일정"/>
      <sheetName val="1.사업관리"/>
      <sheetName val="2.컨설팅"/>
      <sheetName val="3.데이터체계"/>
      <sheetName val="4.서비스기능"/>
      <sheetName val="5.DT플랫폼"/>
      <sheetName val="6.구축시험"/>
      <sheetName val="7. 작성유의사항 및 가중치부여"/>
    </sheetNames>
    <sheetDataSet>
      <sheetData sheetId="0"/>
      <sheetData sheetId="1"/>
      <sheetData sheetId="2">
        <row r="3">
          <cell r="B3">
            <v>44378</v>
          </cell>
        </row>
      </sheetData>
      <sheetData sheetId="3"/>
      <sheetData sheetId="4"/>
      <sheetData sheetId="5"/>
      <sheetData sheetId="6"/>
      <sheetData sheetId="7"/>
      <sheetData sheetId="8"/>
      <sheetData sheetId="9"/>
      <sheetData sheetId="1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직접재료비"/>
      <sheetName val="직접노무비"/>
      <sheetName val="사급자재비"/>
      <sheetName val="산출내역"/>
      <sheetName val="추가공정"/>
      <sheetName val="1.28"/>
      <sheetName val="표지"/>
      <sheetName val="3.일반사상"/>
      <sheetName val="(실사조정)총괄"/>
      <sheetName val="손익분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금부문"/>
      <sheetName val="작성방법"/>
      <sheetName val="Sheet3"/>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차액보증"/>
      <sheetName val="용소리교"/>
      <sheetName val="실행철강하도"/>
      <sheetName val="내역서"/>
      <sheetName val="관급"/>
      <sheetName val="#REF"/>
      <sheetName val="6PILE  (돌출)"/>
      <sheetName val="1.수인터널"/>
      <sheetName val="2공구산출내역"/>
      <sheetName val="I一般比"/>
      <sheetName val="기계경비"/>
      <sheetName val="적용토목"/>
      <sheetName val="sw1"/>
      <sheetName val="월별수입"/>
      <sheetName val="기아대교"/>
      <sheetName val="(실사조정)총괄"/>
      <sheetName val="원본(갑지)"/>
      <sheetName val="동원인원계획표"/>
      <sheetName val="9GNG운반"/>
      <sheetName val="BID"/>
      <sheetName val="1F"/>
      <sheetName val="인사자료총집계"/>
      <sheetName val="준공조서갑지"/>
      <sheetName val="토공"/>
      <sheetName val="산출내역서"/>
      <sheetName val="정렬"/>
      <sheetName val="98수문일위"/>
      <sheetName val="설계내역서"/>
      <sheetName val="설계"/>
      <sheetName val="설 계"/>
      <sheetName val="입찰보고"/>
      <sheetName val="단가"/>
      <sheetName val="을지"/>
      <sheetName val="1호맨홀수량산출"/>
      <sheetName val="일위대가"/>
      <sheetName val="본공사"/>
      <sheetName val="8.PILE  (돌출)"/>
      <sheetName val="참조자료"/>
      <sheetName val="견적사양비교표"/>
      <sheetName val="당진1,2호기전선관설치및접지4차공사내역서-을지"/>
      <sheetName val="공사설명서"/>
      <sheetName val="토공사"/>
      <sheetName val="일위대가(계측기설치)"/>
      <sheetName val="산출내역서집계표"/>
      <sheetName val="횡배수관토공수량"/>
      <sheetName val="기초공"/>
      <sheetName val="기둥(원형)"/>
      <sheetName val="98NS-N"/>
      <sheetName val="토목주소"/>
      <sheetName val="프랜트면허"/>
      <sheetName val="조명시설"/>
      <sheetName val="금호"/>
      <sheetName val="현대물량"/>
      <sheetName val="NOMUBI"/>
      <sheetName val="배수관연장산출서"/>
      <sheetName val="Sheet1"/>
      <sheetName val="1차 내역서"/>
      <sheetName val="공종별집계표"/>
      <sheetName val="견적서"/>
      <sheetName val="할증 "/>
      <sheetName val="대공종"/>
      <sheetName val="점수계산1-2"/>
      <sheetName val="기성2"/>
      <sheetName val="시멘트"/>
      <sheetName val="협조전"/>
      <sheetName val="BSD (2)"/>
      <sheetName val="Total"/>
      <sheetName val="산3_4"/>
      <sheetName val="품셈TABLE"/>
      <sheetName val="SCH"/>
      <sheetName val="수자재단위당"/>
      <sheetName val="수량산출"/>
      <sheetName val="노임산재"/>
      <sheetName val="대비"/>
      <sheetName val="터파기및재료"/>
      <sheetName val="JJ"/>
      <sheetName val="총괄-1"/>
      <sheetName val="도급"/>
      <sheetName val="미장"/>
      <sheetName val="특수선일위대가"/>
      <sheetName val="N賃率-職"/>
      <sheetName val="10-3월별수입"/>
      <sheetName val="8-1차이내역"/>
      <sheetName val="내역표지"/>
      <sheetName val="분전반"/>
      <sheetName val="잡철물"/>
      <sheetName val="EJ"/>
      <sheetName val="실행(ALT1)"/>
      <sheetName val="전기실-1"/>
      <sheetName val="갑지"/>
      <sheetName val="교통대책내역"/>
      <sheetName val="간접경상비"/>
      <sheetName val="광통신 견적내역서1"/>
      <sheetName val="평3"/>
      <sheetName val="자재표"/>
      <sheetName val="손익분석"/>
      <sheetName val="투찰(하수)"/>
      <sheetName val="당초"/>
      <sheetName val="unit 4"/>
      <sheetName val="1,2공구원가계산서"/>
      <sheetName val="1공구산출내역서"/>
      <sheetName val="단가표"/>
      <sheetName val="Customer Databas"/>
      <sheetName val="CTEMCOST"/>
      <sheetName val="공사개요"/>
      <sheetName val="조명율표"/>
      <sheetName val="Y-WORK"/>
      <sheetName val="자재co"/>
      <sheetName val="앵커구조계산"/>
      <sheetName val="토목내역서"/>
      <sheetName val="지구단위계획"/>
      <sheetName val="단가목록"/>
      <sheetName val="식재일위대가"/>
      <sheetName val="내역서2안"/>
      <sheetName val="일위대가표"/>
      <sheetName val="골조시행"/>
      <sheetName val="원가계산서"/>
      <sheetName val="TYPE-A"/>
      <sheetName val="업무"/>
      <sheetName val="기본단가"/>
      <sheetName val="단가비교표_공통1"/>
      <sheetName val="정부노임단가"/>
      <sheetName val="DATE"/>
      <sheetName val="JUCKEYK"/>
      <sheetName val="직노"/>
      <sheetName val="3차준공"/>
      <sheetName val="경비_원본"/>
      <sheetName val="노임단가"/>
      <sheetName val="조경"/>
      <sheetName val="수문일1"/>
      <sheetName val="하조서"/>
      <sheetName val="원가"/>
      <sheetName val="옥외"/>
      <sheetName val="준검 내역서"/>
      <sheetName val="소야공정계획표"/>
      <sheetName val="1.취수장"/>
      <sheetName val="s"/>
      <sheetName val="일위"/>
      <sheetName val="시중노임단가"/>
      <sheetName val="일위대가1"/>
      <sheetName val="종배수관"/>
      <sheetName val="골조"/>
      <sheetName val="항목등록"/>
      <sheetName val="wall"/>
      <sheetName val="Front"/>
      <sheetName val="전신환매도율"/>
      <sheetName val="노임"/>
      <sheetName val="실행내역"/>
      <sheetName val="약품공급2"/>
      <sheetName val="품목"/>
      <sheetName val="품셈표"/>
      <sheetName val="원가계산"/>
      <sheetName val="ABUT수량-A1"/>
      <sheetName val="돈암사업"/>
      <sheetName val="건축원가"/>
      <sheetName val="동원인원"/>
      <sheetName val="공정분류"/>
      <sheetName val="코드표"/>
      <sheetName val="CalcuSheet"/>
      <sheetName val="전체기준Data"/>
      <sheetName val="요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내역서 표지 "/>
      <sheetName val="원가계산서(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입찰안"/>
      <sheetName val="준검 내역서"/>
      <sheetName val="산출내역서"/>
      <sheetName val="내역서"/>
      <sheetName val="실행철강하도"/>
      <sheetName val="차액보증"/>
      <sheetName val="주차구획선수량"/>
      <sheetName val="공사개요"/>
      <sheetName val="갑지"/>
      <sheetName val="자재단가비교표"/>
      <sheetName val="신공항A-9(원가수정)"/>
      <sheetName val="저"/>
      <sheetName val="#REF"/>
      <sheetName val="일위대가"/>
      <sheetName val="개요"/>
      <sheetName val="부대tu"/>
      <sheetName val="서∼군(2)"/>
      <sheetName val="금호"/>
      <sheetName val="A-4"/>
      <sheetName val="내역"/>
      <sheetName val="가도공"/>
      <sheetName val="도급"/>
      <sheetName val="하조서"/>
      <sheetName val="데리네이타현황"/>
      <sheetName val="정부노임단가"/>
      <sheetName val="토적집계"/>
      <sheetName val="변경비교-을"/>
      <sheetName val="재개발"/>
      <sheetName val="45,46"/>
      <sheetName val="한강운반비"/>
      <sheetName val="목차"/>
      <sheetName val="소야공정계획표"/>
      <sheetName val="후다내역"/>
      <sheetName val="노임단가"/>
      <sheetName val="6공구(당초)"/>
      <sheetName val="품의서"/>
      <sheetName val="자재단가"/>
      <sheetName val="공업용수관로"/>
      <sheetName val="기초코드"/>
      <sheetName val="건축내역서"/>
      <sheetName val="단가비교표"/>
      <sheetName val="98NS-N"/>
      <sheetName val="BID"/>
      <sheetName val="SG"/>
      <sheetName val="시공여유율"/>
      <sheetName val="SANTOGO"/>
      <sheetName val="총괄-1"/>
      <sheetName val="단가산출서"/>
      <sheetName val="일위대가표"/>
      <sheetName val="을"/>
      <sheetName val="대로근거"/>
      <sheetName val="입적표"/>
      <sheetName val="DATA"/>
      <sheetName val="일위(토목)"/>
      <sheetName val="중로근거"/>
      <sheetName val="98지급계획"/>
      <sheetName val="시화점실행"/>
      <sheetName val="SP-B1"/>
      <sheetName val="1.수인터널"/>
      <sheetName val="설계예산서"/>
      <sheetName val="실행대비"/>
      <sheetName val="대비"/>
      <sheetName val="기본단가"/>
      <sheetName val="설 계"/>
      <sheetName val="경비"/>
      <sheetName val="흥양2교토공집계표"/>
      <sheetName val="준공조서갑지"/>
      <sheetName val="갑지(추정)"/>
      <sheetName val="토목주소"/>
      <sheetName val="0.0ControlSheet"/>
      <sheetName val="0.1keyAssumption"/>
      <sheetName val="입찰품의서"/>
      <sheetName val="물가시세"/>
      <sheetName val="Total"/>
      <sheetName val="부대내역"/>
      <sheetName val="횡배수관토공수량"/>
      <sheetName val="초기화면"/>
      <sheetName val="위치조서"/>
      <sheetName val="설계"/>
      <sheetName val="낙찰표"/>
      <sheetName val="연결임시"/>
      <sheetName val="보할"/>
      <sheetName val="입력시트"/>
      <sheetName val="2000년1차"/>
      <sheetName val="2.대외공문"/>
      <sheetName val="6PILE  (돌출)"/>
      <sheetName val="특수선일위대가"/>
      <sheetName val="노임"/>
      <sheetName val="AS포장복구 "/>
      <sheetName val="Dae_Jiju"/>
      <sheetName val="Sikje_ingun"/>
      <sheetName val="TREE_D"/>
      <sheetName val="eq_data"/>
      <sheetName val="원형1호맨홀토공수량"/>
      <sheetName val="장비집계"/>
      <sheetName val="지주설치제원"/>
      <sheetName val="결과조달"/>
      <sheetName val="가시설"/>
      <sheetName val="전기공사"/>
      <sheetName val="공통가설"/>
      <sheetName val="단"/>
      <sheetName val="기계내역"/>
      <sheetName val="실행내역서"/>
      <sheetName val="ABUT수량-A1"/>
      <sheetName val="내역(최종본4.5)"/>
      <sheetName val="몰탈재료산출"/>
      <sheetName val="여과지동"/>
      <sheetName val="기초자료"/>
      <sheetName val="일위대가(계측기설치)"/>
      <sheetName val="A-7-1LINE(수량)"/>
      <sheetName val="Sheet1 (2)"/>
      <sheetName val="상-교대(A1-A2)"/>
      <sheetName val="2000년하반기"/>
      <sheetName val="구천"/>
      <sheetName val="대치판정"/>
      <sheetName val="인건-측정"/>
      <sheetName val="토사(PE)"/>
      <sheetName val="3차준공"/>
      <sheetName val="입출재고현황 (2)"/>
      <sheetName val="수문일1"/>
      <sheetName val="배관단가조사서"/>
      <sheetName val="실행내역"/>
      <sheetName val="ELECTRIC"/>
      <sheetName val="기성신청"/>
      <sheetName val="하수급견적대비"/>
      <sheetName val="DATE"/>
      <sheetName val="전신"/>
      <sheetName val="수량조서"/>
      <sheetName val="표지"/>
      <sheetName val="코드표"/>
      <sheetName val="N賃率-職"/>
      <sheetName val="맨홀수량"/>
      <sheetName val="충주"/>
      <sheetName val=" 총괄표"/>
      <sheetName val="건축내역"/>
      <sheetName val="공제구간조서"/>
      <sheetName val="배수통관(좌)"/>
      <sheetName val="공문(신)"/>
      <sheetName val="강교(Sub)"/>
      <sheetName val="현장관리"/>
      <sheetName val="광산내역"/>
      <sheetName val="9GNG운반"/>
      <sheetName val="type-F"/>
      <sheetName val="증감대비"/>
      <sheetName val="간접비"/>
      <sheetName val="원본(갑지)"/>
      <sheetName val="교대(A1)"/>
      <sheetName val="96보완계획7.12"/>
      <sheetName val="s"/>
      <sheetName val="을지"/>
      <sheetName val="조명시설"/>
      <sheetName val="공사비예산서(토목분)"/>
      <sheetName val="수량3"/>
      <sheetName val="토목내역"/>
      <sheetName val="관급"/>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BJJIN"/>
      <sheetName val="직노"/>
      <sheetName val="접속도로1"/>
      <sheetName val="공사비총괄표"/>
      <sheetName val="수로단위수량"/>
      <sheetName val="전체_1설계"/>
      <sheetName val="토공사"/>
      <sheetName val="전기일위대가"/>
      <sheetName val="I一般比"/>
      <sheetName val="자재목록"/>
      <sheetName val="중기목록"/>
      <sheetName val="단가목록"/>
      <sheetName val="일위목록"/>
      <sheetName val="노임목록"/>
      <sheetName val="손익현황"/>
      <sheetName val="현황CODE"/>
      <sheetName val="APT"/>
      <sheetName val="전신환매도율"/>
      <sheetName val="총괄내역서"/>
      <sheetName val="설직재-1"/>
      <sheetName val="6호기"/>
      <sheetName val="수자재단위당"/>
      <sheetName val="4)유동표"/>
      <sheetName val="건축공사"/>
      <sheetName val="4.내진설계"/>
      <sheetName val="수량산출"/>
      <sheetName val="1.취수장"/>
      <sheetName val="TYPE-A"/>
      <sheetName val="토공"/>
      <sheetName val="투찰(하수)"/>
      <sheetName val="설계내역서"/>
      <sheetName val="실행내역서 "/>
      <sheetName val="J直材4"/>
      <sheetName val="관일"/>
      <sheetName val="VXXXXXXX"/>
      <sheetName val="가로등내역서"/>
      <sheetName val="일위대가(가설)"/>
      <sheetName val="물량표"/>
      <sheetName val="공사"/>
      <sheetName val="설계예산"/>
      <sheetName val="wall"/>
      <sheetName val="일위대가(1)"/>
      <sheetName val="부대입찰 내역서"/>
      <sheetName val="EQUIP-H"/>
      <sheetName val="세금자료"/>
      <sheetName val="BSD (2)"/>
      <sheetName val="적용대가"/>
      <sheetName val="인건비 "/>
      <sheetName val="전차선로 물량표"/>
      <sheetName val="자재"/>
      <sheetName val="공통(20-91)"/>
      <sheetName val="단가"/>
      <sheetName val="교각1"/>
      <sheetName val="1_수인터널"/>
      <sheetName val="6PILE__(돌출)"/>
      <sheetName val="2_대외공문"/>
      <sheetName val="설_계"/>
      <sheetName val="AS포장복구_"/>
      <sheetName val="각형맨홀"/>
      <sheetName val="본공사"/>
      <sheetName val="JUCKEYK"/>
      <sheetName val="S0"/>
      <sheetName val="원가계산서"/>
      <sheetName val="설계서"/>
      <sheetName val="예산서"/>
      <sheetName val="총공사비"/>
      <sheetName val="MOTOR"/>
      <sheetName val="산출내역서집계표"/>
      <sheetName val="마산방향"/>
      <sheetName val="진주방향"/>
      <sheetName val="철거산출근거"/>
      <sheetName val="TB-내역서"/>
      <sheetName val="신대방33(적용)"/>
      <sheetName val="단면가정"/>
      <sheetName val="설계조건"/>
      <sheetName val="부재력정리"/>
      <sheetName val="포장단면별단위수량"/>
      <sheetName val="nys"/>
      <sheetName val="제잡비.xls"/>
      <sheetName val="3BL공동구 수량"/>
      <sheetName val="2.고용보험료산출근거"/>
      <sheetName val="노무비"/>
      <sheetName val="2000전체분"/>
      <sheetName val="중기일위대가"/>
      <sheetName val="Front"/>
      <sheetName val="가격조사서"/>
      <sheetName val="최초침전지집계표"/>
      <sheetName val="공종별산출내역서"/>
      <sheetName val="포장공자재집계표"/>
      <sheetName val="DC-O-4-S(설명서)"/>
      <sheetName val="평균터파기고(1-2,ASP)"/>
      <sheetName val="교각계산"/>
      <sheetName val="단가조사"/>
      <sheetName val="골조시행"/>
      <sheetName val="1. 설계조건 2.단면가정 3. 하중계산"/>
      <sheetName val="DATA 입력란"/>
      <sheetName val="CONCRETE"/>
      <sheetName val="건축집계"/>
      <sheetName val="경영상태"/>
      <sheetName val="200"/>
      <sheetName val="경비2내역"/>
      <sheetName val="노원열병합  건축공사기성내역서"/>
      <sheetName val="현장관리비"/>
      <sheetName val="부하(성남)"/>
      <sheetName val="부하계산서"/>
      <sheetName val="집계"/>
      <sheetName val="날개벽(시점좌측)"/>
      <sheetName val="현대물량"/>
      <sheetName val="자재일람"/>
      <sheetName val="전라자금"/>
      <sheetName val="b_yesan"/>
      <sheetName val="COPING"/>
      <sheetName val="INPUT(덕도방향-시점)"/>
      <sheetName val="CPM챠트"/>
      <sheetName val="지우지마"/>
      <sheetName val="토목"/>
      <sheetName val="설계기준"/>
      <sheetName val="내역1"/>
      <sheetName val="프랜트면허"/>
      <sheetName val="토공(우물통,기타) "/>
      <sheetName val="견적서"/>
      <sheetName val="현장별계약현황('98.10.31)"/>
      <sheetName val="구의33고"/>
      <sheetName val="금액내역서"/>
      <sheetName val="STAND20"/>
      <sheetName val="콤보박스와 리스트박스의 연결"/>
      <sheetName val="유형처분"/>
      <sheetName val="원가서"/>
      <sheetName val="자재집계표"/>
      <sheetName val="명단"/>
      <sheetName val="Eq. Mobilization"/>
      <sheetName val="Y-WORK"/>
      <sheetName val="입적6-10"/>
      <sheetName val="공량산출서"/>
      <sheetName val="일위(PN)"/>
      <sheetName val="참조"/>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배수내역"/>
      <sheetName val="팔당터널(1공구)"/>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_REF"/>
      <sheetName val="발주설계서(당초)"/>
      <sheetName val="세부내역"/>
      <sheetName val="Type(123)"/>
      <sheetName val="1.설계조건"/>
      <sheetName val="종단계산"/>
      <sheetName val="견적대비표"/>
      <sheetName val="실행간접비용"/>
      <sheetName val="보고"/>
      <sheetName val="0Title"/>
      <sheetName val="인사자료총집계"/>
      <sheetName val="상세산출"/>
      <sheetName val="횡배수관"/>
      <sheetName val="밸브설치"/>
      <sheetName val="음료실행"/>
      <sheetName val="플랜트 설치"/>
      <sheetName val="시중노임단가"/>
      <sheetName val="적현로"/>
      <sheetName val="날개벽"/>
      <sheetName val="집계표(OPTION)"/>
      <sheetName val="전기단가조사서"/>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국내"/>
      <sheetName val="우석문틀"/>
      <sheetName val="Sheet9"/>
      <sheetName val="CIP 공사"/>
      <sheetName val="재활용 악취_먼지DUCT산출"/>
      <sheetName val="항목지정"/>
      <sheetName val="데이타"/>
      <sheetName val="덕전리"/>
      <sheetName val="앵커구조계산"/>
      <sheetName val="집 계 표"/>
      <sheetName val="마산월령동골조물량변경"/>
      <sheetName val="수목단가"/>
      <sheetName val="시설수량표"/>
      <sheetName val="식재수량표"/>
      <sheetName val="내역서변경성원"/>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입찰보고"/>
      <sheetName val="경상비"/>
      <sheetName val="영업소실적"/>
      <sheetName val="유림골조"/>
      <sheetName val="전기"/>
      <sheetName val="깨기"/>
      <sheetName val="기계경비일람"/>
      <sheetName val="보도경계블럭"/>
      <sheetName val="수토공단위당"/>
      <sheetName val="대우"/>
      <sheetName val="내   역"/>
      <sheetName val="2.교량(신설)"/>
      <sheetName val="CTEMCOST"/>
      <sheetName val="토량1-1"/>
      <sheetName val="코드"/>
      <sheetName val="위생기구"/>
      <sheetName val="기계실냉난방"/>
      <sheetName val="PI"/>
      <sheetName val="울산자금"/>
      <sheetName val="8.PILE  (돌출)"/>
      <sheetName val="機器明細(MC)"/>
      <sheetName val="변경후원본2"/>
      <sheetName val="강북라우터"/>
      <sheetName val="공사분석"/>
      <sheetName val="건집"/>
      <sheetName val="기집"/>
      <sheetName val="토집"/>
      <sheetName val="조집"/>
      <sheetName val="2000년 공정표"/>
      <sheetName val="설내역서 "/>
      <sheetName val="TBN실행"/>
      <sheetName val="지중자재단가"/>
      <sheetName val="샘플표지"/>
      <sheetName val="역T형"/>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부안일위"/>
      <sheetName val="Baby일위대가"/>
      <sheetName val="조건"/>
      <sheetName val="입찰"/>
      <sheetName val="중기가격"/>
      <sheetName val="INPUT"/>
      <sheetName val="간접경상비"/>
      <sheetName val="구단"/>
      <sheetName val="4.장비손료"/>
      <sheetName val="모래기초"/>
      <sheetName val="전체ﾴ엿서"/>
      <sheetName val="구조물터파기수량집계"/>
      <sheetName val="측구터파기공수량집계"/>
      <sheetName val="배수공 시멘트 및 골재량 산출"/>
      <sheetName val="7.PILE  (돌출)"/>
      <sheetName val="예산총괄표"/>
      <sheetName val="재료비"/>
      <sheetName val="대림경상68억"/>
      <sheetName val="1맨AO"/>
      <sheetName val="9-1차이내역"/>
      <sheetName val="간접"/>
      <sheetName val="상수도토공집계표"/>
      <sheetName val="견적을지"/>
      <sheetName val="ITEM"/>
      <sheetName val="공통가설공사"/>
      <sheetName val="구분자"/>
      <sheetName val="작성기준"/>
      <sheetName val="원가계산"/>
      <sheetName val="시운전연료"/>
      <sheetName val="파이프류"/>
      <sheetName val="업무분장"/>
      <sheetName val="1차설계변경내역"/>
      <sheetName val="choose"/>
      <sheetName val="명세서"/>
      <sheetName val="A"/>
      <sheetName val="식재일위"/>
      <sheetName val="남양내역"/>
      <sheetName val="산출금액내역"/>
      <sheetName val="C-노임단가"/>
      <sheetName val="동원(3)"/>
      <sheetName val="BREAKDOWN(철거설치)"/>
      <sheetName val="연부97-1"/>
      <sheetName val="갑지1"/>
      <sheetName val="실행(표지,갑,을)"/>
      <sheetName val="일위대가목차"/>
      <sheetName val="1.본부별"/>
      <sheetName val="sw1"/>
      <sheetName val="소비자가"/>
      <sheetName val="내역서당초"/>
      <sheetName val="000000"/>
      <sheetName val="변경후-SHEET"/>
      <sheetName val="DATA 입력부"/>
      <sheetName val="배수관공"/>
      <sheetName val="측구공"/>
      <sheetName val="1차3회-개소별명세서-빨간색-인쇄용(21873)"/>
      <sheetName val="토목품셈"/>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4_내진설계"/>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Mc1"/>
      <sheetName val="사통"/>
      <sheetName val="본부장"/>
      <sheetName val="현장별"/>
      <sheetName val="기흥하도용"/>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입출재고현황_(2)1"/>
      <sheetName val="0_0ControlSheet1"/>
      <sheetName val="0_1keyAssumption1"/>
      <sheetName val="Sheet1_(2)1"/>
      <sheetName val="내역(최종본4_5)1"/>
      <sheetName val="1.3.1절점좌표"/>
      <sheetName val="1.1설계기준"/>
      <sheetName val="품셈(기초)"/>
      <sheetName val="설계내역"/>
      <sheetName val="48일위"/>
      <sheetName val="49일위"/>
      <sheetName val="22일위"/>
      <sheetName val="바닥판"/>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설계변경내역서"/>
      <sheetName val="마감사양"/>
      <sheetName val="원가"/>
      <sheetName val="총공사내역서"/>
      <sheetName val="간접재료비산출표-27-30"/>
      <sheetName val="맨홀되메우기"/>
      <sheetName val="WORK"/>
      <sheetName val="직공비"/>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2"/>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1"/>
      <sheetName val="10"/>
      <sheetName val="11"/>
      <sheetName val="12"/>
      <sheetName val="13"/>
      <sheetName val="14"/>
      <sheetName val="15"/>
      <sheetName val="16"/>
      <sheetName val="3"/>
      <sheetName val="4"/>
      <sheetName val="5"/>
      <sheetName val="6"/>
      <sheetName val="7"/>
      <sheetName val="8"/>
      <sheetName val="9"/>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2_고용보험료산출근거"/>
      <sheetName val="설내역서_"/>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공통자료"/>
      <sheetName val="말고개터널조명전압강하"/>
      <sheetName val="2000.05"/>
      <sheetName val="가시설(TYPE-A)"/>
      <sheetName val="1-1평균터파기고(1)"/>
      <sheetName val="램머"/>
      <sheetName val="건축토목실행내역"/>
      <sheetName val="96노임기준"/>
      <sheetName val="공문"/>
      <sheetName val="공통부대비"/>
      <sheetName val="CODE"/>
      <sheetName val="교각"/>
      <sheetName val="산출근거(S4)"/>
      <sheetName val="4.경비 5.영업외수지"/>
      <sheetName val="TS"/>
      <sheetName val="지급어음"/>
      <sheetName val="최종보고1"/>
      <sheetName val=" 견적서"/>
      <sheetName val="3월"/>
      <sheetName val="CJE"/>
      <sheetName val="작성"/>
      <sheetName val="1-1호"/>
      <sheetName val="현장일반사항"/>
      <sheetName val="단중"/>
      <sheetName val="NOMUBI"/>
      <sheetName val="벽체면적당일위대가"/>
      <sheetName val="원본"/>
      <sheetName val="아파트-가설"/>
      <sheetName val="10동"/>
      <sheetName val="guard(mac)"/>
      <sheetName val="cable-data"/>
      <sheetName val="노무비산출"/>
      <sheetName val="FI원가_1"/>
      <sheetName val="포장공"/>
      <sheetName val="구조물"/>
      <sheetName val="소소총괄표"/>
      <sheetName val="입찰내역"/>
      <sheetName val="기본DATA"/>
      <sheetName val="기초입력 DATA"/>
      <sheetName val="적용토목"/>
      <sheetName val="식재인부"/>
      <sheetName val="평자재단가"/>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흄관기초"/>
      <sheetName val="database"/>
      <sheetName val="다곡2교"/>
      <sheetName val="부대공자재집계표"/>
      <sheetName val="1안"/>
      <sheetName val="시설물기초"/>
      <sheetName val="내역및원가02"/>
      <sheetName val="부산제일극장"/>
      <sheetName val="수주현황2월"/>
      <sheetName val="전체기준Data"/>
      <sheetName val="SF내역및원가02"/>
      <sheetName val="8)중점관리장비현황"/>
      <sheetName val="돈암사업"/>
      <sheetName val="유림콘도"/>
      <sheetName val="내역총괄"/>
      <sheetName val="내역총괄2"/>
      <sheetName val="내역총괄3"/>
      <sheetName val="편성절차"/>
      <sheetName val="증감분석"/>
      <sheetName val="구조물공"/>
      <sheetName val="부대공"/>
      <sheetName val="2002자금수지계획(진행+신규)"/>
      <sheetName val="2변경1"/>
      <sheetName val="안전시설내역서"/>
      <sheetName val="SUB일위대가"/>
      <sheetName val="배수문"/>
      <sheetName val="EQUIP LIST"/>
      <sheetName val="XL4Poppy"/>
      <sheetName val="내부마감"/>
      <sheetName val="입력"/>
      <sheetName val="단가조사-2"/>
      <sheetName val="VE절감"/>
      <sheetName val="가중치"/>
      <sheetName val="개산공사비"/>
      <sheetName val="예정(3)"/>
      <sheetName val="산출기준(파견전산실)"/>
      <sheetName val="울산자동제어"/>
      <sheetName val="일위_파일"/>
      <sheetName val="일반부표"/>
      <sheetName val="말뚝지지력산정"/>
      <sheetName val="주식"/>
      <sheetName val="1F"/>
      <sheetName val="제거식EA"/>
      <sheetName val="정렬"/>
      <sheetName val="일반수량"/>
      <sheetName val="입력그림"/>
      <sheetName val="정부노임"/>
      <sheetName val="설계명세"/>
      <sheetName val="경비산출"/>
      <sheetName val="학생내역"/>
      <sheetName val="1062-X방향 "/>
      <sheetName val="기기리스트"/>
      <sheetName val="터파기및재료"/>
      <sheetName val="기본사항"/>
      <sheetName val="본사인상전"/>
      <sheetName val="기둥(원형)"/>
      <sheetName val="일반관리비전체분당초변경대비표"/>
      <sheetName val="사용계획"/>
      <sheetName val="지급수수료월별금액산정"/>
      <sheetName val="식재일위대가"/>
      <sheetName val="기초일위대가"/>
      <sheetName val="단가대비표"/>
      <sheetName val="Ⅱ1-0타"/>
      <sheetName val="설비"/>
      <sheetName val="현장관리비데이타"/>
      <sheetName val="공정코드"/>
      <sheetName val="재료"/>
      <sheetName val="현장식당(1)"/>
      <sheetName val="기안"/>
      <sheetName val="전체내역 (2)"/>
      <sheetName val="Hyundai.Unit.cost.xls"/>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TABLE DB"/>
      <sheetName val="쌍용 data base"/>
      <sheetName val="대공종"/>
      <sheetName val="상가지급현황"/>
      <sheetName val="공사수행보고"/>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TYPE1"/>
      <sheetName val="수문보고"/>
      <sheetName val="상행-교대(A1-A2)"/>
      <sheetName val="현금흐름"/>
      <sheetName val="단위수량"/>
      <sheetName val="전계가"/>
      <sheetName val="방송(체육관)"/>
      <sheetName val="도"/>
      <sheetName val="배명(단가)"/>
      <sheetName val="형틀공사"/>
      <sheetName val="입력값"/>
      <sheetName val="설계기준 및 하중계산"/>
      <sheetName val="조명일위"/>
      <sheetName val="NAIL단가산출"/>
      <sheetName val="단양 00 아파트-세부내역"/>
      <sheetName val="대비표"/>
      <sheetName val="빙100장비사양"/>
      <sheetName val="포장수량집계"/>
      <sheetName val="원내역서 그대로"/>
      <sheetName val="(C)원내역"/>
      <sheetName val="b_balju_cho"/>
      <sheetName val="옥외"/>
      <sheetName val="예총"/>
      <sheetName val="ASALTOTA"/>
      <sheetName val="48_x0005__x0000_"/>
      <sheetName val="외주가공"/>
      <sheetName val="손익분석"/>
      <sheetName val="COVER"/>
      <sheetName val="BOJUNGGM"/>
      <sheetName val="01"/>
      <sheetName val="총괄집계 "/>
      <sheetName val="횡날개수집"/>
      <sheetName val="실행"/>
      <sheetName val="영동(D)"/>
      <sheetName val="工완성공사율"/>
      <sheetName val="배수장토목공사비"/>
      <sheetName val="3차토목내역"/>
      <sheetName val="계약서"/>
      <sheetName val="분전반일위대가"/>
      <sheetName val="P_x0005_"/>
      <sheetName val="P嘐"/>
      <sheetName val="정의"/>
      <sheetName val="전도품의"/>
      <sheetName val="strut type"/>
      <sheetName val="2F 회의실견적(5_14 일대)"/>
      <sheetName val="단위수량산출"/>
      <sheetName val="Piping Design Data"/>
      <sheetName val="4 &amp; 10-inch, CO2 Combo &amp; Sweep"/>
      <sheetName val="__MAIN"/>
      <sheetName val="과천MAIN"/>
      <sheetName val="터널조도"/>
      <sheetName val="부하LOAD"/>
      <sheetName val="1호맨홀가감수량"/>
      <sheetName val="ilch"/>
      <sheetName val="물량산출근거"/>
      <sheetName val="L형옹벽"/>
      <sheetName val="포장절단"/>
      <sheetName val="1호맨홀토공"/>
      <sheetName val="Sight n M.H"/>
      <sheetName val="Trend(Agitator)"/>
      <sheetName val="울산시산표"/>
      <sheetName val="암거"/>
      <sheetName val="공정표_1"/>
      <sheetName val="1_설계기준1"/>
      <sheetName val="장비당단가_(1)1"/>
      <sheetName val="Sheet2_(2)1"/>
      <sheetName val="별표_1"/>
      <sheetName val="2_건축1"/>
      <sheetName val="수_량_명_세_서_-_11"/>
      <sheetName val="공정표_"/>
      <sheetName val="장비당단가_(1)"/>
      <sheetName val="Sheet2_(2)"/>
      <sheetName val="별표_"/>
      <sheetName val="2_건축"/>
      <sheetName val="수_량_명_세_서_-_1"/>
      <sheetName val="경비 (1)"/>
      <sheetName val="Sheet14"/>
      <sheetName val="Sheet13"/>
      <sheetName val="DC"/>
      <sheetName val="당진1,2호기전선관설치및접지4차공사내역서-을지"/>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배수공_시멘트_및_골재량_산출"/>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말뚝기초(안정검토)-외측"/>
      <sheetName val="자재co"/>
      <sheetName val="산근"/>
      <sheetName val="UR2-Calculation"/>
      <sheetName val="사진"/>
      <sheetName val="집계표(공종별)"/>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정공공사"/>
      <sheetName val="70%"/>
      <sheetName val="단면설계"/>
      <sheetName val="안정검토"/>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Table"/>
      <sheetName val="교통표지판수량집계표"/>
      <sheetName val="일위대가-01"/>
      <sheetName val="수목데이타 "/>
      <sheetName val="공사비"/>
      <sheetName val="배선(낙차)"/>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단가 및 재료비"/>
      <sheetName val="심사"/>
      <sheetName val="표층포설및다짐"/>
      <sheetName val="옹벽단면치수"/>
      <sheetName val="총수량집계표"/>
      <sheetName val="중기단가"/>
      <sheetName val="소방사항"/>
      <sheetName val="전국현황"/>
      <sheetName val="용집"/>
      <sheetName val="도급내역"/>
      <sheetName val="내역서 (2)"/>
      <sheetName val="한성교회 신축공사(050713)_CheckList"/>
      <sheetName val="ETC"/>
      <sheetName val="토지산출내역"/>
      <sheetName val="현금흐름표"/>
      <sheetName val="07제품별수익성"/>
      <sheetName val="중기일위대밀"/>
      <sheetName val="포장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참조-(1)"/>
      <sheetName val="산근(1)"/>
      <sheetName val="기초단가일람표"/>
      <sheetName val="시가지우회도로공내역서"/>
      <sheetName val="성서방향-교대(A2)"/>
      <sheetName val="15100"/>
      <sheetName val="산출근거#2-3"/>
      <sheetName val="1차설계Ꮗԯ_x0000_"/>
      <sheetName val="1차설계逷≙_xdc00_≙"/>
      <sheetName val="-15.0"/>
      <sheetName val="사  업  비  수  지  예  산  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N賃率-職"/>
      <sheetName val="원가 (2)"/>
      <sheetName val="I一般比"/>
      <sheetName val="일위"/>
      <sheetName val="J直材4"/>
      <sheetName val="#REF"/>
      <sheetName val="N賃率_職"/>
      <sheetName val="신우"/>
      <sheetName val="Sheet2"/>
      <sheetName val="연습"/>
      <sheetName val="중기사용료"/>
      <sheetName val="설직재-1"/>
      <sheetName val="대치판정"/>
      <sheetName val="직노"/>
      <sheetName val="9GNG운반"/>
      <sheetName val="직재"/>
      <sheetName val="Sheet1"/>
      <sheetName val="Sheet3"/>
      <sheetName val="한강운반비"/>
      <sheetName val="Total"/>
      <sheetName val="참조자료"/>
      <sheetName val="TYPE-A"/>
      <sheetName val="K-SET1"/>
      <sheetName val="낙찰표"/>
      <sheetName val="자재단가"/>
      <sheetName val="인건-측정"/>
      <sheetName val="20관리비율"/>
      <sheetName val="심사계산"/>
      <sheetName val="심사물량"/>
      <sheetName val="일위대가"/>
      <sheetName val="HW일위"/>
      <sheetName val="품셈TABLE"/>
      <sheetName val="집계표"/>
      <sheetName val="원본(갑지)"/>
      <sheetName val="기본일위"/>
      <sheetName val="하조서"/>
      <sheetName val="단"/>
      <sheetName val="DATE"/>
      <sheetName val="PANEL_중량산출"/>
      <sheetName val="원가_(2)"/>
      <sheetName val="입찰안"/>
      <sheetName val="유기공정"/>
      <sheetName val="제-노임"/>
      <sheetName val="제직재"/>
      <sheetName val="매출피벗"/>
      <sheetName val="200"/>
      <sheetName val="인건비"/>
      <sheetName val="ABUT수량-A1"/>
      <sheetName val="전신환매도율"/>
      <sheetName val="견적서"/>
      <sheetName val="노임단가"/>
      <sheetName val="부하"/>
      <sheetName val="DB"/>
      <sheetName val="공사개요"/>
      <sheetName val="맨홀"/>
      <sheetName val="단가산출2"/>
      <sheetName val="Sheet22"/>
      <sheetName val="물량산출"/>
      <sheetName val="품셈총괄표"/>
      <sheetName val="1안"/>
      <sheetName val="총괄"/>
      <sheetName val="월별수입"/>
      <sheetName val="1.수인터널"/>
      <sheetName val="현금흐름표"/>
      <sheetName val="소요자재"/>
      <sheetName val="산출내역서"/>
      <sheetName val="6호기"/>
      <sheetName val="토목주소"/>
      <sheetName val="프랜트면허"/>
      <sheetName val="실행"/>
      <sheetName val="코드표"/>
      <sheetName val="인사자료총집계"/>
      <sheetName val="fursys"/>
      <sheetName val="기존단가 (2)"/>
      <sheetName val="금호"/>
      <sheetName val="교통대책내역"/>
      <sheetName val="환율change"/>
      <sheetName val="현금예금"/>
      <sheetName val="일위대가1"/>
      <sheetName val="과천MAIN"/>
      <sheetName val="요율"/>
      <sheetName val="내역"/>
      <sheetName val="갑지(추정)"/>
      <sheetName val="시화점실행"/>
      <sheetName val="내역서변경성원"/>
      <sheetName val="제출견적(을)"/>
      <sheetName val="날개벽수량표"/>
      <sheetName val="외주현황.wq1"/>
      <sheetName val="집계"/>
      <sheetName val="조명시설"/>
      <sheetName val="지하"/>
      <sheetName val="SANTOGO"/>
      <sheetName val="평자재단가"/>
      <sheetName val="도면명"/>
      <sheetName val="실행철강하도"/>
      <sheetName val="G.R300경비"/>
      <sheetName val="공사내역"/>
      <sheetName val="견적계산"/>
      <sheetName val="5.2코핑"/>
      <sheetName val="평3"/>
      <sheetName val="설계내역서"/>
      <sheetName val="내역서1999.8최종"/>
      <sheetName val="단가산출"/>
      <sheetName val="을지"/>
      <sheetName val="일보_생산"/>
      <sheetName val="자재단가표"/>
      <sheetName val="DATA"/>
      <sheetName val="한일양산"/>
      <sheetName val="제출내역 (2)"/>
      <sheetName val="sw1"/>
      <sheetName val="합천내역"/>
      <sheetName val="계수시트"/>
      <sheetName val="원가계산서"/>
      <sheetName val="EQT-ESTN"/>
      <sheetName val="EL90"/>
      <sheetName val="실행내역"/>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9.비기능"/>
      <sheetName val="1-1.클라우드 FP"/>
      <sheetName val="2-1.데이터관리체계 FP"/>
      <sheetName val="3-1.통합 개발환경 FP"/>
      <sheetName val="4-1.지자체 플랫폼 통합 FP"/>
      <sheetName val="5-1.데이터서비스 FP"/>
      <sheetName val="6-1.가시화시뮬 FP"/>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요구사항정의(기능)"/>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
      <sheetName val="총괄표"/>
      <sheetName val="1.클라우드 개발비"/>
      <sheetName val="1-1.클라우드 FP"/>
      <sheetName val="2.데이터관리체계 개발비"/>
      <sheetName val="2-1.데이터관리체계 FP"/>
      <sheetName val="3.통합개발환경 개발비"/>
      <sheetName val="3-1.통합 개발환경 FP"/>
      <sheetName val="4.지자체 플랫폼 통합 개발비"/>
      <sheetName val="4-1.지자체 플랫폼 통합 FP"/>
      <sheetName val="5.데이터서비스 개발비"/>
      <sheetName val="5-1.데이터서비스 FP"/>
      <sheetName val="6.가시화시뮬 개발비"/>
      <sheetName val="6-1.가시화시뮬 FP"/>
      <sheetName val="(참조) SW보정계수"/>
      <sheetName val="(참조) 2022년 적용 SW기술자 평균 임금"/>
      <sheetName val="5. LX플랫폼 기반 통합 리뉴얼"/>
      <sheetName val="5.1 LX플랫폼 기반 재개발 F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vmlDrawing" Target="../drawings/vmlDrawing7.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comments" Target="../comments4.xml"/><Relationship Id="rId4" Type="http://schemas.openxmlformats.org/officeDocument/2006/relationships/vmlDrawing" Target="../drawings/vmlDrawing9.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comments" Target="../comments5.xml"/><Relationship Id="rId4" Type="http://schemas.openxmlformats.org/officeDocument/2006/relationships/vmlDrawing" Target="../drawings/vmlDrawing11.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comments" Target="../comments6.xml"/><Relationship Id="rId4" Type="http://schemas.openxmlformats.org/officeDocument/2006/relationships/vmlDrawing" Target="../drawings/vmlDrawing1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view="pageBreakPreview" topLeftCell="A2" zoomScaleNormal="70" zoomScaleSheetLayoutView="100" workbookViewId="0">
      <selection activeCell="O1" sqref="O1"/>
    </sheetView>
  </sheetViews>
  <sheetFormatPr defaultColWidth="11.42578125" defaultRowHeight="13.5"/>
  <cols>
    <col min="1" max="16384" width="11.42578125" style="393"/>
  </cols>
  <sheetData/>
  <phoneticPr fontId="15" type="noConversion"/>
  <printOptions horizontalCentered="1" verticalCentered="1"/>
  <pageMargins left="0" right="0" top="0" bottom="0" header="0" footer="0"/>
  <pageSetup paperSize="9" scale="92"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view="pageBreakPreview" zoomScale="130" zoomScaleNormal="85" zoomScaleSheetLayoutView="130" workbookViewId="0">
      <pane xSplit="2" ySplit="6" topLeftCell="C7" activePane="bottomRight" state="frozen"/>
      <selection activeCell="Q29" sqref="Q29"/>
      <selection pane="topRight" activeCell="Q29" sqref="Q29"/>
      <selection pane="bottomLeft" activeCell="Q29" sqref="Q29"/>
      <selection pane="bottomRight"/>
    </sheetView>
  </sheetViews>
  <sheetFormatPr defaultColWidth="11.42578125" defaultRowHeight="16.5"/>
  <cols>
    <col min="1" max="1" width="17.5703125" style="396" customWidth="1"/>
    <col min="2" max="2" width="11.28515625" style="396" customWidth="1"/>
    <col min="3" max="3" width="103.28515625" style="396" customWidth="1"/>
    <col min="4" max="4" width="13.85546875" style="396" customWidth="1"/>
    <col min="5" max="16384" width="11.42578125" style="396"/>
  </cols>
  <sheetData>
    <row r="1" spans="1:4" ht="17.25" thickBot="1">
      <c r="A1" s="394" t="s">
        <v>6758</v>
      </c>
      <c r="B1" s="394"/>
      <c r="C1" s="394"/>
      <c r="D1" s="395" t="s">
        <v>5840</v>
      </c>
    </row>
    <row r="2" spans="1:4" ht="9" customHeight="1" thickTop="1">
      <c r="A2" s="397"/>
    </row>
    <row r="3" spans="1:4" ht="8.25" customHeight="1">
      <c r="A3" s="397"/>
    </row>
    <row r="4" spans="1:4" ht="21" customHeight="1">
      <c r="A4" s="555" t="s">
        <v>5841</v>
      </c>
      <c r="B4" s="555"/>
      <c r="C4" s="555"/>
      <c r="D4" s="555"/>
    </row>
    <row r="5" spans="1:4" ht="8.25" customHeight="1">
      <c r="A5" s="398"/>
      <c r="B5" s="398"/>
      <c r="C5" s="398"/>
      <c r="D5" s="398"/>
    </row>
    <row r="6" spans="1:4" s="397" customFormat="1" ht="21" customHeight="1">
      <c r="A6" s="399" t="s">
        <v>5842</v>
      </c>
      <c r="B6" s="399" t="s">
        <v>5843</v>
      </c>
      <c r="C6" s="400" t="s">
        <v>5844</v>
      </c>
      <c r="D6" s="399" t="s">
        <v>0</v>
      </c>
    </row>
    <row r="7" spans="1:4" ht="21" customHeight="1">
      <c r="A7" s="401" t="s">
        <v>871</v>
      </c>
      <c r="B7" s="402">
        <v>1</v>
      </c>
      <c r="C7" s="403" t="s">
        <v>5845</v>
      </c>
      <c r="D7" s="401" t="s">
        <v>872</v>
      </c>
    </row>
    <row r="8" spans="1:4" ht="21" customHeight="1">
      <c r="A8" s="401"/>
      <c r="B8" s="402"/>
      <c r="C8" s="403"/>
      <c r="D8" s="401"/>
    </row>
    <row r="9" spans="1:4" ht="21" customHeight="1">
      <c r="A9" s="401"/>
      <c r="B9" s="402"/>
      <c r="C9" s="403"/>
      <c r="D9" s="401"/>
    </row>
    <row r="10" spans="1:4" ht="21" customHeight="1">
      <c r="A10" s="401"/>
      <c r="B10" s="402"/>
      <c r="C10" s="403"/>
      <c r="D10" s="401"/>
    </row>
    <row r="11" spans="1:4" ht="21" customHeight="1">
      <c r="A11" s="401"/>
      <c r="B11" s="402"/>
      <c r="C11" s="403"/>
      <c r="D11" s="401"/>
    </row>
    <row r="12" spans="1:4" ht="21" customHeight="1">
      <c r="A12" s="401"/>
      <c r="B12" s="402"/>
      <c r="C12" s="403"/>
      <c r="D12" s="401"/>
    </row>
    <row r="13" spans="1:4" ht="21" customHeight="1">
      <c r="A13" s="401"/>
      <c r="B13" s="402"/>
      <c r="C13" s="403"/>
      <c r="D13" s="401"/>
    </row>
    <row r="14" spans="1:4" ht="21" customHeight="1">
      <c r="A14" s="401"/>
      <c r="B14" s="402"/>
      <c r="C14" s="403"/>
      <c r="D14" s="401"/>
    </row>
    <row r="15" spans="1:4" ht="21" customHeight="1">
      <c r="A15" s="401"/>
      <c r="B15" s="402"/>
      <c r="C15" s="403"/>
      <c r="D15" s="401"/>
    </row>
    <row r="16" spans="1:4" ht="21" customHeight="1">
      <c r="A16" s="401"/>
      <c r="B16" s="402"/>
      <c r="C16" s="403"/>
      <c r="D16" s="401"/>
    </row>
    <row r="17" spans="1:4" ht="21" customHeight="1">
      <c r="A17" s="401"/>
      <c r="B17" s="402"/>
      <c r="C17" s="403"/>
      <c r="D17" s="401"/>
    </row>
    <row r="18" spans="1:4" ht="21" customHeight="1">
      <c r="A18" s="401"/>
      <c r="B18" s="402"/>
      <c r="C18" s="403"/>
      <c r="D18" s="401"/>
    </row>
    <row r="19" spans="1:4" ht="21" customHeight="1">
      <c r="A19" s="401"/>
      <c r="B19" s="402"/>
      <c r="C19" s="403"/>
      <c r="D19" s="401"/>
    </row>
    <row r="20" spans="1:4" ht="21" customHeight="1">
      <c r="A20" s="401"/>
      <c r="B20" s="402"/>
      <c r="C20" s="403"/>
      <c r="D20" s="401"/>
    </row>
    <row r="21" spans="1:4" ht="21" customHeight="1">
      <c r="A21" s="401"/>
      <c r="B21" s="402"/>
      <c r="C21" s="403"/>
      <c r="D21" s="401"/>
    </row>
    <row r="22" spans="1:4" ht="21" customHeight="1">
      <c r="A22" s="401"/>
      <c r="B22" s="402"/>
      <c r="C22" s="403"/>
      <c r="D22" s="401"/>
    </row>
  </sheetData>
  <mergeCells count="1">
    <mergeCell ref="A4:D4"/>
  </mergeCells>
  <phoneticPr fontId="15" type="noConversion"/>
  <printOptions horizontalCentered="1" verticalCentered="1"/>
  <pageMargins left="0" right="0" top="0" bottom="0" header="0" footer="0"/>
  <pageSetup paperSize="9" fitToHeight="100" orientation="landscape"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sheetPr>
  <dimension ref="A1:AA40"/>
  <sheetViews>
    <sheetView zoomScale="70" zoomScaleNormal="70" zoomScaleSheetLayoutView="85" workbookViewId="0">
      <pane xSplit="1" ySplit="6" topLeftCell="B7" activePane="bottomRight" state="frozen"/>
      <selection activeCell="E27" sqref="E27"/>
      <selection pane="topRight" activeCell="E27" sqref="E27"/>
      <selection pane="bottomLeft" activeCell="E27" sqref="E27"/>
      <selection pane="bottomRight" activeCell="V8" sqref="V8:X8"/>
    </sheetView>
  </sheetViews>
  <sheetFormatPr defaultColWidth="9.140625" defaultRowHeight="13.5"/>
  <cols>
    <col min="1" max="1" width="5.42578125" style="5" customWidth="1"/>
    <col min="2" max="2" width="10.85546875" style="4" customWidth="1"/>
    <col min="3" max="3" width="24.42578125" style="4" bestFit="1" customWidth="1"/>
    <col min="4" max="4" width="35.7109375" style="22" customWidth="1"/>
    <col min="5" max="5" width="59.140625" style="16" hidden="1" customWidth="1"/>
    <col min="6" max="6" width="12" style="5" hidden="1" customWidth="1"/>
    <col min="7" max="7" width="7.7109375" style="5" hidden="1" customWidth="1"/>
    <col min="8" max="8" width="10" style="10" hidden="1" customWidth="1"/>
    <col min="9" max="9" width="15.42578125" style="5" hidden="1" customWidth="1"/>
    <col min="10" max="10" width="56.85546875" style="5" hidden="1" customWidth="1"/>
    <col min="11" max="11" width="27.7109375" style="5" bestFit="1" customWidth="1"/>
    <col min="12" max="12" width="17.85546875" style="10" customWidth="1"/>
    <col min="13" max="13" width="15.42578125" style="5" customWidth="1"/>
    <col min="14" max="14" width="25.7109375" style="10" customWidth="1"/>
    <col min="15" max="15" width="13.7109375" style="5" bestFit="1" customWidth="1"/>
    <col min="16" max="16" width="66.28515625" style="10" customWidth="1"/>
    <col min="17" max="17" width="21.85546875" style="17" customWidth="1"/>
    <col min="18" max="19" width="8.28515625" style="17" customWidth="1"/>
    <col min="20" max="20" width="8.28515625" style="12" customWidth="1"/>
    <col min="21" max="21" width="12.85546875" style="17" customWidth="1"/>
    <col min="22" max="22" width="12.28515625" style="13" customWidth="1"/>
    <col min="23" max="23" width="14.85546875" style="13" customWidth="1"/>
    <col min="24" max="24" width="19" style="13" customWidth="1"/>
    <col min="25" max="25" width="22.28515625" style="19" customWidth="1"/>
    <col min="26" max="16384" width="9.140625" style="3"/>
  </cols>
  <sheetData>
    <row r="1" spans="1:27" s="2" customFormat="1" ht="15" customHeight="1">
      <c r="A1" s="6"/>
      <c r="B1" s="18"/>
      <c r="C1" s="34"/>
      <c r="D1" s="24"/>
      <c r="E1" s="14"/>
      <c r="F1" s="25"/>
      <c r="G1" s="25"/>
      <c r="H1" s="8"/>
      <c r="I1" s="25"/>
      <c r="J1" s="25"/>
      <c r="K1" s="25"/>
      <c r="L1" s="8"/>
      <c r="M1" s="25"/>
      <c r="N1" s="8"/>
      <c r="O1" s="25"/>
      <c r="P1" s="24"/>
      <c r="Q1" s="6"/>
      <c r="R1" s="6"/>
      <c r="S1" s="6"/>
      <c r="T1" s="21"/>
      <c r="U1" s="6"/>
      <c r="Y1" s="7" t="e">
        <f>프로젝트명</f>
        <v>#REF!</v>
      </c>
    </row>
    <row r="2" spans="1:27" s="2" customFormat="1" ht="15" customHeight="1">
      <c r="A2" s="6"/>
      <c r="B2" s="18"/>
      <c r="C2" s="34"/>
      <c r="D2" s="24"/>
      <c r="E2" s="14"/>
      <c r="F2" s="25"/>
      <c r="G2" s="25"/>
      <c r="H2" s="8"/>
      <c r="I2" s="25"/>
      <c r="J2" s="25"/>
      <c r="K2" s="25"/>
      <c r="L2" s="8"/>
      <c r="M2" s="25"/>
      <c r="N2" s="8"/>
      <c r="O2" s="25"/>
      <c r="P2" s="24"/>
      <c r="Q2" s="6"/>
      <c r="R2" s="6"/>
      <c r="S2" s="6"/>
      <c r="T2" s="21"/>
      <c r="U2" s="6"/>
      <c r="Y2" s="7" t="s">
        <v>549</v>
      </c>
    </row>
    <row r="3" spans="1:27" s="2" customFormat="1" ht="8.25" customHeight="1">
      <c r="A3" s="6"/>
      <c r="B3" s="18"/>
      <c r="C3" s="34"/>
      <c r="D3" s="24"/>
      <c r="E3" s="14"/>
      <c r="F3" s="25"/>
      <c r="G3" s="25"/>
      <c r="H3" s="8"/>
      <c r="I3" s="25"/>
      <c r="J3" s="25"/>
      <c r="K3" s="25"/>
      <c r="L3" s="8"/>
      <c r="M3" s="25"/>
      <c r="N3" s="8"/>
      <c r="O3" s="25"/>
      <c r="P3" s="24"/>
      <c r="Q3" s="6"/>
      <c r="R3" s="6"/>
      <c r="S3" s="6"/>
      <c r="T3" s="6"/>
      <c r="U3" s="6"/>
    </row>
    <row r="4" spans="1:27">
      <c r="E4" s="15"/>
      <c r="F4" s="26"/>
      <c r="G4" s="26"/>
      <c r="H4" s="9"/>
      <c r="I4" s="26"/>
      <c r="J4" s="26"/>
      <c r="K4" s="26"/>
      <c r="L4" s="9"/>
      <c r="M4" s="26"/>
      <c r="N4" s="9"/>
      <c r="O4" s="26"/>
      <c r="S4" s="20"/>
      <c r="T4" s="11"/>
    </row>
    <row r="5" spans="1:27" s="17" customFormat="1" ht="46.5" customHeight="1">
      <c r="B5" s="563" t="s">
        <v>13</v>
      </c>
      <c r="C5" s="563" t="s">
        <v>2</v>
      </c>
      <c r="D5" s="563" t="s">
        <v>15</v>
      </c>
      <c r="E5" s="564" t="s">
        <v>21</v>
      </c>
      <c r="F5" s="562" t="s">
        <v>14</v>
      </c>
      <c r="G5" s="562"/>
      <c r="H5" s="562"/>
      <c r="I5" s="562"/>
      <c r="J5" s="562"/>
      <c r="K5" s="562"/>
      <c r="L5" s="562"/>
      <c r="M5" s="562"/>
      <c r="N5" s="562"/>
      <c r="O5" s="562"/>
      <c r="P5" s="563" t="s">
        <v>548</v>
      </c>
      <c r="Q5" s="563" t="s">
        <v>6</v>
      </c>
      <c r="R5" s="563" t="s">
        <v>4</v>
      </c>
      <c r="S5" s="563" t="s">
        <v>18</v>
      </c>
      <c r="T5" s="563" t="s">
        <v>3</v>
      </c>
      <c r="U5" s="563" t="s">
        <v>7</v>
      </c>
      <c r="V5" s="563" t="s">
        <v>19</v>
      </c>
      <c r="W5" s="563"/>
      <c r="X5" s="563"/>
      <c r="Y5" s="563"/>
    </row>
    <row r="6" spans="1:27" s="27" customFormat="1" ht="28.5" customHeight="1">
      <c r="B6" s="563"/>
      <c r="C6" s="563"/>
      <c r="D6" s="563"/>
      <c r="E6" s="564"/>
      <c r="F6" s="28" t="s">
        <v>8</v>
      </c>
      <c r="G6" s="28" t="s">
        <v>11</v>
      </c>
      <c r="H6" s="28" t="s">
        <v>12</v>
      </c>
      <c r="I6" s="29" t="s">
        <v>17</v>
      </c>
      <c r="J6" s="29" t="s">
        <v>1131</v>
      </c>
      <c r="K6" s="29" t="s">
        <v>1130</v>
      </c>
      <c r="L6" s="29" t="s">
        <v>458</v>
      </c>
      <c r="M6" s="29" t="s">
        <v>457</v>
      </c>
      <c r="N6" s="29" t="s">
        <v>20</v>
      </c>
      <c r="O6" s="28" t="s">
        <v>457</v>
      </c>
      <c r="P6" s="563"/>
      <c r="Q6" s="563"/>
      <c r="R6" s="563"/>
      <c r="S6" s="563"/>
      <c r="T6" s="563"/>
      <c r="U6" s="563"/>
      <c r="V6" s="341" t="s">
        <v>5247</v>
      </c>
      <c r="W6" s="341" t="s">
        <v>5249</v>
      </c>
      <c r="X6" s="341" t="s">
        <v>5248</v>
      </c>
      <c r="Y6" s="341" t="s">
        <v>9</v>
      </c>
    </row>
    <row r="7" spans="1:27" s="27" customFormat="1" ht="66">
      <c r="A7" s="51">
        <v>1</v>
      </c>
      <c r="B7" s="300" t="s">
        <v>4303</v>
      </c>
      <c r="C7" s="381" t="s">
        <v>873</v>
      </c>
      <c r="D7" s="430" t="s">
        <v>4586</v>
      </c>
      <c r="E7" s="302" t="s">
        <v>4304</v>
      </c>
      <c r="F7" s="337" t="s">
        <v>4303</v>
      </c>
      <c r="G7" s="337">
        <v>15</v>
      </c>
      <c r="H7" s="319"/>
      <c r="I7" s="318"/>
      <c r="J7" s="345"/>
      <c r="K7" s="345"/>
      <c r="L7" s="337" t="s">
        <v>4978</v>
      </c>
      <c r="M7" s="337" t="s">
        <v>466</v>
      </c>
      <c r="N7" s="338" t="s">
        <v>4305</v>
      </c>
      <c r="O7" s="340" t="s">
        <v>623</v>
      </c>
      <c r="P7" s="336" t="s">
        <v>4306</v>
      </c>
      <c r="Q7" s="318"/>
      <c r="R7" s="38" t="s">
        <v>5256</v>
      </c>
      <c r="S7" s="335" t="s">
        <v>4388</v>
      </c>
      <c r="T7" s="300" t="s">
        <v>4307</v>
      </c>
      <c r="U7" s="335" t="s">
        <v>4389</v>
      </c>
      <c r="V7" s="345" t="s">
        <v>5267</v>
      </c>
      <c r="W7" s="345"/>
      <c r="X7" s="346" t="s">
        <v>5257</v>
      </c>
      <c r="Y7" s="345" t="s">
        <v>5258</v>
      </c>
    </row>
    <row r="8" spans="1:27" s="23" customFormat="1" ht="82.5">
      <c r="A8" s="51">
        <v>2</v>
      </c>
      <c r="B8" s="300" t="s">
        <v>4303</v>
      </c>
      <c r="C8" s="382" t="s">
        <v>874</v>
      </c>
      <c r="D8" s="343" t="s">
        <v>4587</v>
      </c>
      <c r="E8" s="302" t="s">
        <v>4308</v>
      </c>
      <c r="F8" s="303" t="s">
        <v>4303</v>
      </c>
      <c r="G8" s="303">
        <v>15</v>
      </c>
      <c r="H8" s="299"/>
      <c r="I8" s="300"/>
      <c r="J8" s="346"/>
      <c r="K8" s="346"/>
      <c r="L8" s="337" t="s">
        <v>4978</v>
      </c>
      <c r="M8" s="303" t="s">
        <v>466</v>
      </c>
      <c r="N8" s="301" t="s">
        <v>4305</v>
      </c>
      <c r="O8" s="304" t="s">
        <v>623</v>
      </c>
      <c r="P8" s="336" t="s">
        <v>4309</v>
      </c>
      <c r="Q8" s="300"/>
      <c r="R8" s="38" t="s">
        <v>5256</v>
      </c>
      <c r="S8" s="335" t="s">
        <v>4388</v>
      </c>
      <c r="T8" s="300" t="s">
        <v>4307</v>
      </c>
      <c r="U8" s="335" t="s">
        <v>4390</v>
      </c>
      <c r="V8" s="345" t="s">
        <v>5267</v>
      </c>
      <c r="W8" s="346"/>
      <c r="X8" s="346" t="s">
        <v>5257</v>
      </c>
      <c r="Y8" s="346"/>
      <c r="Z8" s="27"/>
      <c r="AA8" s="27"/>
    </row>
    <row r="9" spans="1:27" s="23" customFormat="1" ht="49.5">
      <c r="A9" s="51">
        <v>3</v>
      </c>
      <c r="B9" s="300" t="s">
        <v>4303</v>
      </c>
      <c r="C9" s="382" t="s">
        <v>875</v>
      </c>
      <c r="D9" s="343" t="s">
        <v>4588</v>
      </c>
      <c r="E9" s="302" t="s">
        <v>4310</v>
      </c>
      <c r="F9" s="303" t="s">
        <v>4303</v>
      </c>
      <c r="G9" s="303">
        <v>15</v>
      </c>
      <c r="H9" s="299"/>
      <c r="I9" s="300"/>
      <c r="J9" s="346"/>
      <c r="K9" s="346"/>
      <c r="L9" s="337" t="s">
        <v>4978</v>
      </c>
      <c r="M9" s="303" t="s">
        <v>466</v>
      </c>
      <c r="N9" s="301" t="s">
        <v>4305</v>
      </c>
      <c r="O9" s="304" t="s">
        <v>623</v>
      </c>
      <c r="P9" s="299" t="s">
        <v>550</v>
      </c>
      <c r="Q9" s="300"/>
      <c r="R9" s="38" t="s">
        <v>5256</v>
      </c>
      <c r="S9" s="335" t="s">
        <v>4388</v>
      </c>
      <c r="T9" s="300" t="s">
        <v>4307</v>
      </c>
      <c r="U9" s="335" t="s">
        <v>4391</v>
      </c>
      <c r="V9" s="345" t="s">
        <v>5267</v>
      </c>
      <c r="W9" s="346"/>
      <c r="X9" s="346" t="s">
        <v>5257</v>
      </c>
      <c r="Y9" s="346"/>
      <c r="Z9" s="27"/>
      <c r="AA9" s="27"/>
    </row>
    <row r="10" spans="1:27" s="23" customFormat="1" ht="33">
      <c r="A10" s="51">
        <v>4</v>
      </c>
      <c r="B10" s="300" t="s">
        <v>4303</v>
      </c>
      <c r="C10" s="382" t="s">
        <v>876</v>
      </c>
      <c r="D10" s="344" t="s">
        <v>4589</v>
      </c>
      <c r="E10" s="305" t="s">
        <v>4311</v>
      </c>
      <c r="F10" s="300" t="s">
        <v>4303</v>
      </c>
      <c r="G10" s="303">
        <v>15</v>
      </c>
      <c r="H10" s="299"/>
      <c r="I10" s="300"/>
      <c r="J10" s="346"/>
      <c r="K10" s="346"/>
      <c r="L10" s="337" t="s">
        <v>4978</v>
      </c>
      <c r="M10" s="300" t="s">
        <v>466</v>
      </c>
      <c r="N10" s="299" t="s">
        <v>4305</v>
      </c>
      <c r="O10" s="306" t="s">
        <v>623</v>
      </c>
      <c r="P10" s="299" t="s">
        <v>551</v>
      </c>
      <c r="Q10" s="300"/>
      <c r="R10" s="38" t="s">
        <v>5256</v>
      </c>
      <c r="S10" s="335" t="s">
        <v>4392</v>
      </c>
      <c r="T10" s="335" t="s">
        <v>4307</v>
      </c>
      <c r="U10" s="335" t="s">
        <v>4393</v>
      </c>
      <c r="V10" s="345" t="s">
        <v>5267</v>
      </c>
      <c r="W10" s="346"/>
      <c r="X10" s="346" t="s">
        <v>5257</v>
      </c>
      <c r="Y10" s="346"/>
      <c r="Z10" s="27"/>
      <c r="AA10" s="27"/>
    </row>
    <row r="11" spans="1:27" s="23" customFormat="1" ht="49.5">
      <c r="A11" s="51">
        <v>5</v>
      </c>
      <c r="B11" s="300" t="s">
        <v>4303</v>
      </c>
      <c r="C11" s="382" t="s">
        <v>877</v>
      </c>
      <c r="D11" s="301" t="s">
        <v>529</v>
      </c>
      <c r="E11" s="302" t="s">
        <v>4312</v>
      </c>
      <c r="F11" s="303" t="s">
        <v>4303</v>
      </c>
      <c r="G11" s="303">
        <v>15</v>
      </c>
      <c r="H11" s="299"/>
      <c r="I11" s="300"/>
      <c r="J11" s="346"/>
      <c r="K11" s="346"/>
      <c r="L11" s="337" t="s">
        <v>4978</v>
      </c>
      <c r="M11" s="303" t="s">
        <v>466</v>
      </c>
      <c r="N11" s="301" t="s">
        <v>4305</v>
      </c>
      <c r="O11" s="304" t="s">
        <v>623</v>
      </c>
      <c r="P11" s="336" t="s">
        <v>4313</v>
      </c>
      <c r="Q11" s="300"/>
      <c r="R11" s="38" t="s">
        <v>5256</v>
      </c>
      <c r="S11" s="335" t="s">
        <v>4388</v>
      </c>
      <c r="T11" s="300" t="s">
        <v>4307</v>
      </c>
      <c r="U11" s="335" t="s">
        <v>4389</v>
      </c>
      <c r="V11" s="345" t="s">
        <v>5267</v>
      </c>
      <c r="W11" s="346"/>
      <c r="X11" s="346" t="s">
        <v>5257</v>
      </c>
      <c r="Y11" s="346"/>
      <c r="Z11" s="27"/>
      <c r="AA11" s="27"/>
    </row>
    <row r="12" spans="1:27" s="23" customFormat="1" ht="49.5">
      <c r="A12" s="51">
        <v>6</v>
      </c>
      <c r="B12" s="300" t="s">
        <v>4303</v>
      </c>
      <c r="C12" s="382" t="s">
        <v>878</v>
      </c>
      <c r="D12" s="344" t="s">
        <v>4590</v>
      </c>
      <c r="E12" s="336" t="s">
        <v>4314</v>
      </c>
      <c r="F12" s="300" t="s">
        <v>4303</v>
      </c>
      <c r="G12" s="303">
        <v>15</v>
      </c>
      <c r="H12" s="299"/>
      <c r="I12" s="300"/>
      <c r="J12" s="346"/>
      <c r="K12" s="346"/>
      <c r="L12" s="337" t="s">
        <v>4978</v>
      </c>
      <c r="M12" s="300" t="s">
        <v>466</v>
      </c>
      <c r="N12" s="299" t="s">
        <v>4305</v>
      </c>
      <c r="O12" s="306" t="s">
        <v>623</v>
      </c>
      <c r="P12" s="37" t="s">
        <v>4315</v>
      </c>
      <c r="Q12" s="300"/>
      <c r="R12" s="38" t="s">
        <v>5256</v>
      </c>
      <c r="S12" s="335" t="s">
        <v>4392</v>
      </c>
      <c r="T12" s="335" t="s">
        <v>4307</v>
      </c>
      <c r="U12" s="335" t="s">
        <v>4393</v>
      </c>
      <c r="V12" s="345" t="s">
        <v>5267</v>
      </c>
      <c r="W12" s="346"/>
      <c r="X12" s="346" t="s">
        <v>5257</v>
      </c>
      <c r="Y12" s="346"/>
      <c r="Z12" s="27"/>
      <c r="AA12" s="27"/>
    </row>
    <row r="13" spans="1:27" s="23" customFormat="1" ht="49.5">
      <c r="A13" s="51">
        <v>7</v>
      </c>
      <c r="B13" s="300" t="s">
        <v>4303</v>
      </c>
      <c r="C13" s="382" t="s">
        <v>879</v>
      </c>
      <c r="D13" s="299" t="s">
        <v>530</v>
      </c>
      <c r="E13" s="336" t="s">
        <v>4316</v>
      </c>
      <c r="F13" s="300" t="s">
        <v>4303</v>
      </c>
      <c r="G13" s="303">
        <v>15</v>
      </c>
      <c r="H13" s="299"/>
      <c r="I13" s="300"/>
      <c r="J13" s="346"/>
      <c r="K13" s="346"/>
      <c r="L13" s="337" t="s">
        <v>4978</v>
      </c>
      <c r="M13" s="300" t="s">
        <v>466</v>
      </c>
      <c r="N13" s="299" t="s">
        <v>4305</v>
      </c>
      <c r="O13" s="306" t="s">
        <v>623</v>
      </c>
      <c r="P13" s="37" t="s">
        <v>4317</v>
      </c>
      <c r="Q13" s="300"/>
      <c r="R13" s="38" t="s">
        <v>5256</v>
      </c>
      <c r="S13" s="335" t="s">
        <v>4392</v>
      </c>
      <c r="T13" s="335" t="s">
        <v>4307</v>
      </c>
      <c r="U13" s="335" t="s">
        <v>4393</v>
      </c>
      <c r="V13" s="345" t="s">
        <v>5267</v>
      </c>
      <c r="W13" s="346"/>
      <c r="X13" s="346" t="s">
        <v>5257</v>
      </c>
      <c r="Y13" s="346"/>
      <c r="Z13" s="27"/>
      <c r="AA13" s="27"/>
    </row>
    <row r="14" spans="1:27" s="23" customFormat="1" ht="99">
      <c r="A14" s="51">
        <v>8</v>
      </c>
      <c r="B14" s="300" t="s">
        <v>4303</v>
      </c>
      <c r="C14" s="382" t="s">
        <v>880</v>
      </c>
      <c r="D14" s="344" t="s">
        <v>4591</v>
      </c>
      <c r="E14" s="305" t="s">
        <v>4318</v>
      </c>
      <c r="F14" s="300" t="s">
        <v>4303</v>
      </c>
      <c r="G14" s="300">
        <v>15</v>
      </c>
      <c r="H14" s="299"/>
      <c r="I14" s="300"/>
      <c r="J14" s="346"/>
      <c r="K14" s="346"/>
      <c r="L14" s="337" t="s">
        <v>4978</v>
      </c>
      <c r="M14" s="303" t="s">
        <v>466</v>
      </c>
      <c r="N14" s="299" t="s">
        <v>4305</v>
      </c>
      <c r="O14" s="306" t="s">
        <v>623</v>
      </c>
      <c r="P14" s="37" t="s">
        <v>4319</v>
      </c>
      <c r="Q14" s="300"/>
      <c r="R14" s="38" t="s">
        <v>5256</v>
      </c>
      <c r="S14" s="335" t="s">
        <v>4388</v>
      </c>
      <c r="T14" s="335" t="s">
        <v>4307</v>
      </c>
      <c r="U14" s="335" t="s">
        <v>4389</v>
      </c>
      <c r="V14" s="345" t="s">
        <v>5267</v>
      </c>
      <c r="W14" s="346"/>
      <c r="X14" s="346" t="s">
        <v>5257</v>
      </c>
      <c r="Y14" s="346"/>
      <c r="Z14" s="27"/>
      <c r="AA14" s="27"/>
    </row>
    <row r="15" spans="1:27" s="23" customFormat="1" ht="49.5">
      <c r="A15" s="51">
        <v>9</v>
      </c>
      <c r="B15" s="300" t="s">
        <v>4303</v>
      </c>
      <c r="C15" s="382" t="s">
        <v>881</v>
      </c>
      <c r="D15" s="344" t="s">
        <v>4592</v>
      </c>
      <c r="E15" s="305" t="s">
        <v>4320</v>
      </c>
      <c r="F15" s="300" t="s">
        <v>4303</v>
      </c>
      <c r="G15" s="300">
        <v>15</v>
      </c>
      <c r="H15" s="299"/>
      <c r="I15" s="300"/>
      <c r="J15" s="346"/>
      <c r="K15" s="346"/>
      <c r="L15" s="337" t="s">
        <v>4978</v>
      </c>
      <c r="M15" s="303" t="s">
        <v>466</v>
      </c>
      <c r="N15" s="299" t="s">
        <v>4305</v>
      </c>
      <c r="O15" s="306" t="s">
        <v>623</v>
      </c>
      <c r="P15" s="37" t="s">
        <v>4321</v>
      </c>
      <c r="Q15" s="300"/>
      <c r="R15" s="38" t="s">
        <v>5256</v>
      </c>
      <c r="S15" s="335" t="s">
        <v>4388</v>
      </c>
      <c r="T15" s="335" t="s">
        <v>23</v>
      </c>
      <c r="U15" s="335" t="s">
        <v>4389</v>
      </c>
      <c r="V15" s="345" t="s">
        <v>5267</v>
      </c>
      <c r="W15" s="346"/>
      <c r="X15" s="346" t="s">
        <v>5257</v>
      </c>
      <c r="Y15" s="346"/>
      <c r="Z15" s="27"/>
      <c r="AA15" s="27"/>
    </row>
    <row r="16" spans="1:27" s="23" customFormat="1" ht="49.5">
      <c r="A16" s="51">
        <v>10</v>
      </c>
      <c r="B16" s="300" t="s">
        <v>4303</v>
      </c>
      <c r="C16" s="382" t="s">
        <v>882</v>
      </c>
      <c r="D16" s="344" t="s">
        <v>4593</v>
      </c>
      <c r="E16" s="305" t="s">
        <v>4322</v>
      </c>
      <c r="F16" s="300" t="s">
        <v>4303</v>
      </c>
      <c r="G16" s="300">
        <v>15</v>
      </c>
      <c r="H16" s="299"/>
      <c r="I16" s="300"/>
      <c r="J16" s="346"/>
      <c r="K16" s="346"/>
      <c r="L16" s="337" t="s">
        <v>4978</v>
      </c>
      <c r="M16" s="303" t="s">
        <v>466</v>
      </c>
      <c r="N16" s="299" t="s">
        <v>4305</v>
      </c>
      <c r="O16" s="306" t="s">
        <v>623</v>
      </c>
      <c r="P16" s="37" t="s">
        <v>4323</v>
      </c>
      <c r="Q16" s="300"/>
      <c r="R16" s="38" t="s">
        <v>5256</v>
      </c>
      <c r="S16" s="335" t="s">
        <v>4388</v>
      </c>
      <c r="T16" s="335" t="s">
        <v>4324</v>
      </c>
      <c r="U16" s="335" t="s">
        <v>4389</v>
      </c>
      <c r="V16" s="345" t="s">
        <v>5267</v>
      </c>
      <c r="W16" s="346"/>
      <c r="X16" s="346" t="s">
        <v>5257</v>
      </c>
      <c r="Y16" s="346"/>
      <c r="Z16" s="27"/>
      <c r="AA16" s="27"/>
    </row>
    <row r="17" spans="1:27" s="23" customFormat="1" ht="49.5">
      <c r="A17" s="51"/>
      <c r="B17" s="300" t="s">
        <v>4303</v>
      </c>
      <c r="C17" s="382" t="s">
        <v>883</v>
      </c>
      <c r="D17" s="357" t="s">
        <v>4325</v>
      </c>
      <c r="E17" s="357" t="s">
        <v>4325</v>
      </c>
      <c r="F17" s="300"/>
      <c r="G17" s="300"/>
      <c r="H17" s="358" t="s">
        <v>4326</v>
      </c>
      <c r="I17" s="359" t="s">
        <v>4327</v>
      </c>
      <c r="J17" s="346"/>
      <c r="K17" s="346"/>
      <c r="L17" s="364"/>
      <c r="M17" s="364"/>
      <c r="N17" s="301"/>
      <c r="O17" s="303"/>
      <c r="P17" s="357" t="s">
        <v>4325</v>
      </c>
      <c r="Q17" s="303"/>
      <c r="R17" s="38" t="s">
        <v>5256</v>
      </c>
      <c r="S17" s="303"/>
      <c r="T17" s="303"/>
      <c r="U17" s="339"/>
      <c r="V17" s="345" t="s">
        <v>5267</v>
      </c>
      <c r="W17" s="339"/>
      <c r="X17" s="346" t="s">
        <v>5257</v>
      </c>
      <c r="Y17" s="339"/>
      <c r="Z17" s="27"/>
      <c r="AA17" s="27"/>
    </row>
    <row r="18" spans="1:27" s="23" customFormat="1" ht="82.5">
      <c r="A18" s="51">
        <v>11</v>
      </c>
      <c r="B18" s="38" t="s">
        <v>422</v>
      </c>
      <c r="C18" s="380" t="s">
        <v>884</v>
      </c>
      <c r="D18" s="295" t="s">
        <v>4328</v>
      </c>
      <c r="E18" s="37" t="s">
        <v>4329</v>
      </c>
      <c r="F18" s="38" t="s">
        <v>422</v>
      </c>
      <c r="G18" s="296" t="s">
        <v>4330</v>
      </c>
      <c r="H18" s="295"/>
      <c r="I18" s="38"/>
      <c r="J18" s="346"/>
      <c r="K18" s="346"/>
      <c r="L18" s="38" t="s">
        <v>4979</v>
      </c>
      <c r="M18" s="38" t="s">
        <v>4331</v>
      </c>
      <c r="N18" s="297" t="s">
        <v>4332</v>
      </c>
      <c r="O18" s="32" t="s">
        <v>624</v>
      </c>
      <c r="P18" s="37" t="s">
        <v>4333</v>
      </c>
      <c r="Q18" s="38"/>
      <c r="R18" s="38" t="s">
        <v>5256</v>
      </c>
      <c r="S18" s="335" t="s">
        <v>4388</v>
      </c>
      <c r="T18" s="38" t="s">
        <v>4307</v>
      </c>
      <c r="U18" s="335" t="s">
        <v>4389</v>
      </c>
      <c r="V18" s="345" t="s">
        <v>5267</v>
      </c>
      <c r="W18" s="346"/>
      <c r="X18" s="346" t="s">
        <v>5257</v>
      </c>
      <c r="Y18" s="346"/>
      <c r="Z18" s="27"/>
      <c r="AA18" s="27"/>
    </row>
    <row r="19" spans="1:27" s="23" customFormat="1" ht="66">
      <c r="A19" s="51">
        <v>12</v>
      </c>
      <c r="B19" s="38" t="s">
        <v>422</v>
      </c>
      <c r="C19" s="380" t="s">
        <v>885</v>
      </c>
      <c r="D19" s="295" t="s">
        <v>4594</v>
      </c>
      <c r="E19" s="37" t="s">
        <v>4334</v>
      </c>
      <c r="F19" s="38" t="s">
        <v>422</v>
      </c>
      <c r="G19" s="296" t="s">
        <v>4330</v>
      </c>
      <c r="H19" s="295"/>
      <c r="I19" s="38"/>
      <c r="J19" s="346"/>
      <c r="K19" s="346"/>
      <c r="L19" s="38" t="s">
        <v>4979</v>
      </c>
      <c r="M19" s="38" t="s">
        <v>4331</v>
      </c>
      <c r="N19" s="297" t="s">
        <v>4332</v>
      </c>
      <c r="O19" s="32" t="s">
        <v>624</v>
      </c>
      <c r="P19" s="37" t="s">
        <v>4335</v>
      </c>
      <c r="Q19" s="38"/>
      <c r="R19" s="38" t="s">
        <v>5256</v>
      </c>
      <c r="S19" s="335" t="s">
        <v>4388</v>
      </c>
      <c r="T19" s="38" t="s">
        <v>4307</v>
      </c>
      <c r="U19" s="335" t="s">
        <v>4389</v>
      </c>
      <c r="V19" s="345" t="s">
        <v>5267</v>
      </c>
      <c r="W19" s="346"/>
      <c r="X19" s="346" t="s">
        <v>5257</v>
      </c>
      <c r="Y19" s="346"/>
      <c r="Z19" s="27"/>
      <c r="AA19" s="27"/>
    </row>
    <row r="20" spans="1:27" s="23" customFormat="1" ht="409.5">
      <c r="A20" s="51">
        <v>13</v>
      </c>
      <c r="B20" s="38" t="s">
        <v>544</v>
      </c>
      <c r="C20" s="298" t="s">
        <v>886</v>
      </c>
      <c r="D20" s="295" t="s">
        <v>4336</v>
      </c>
      <c r="E20" s="37" t="s">
        <v>4337</v>
      </c>
      <c r="F20" s="38" t="s">
        <v>544</v>
      </c>
      <c r="G20" s="296" t="s">
        <v>4338</v>
      </c>
      <c r="H20" s="295"/>
      <c r="I20" s="38"/>
      <c r="J20" s="78" t="s">
        <v>4339</v>
      </c>
      <c r="K20" s="78" t="s">
        <v>5264</v>
      </c>
      <c r="L20" s="39" t="s">
        <v>468</v>
      </c>
      <c r="M20" s="38" t="s">
        <v>469</v>
      </c>
      <c r="N20" s="297" t="s">
        <v>4340</v>
      </c>
      <c r="O20" s="32" t="s">
        <v>625</v>
      </c>
      <c r="P20" s="37" t="s">
        <v>4341</v>
      </c>
      <c r="Q20" s="38"/>
      <c r="R20" s="38" t="s">
        <v>5252</v>
      </c>
      <c r="S20" s="339" t="s">
        <v>4388</v>
      </c>
      <c r="T20" s="38" t="s">
        <v>4307</v>
      </c>
      <c r="U20" s="339" t="s">
        <v>4389</v>
      </c>
      <c r="V20" s="38"/>
      <c r="W20" s="38"/>
      <c r="X20" s="38"/>
      <c r="Y20" s="39"/>
    </row>
    <row r="21" spans="1:27" s="23" customFormat="1" ht="198">
      <c r="A21" s="51">
        <v>14</v>
      </c>
      <c r="B21" s="38" t="s">
        <v>544</v>
      </c>
      <c r="C21" s="298" t="s">
        <v>887</v>
      </c>
      <c r="D21" s="295" t="s">
        <v>4342</v>
      </c>
      <c r="E21" s="37" t="s">
        <v>4343</v>
      </c>
      <c r="F21" s="38" t="s">
        <v>544</v>
      </c>
      <c r="G21" s="296" t="s">
        <v>4338</v>
      </c>
      <c r="H21" s="295"/>
      <c r="I21" s="38"/>
      <c r="J21" s="78" t="s">
        <v>4339</v>
      </c>
      <c r="K21" s="78" t="s">
        <v>5263</v>
      </c>
      <c r="L21" s="39" t="s">
        <v>468</v>
      </c>
      <c r="M21" s="38" t="s">
        <v>469</v>
      </c>
      <c r="N21" s="297" t="s">
        <v>4340</v>
      </c>
      <c r="O21" s="32" t="s">
        <v>625</v>
      </c>
      <c r="P21" s="37" t="s">
        <v>4344</v>
      </c>
      <c r="Q21" s="38"/>
      <c r="R21" s="38" t="s">
        <v>5252</v>
      </c>
      <c r="S21" s="339" t="s">
        <v>4388</v>
      </c>
      <c r="T21" s="38" t="s">
        <v>4324</v>
      </c>
      <c r="U21" s="339" t="s">
        <v>4394</v>
      </c>
      <c r="V21" s="38"/>
      <c r="W21" s="38"/>
      <c r="X21" s="38"/>
      <c r="Y21" s="39"/>
    </row>
    <row r="22" spans="1:27" s="23" customFormat="1" ht="409.5">
      <c r="A22" s="51">
        <v>15</v>
      </c>
      <c r="B22" s="38" t="s">
        <v>544</v>
      </c>
      <c r="C22" s="298" t="s">
        <v>888</v>
      </c>
      <c r="D22" s="295" t="s">
        <v>4595</v>
      </c>
      <c r="E22" s="295" t="s">
        <v>4345</v>
      </c>
      <c r="F22" s="38" t="s">
        <v>544</v>
      </c>
      <c r="G22" s="296">
        <v>17</v>
      </c>
      <c r="H22" s="295"/>
      <c r="I22" s="38"/>
      <c r="J22" s="78" t="s">
        <v>4346</v>
      </c>
      <c r="K22" s="78" t="s">
        <v>5977</v>
      </c>
      <c r="L22" s="39" t="s">
        <v>468</v>
      </c>
      <c r="M22" s="38" t="s">
        <v>469</v>
      </c>
      <c r="N22" s="297" t="s">
        <v>4347</v>
      </c>
      <c r="O22" s="32" t="s">
        <v>625</v>
      </c>
      <c r="P22" s="37" t="s">
        <v>4348</v>
      </c>
      <c r="Q22" s="38"/>
      <c r="R22" s="38" t="s">
        <v>5252</v>
      </c>
      <c r="S22" s="339" t="s">
        <v>4388</v>
      </c>
      <c r="T22" s="38" t="s">
        <v>4324</v>
      </c>
      <c r="U22" s="38" t="s">
        <v>4394</v>
      </c>
      <c r="V22" s="38"/>
      <c r="W22" s="38"/>
      <c r="X22" s="38"/>
      <c r="Y22" s="39"/>
    </row>
    <row r="23" spans="1:27" s="23" customFormat="1" ht="330">
      <c r="A23" s="51">
        <v>16</v>
      </c>
      <c r="B23" s="38" t="s">
        <v>544</v>
      </c>
      <c r="C23" s="298" t="s">
        <v>889</v>
      </c>
      <c r="D23" s="295" t="s">
        <v>4596</v>
      </c>
      <c r="E23" s="295" t="s">
        <v>4349</v>
      </c>
      <c r="F23" s="38" t="s">
        <v>544</v>
      </c>
      <c r="G23" s="296">
        <v>17</v>
      </c>
      <c r="H23" s="295"/>
      <c r="I23" s="38"/>
      <c r="J23" s="78" t="s">
        <v>4346</v>
      </c>
      <c r="K23" s="78" t="s">
        <v>5978</v>
      </c>
      <c r="L23" s="39" t="s">
        <v>468</v>
      </c>
      <c r="M23" s="38" t="s">
        <v>469</v>
      </c>
      <c r="N23" s="297" t="s">
        <v>4347</v>
      </c>
      <c r="O23" s="32" t="s">
        <v>625</v>
      </c>
      <c r="P23" s="37" t="s">
        <v>4350</v>
      </c>
      <c r="Q23" s="38"/>
      <c r="R23" s="38" t="s">
        <v>5252</v>
      </c>
      <c r="S23" s="339" t="s">
        <v>4388</v>
      </c>
      <c r="T23" s="38" t="s">
        <v>4324</v>
      </c>
      <c r="U23" s="38" t="s">
        <v>4394</v>
      </c>
      <c r="V23" s="38"/>
      <c r="W23" s="38"/>
      <c r="X23" s="38"/>
      <c r="Y23" s="39"/>
    </row>
    <row r="24" spans="1:27" s="23" customFormat="1" ht="49.5">
      <c r="A24" s="51">
        <v>17</v>
      </c>
      <c r="B24" s="38" t="s">
        <v>544</v>
      </c>
      <c r="C24" s="298" t="s">
        <v>890</v>
      </c>
      <c r="D24" s="295" t="s">
        <v>4597</v>
      </c>
      <c r="E24" s="295" t="s">
        <v>4351</v>
      </c>
      <c r="F24" s="38" t="s">
        <v>544</v>
      </c>
      <c r="G24" s="296">
        <v>17</v>
      </c>
      <c r="H24" s="295"/>
      <c r="I24" s="38"/>
      <c r="J24" s="78" t="s">
        <v>4346</v>
      </c>
      <c r="K24" s="78" t="s">
        <v>5979</v>
      </c>
      <c r="L24" s="39" t="s">
        <v>468</v>
      </c>
      <c r="M24" s="38" t="s">
        <v>469</v>
      </c>
      <c r="N24" s="297" t="s">
        <v>4347</v>
      </c>
      <c r="O24" s="32" t="s">
        <v>625</v>
      </c>
      <c r="P24" s="37" t="s">
        <v>4352</v>
      </c>
      <c r="Q24" s="38"/>
      <c r="R24" s="38" t="s">
        <v>5252</v>
      </c>
      <c r="S24" s="339" t="s">
        <v>4388</v>
      </c>
      <c r="T24" s="38" t="s">
        <v>4324</v>
      </c>
      <c r="U24" s="38" t="s">
        <v>4394</v>
      </c>
      <c r="V24" s="38"/>
      <c r="W24" s="38"/>
      <c r="X24" s="38"/>
      <c r="Y24" s="39"/>
    </row>
    <row r="25" spans="1:27" s="23" customFormat="1" ht="330">
      <c r="A25" s="51">
        <v>18</v>
      </c>
      <c r="B25" s="38" t="s">
        <v>544</v>
      </c>
      <c r="C25" s="298" t="s">
        <v>891</v>
      </c>
      <c r="D25" s="295" t="s">
        <v>4598</v>
      </c>
      <c r="E25" s="295" t="s">
        <v>4353</v>
      </c>
      <c r="F25" s="38" t="s">
        <v>544</v>
      </c>
      <c r="G25" s="296">
        <v>18</v>
      </c>
      <c r="H25" s="295"/>
      <c r="I25" s="38"/>
      <c r="J25" s="78" t="s">
        <v>4339</v>
      </c>
      <c r="K25" s="78" t="s">
        <v>5980</v>
      </c>
      <c r="L25" s="39" t="s">
        <v>468</v>
      </c>
      <c r="M25" s="38" t="s">
        <v>469</v>
      </c>
      <c r="N25" s="297" t="s">
        <v>4347</v>
      </c>
      <c r="O25" s="32" t="s">
        <v>625</v>
      </c>
      <c r="P25" s="37" t="s">
        <v>4354</v>
      </c>
      <c r="Q25" s="38"/>
      <c r="R25" s="38" t="s">
        <v>5252</v>
      </c>
      <c r="S25" s="339" t="s">
        <v>4388</v>
      </c>
      <c r="T25" s="38" t="s">
        <v>4307</v>
      </c>
      <c r="U25" s="38" t="s">
        <v>4389</v>
      </c>
      <c r="V25" s="38"/>
      <c r="W25" s="38"/>
      <c r="X25" s="38"/>
      <c r="Y25" s="39"/>
    </row>
    <row r="26" spans="1:27" s="23" customFormat="1" ht="165">
      <c r="A26" s="51">
        <v>19</v>
      </c>
      <c r="B26" s="38" t="s">
        <v>544</v>
      </c>
      <c r="C26" s="298" t="s">
        <v>892</v>
      </c>
      <c r="D26" s="295" t="s">
        <v>4599</v>
      </c>
      <c r="E26" s="295" t="s">
        <v>4355</v>
      </c>
      <c r="F26" s="38" t="s">
        <v>544</v>
      </c>
      <c r="G26" s="296">
        <v>18</v>
      </c>
      <c r="H26" s="295"/>
      <c r="I26" s="38"/>
      <c r="J26" s="78" t="s">
        <v>4346</v>
      </c>
      <c r="K26" s="78" t="s">
        <v>5981</v>
      </c>
      <c r="L26" s="39" t="s">
        <v>468</v>
      </c>
      <c r="M26" s="38" t="s">
        <v>469</v>
      </c>
      <c r="N26" s="297" t="s">
        <v>4347</v>
      </c>
      <c r="O26" s="32" t="s">
        <v>625</v>
      </c>
      <c r="P26" s="37" t="s">
        <v>4356</v>
      </c>
      <c r="Q26" s="38"/>
      <c r="R26" s="38" t="s">
        <v>5252</v>
      </c>
      <c r="S26" s="339" t="s">
        <v>4388</v>
      </c>
      <c r="T26" s="38" t="s">
        <v>4324</v>
      </c>
      <c r="U26" s="38" t="s">
        <v>4395</v>
      </c>
      <c r="V26" s="38"/>
      <c r="W26" s="38"/>
      <c r="X26" s="38"/>
      <c r="Y26" s="39"/>
    </row>
    <row r="27" spans="1:27" s="23" customFormat="1" ht="49.5">
      <c r="A27" s="51"/>
      <c r="B27" s="308" t="s">
        <v>544</v>
      </c>
      <c r="C27" s="380" t="s">
        <v>893</v>
      </c>
      <c r="D27" s="310" t="s">
        <v>4357</v>
      </c>
      <c r="E27" s="310" t="s">
        <v>4357</v>
      </c>
      <c r="F27" s="308"/>
      <c r="G27" s="311"/>
      <c r="H27" s="310" t="s">
        <v>4358</v>
      </c>
      <c r="I27" s="308" t="s">
        <v>4359</v>
      </c>
      <c r="J27" s="315" t="s">
        <v>4339</v>
      </c>
      <c r="K27" s="315"/>
      <c r="L27" s="312"/>
      <c r="M27" s="308"/>
      <c r="N27" s="313"/>
      <c r="O27" s="314"/>
      <c r="P27" s="384" t="s">
        <v>4357</v>
      </c>
      <c r="Q27" s="308"/>
      <c r="R27" s="38" t="s">
        <v>4543</v>
      </c>
      <c r="S27" s="335" t="s">
        <v>4388</v>
      </c>
      <c r="T27" s="38" t="s">
        <v>4307</v>
      </c>
      <c r="U27" s="335" t="s">
        <v>4389</v>
      </c>
      <c r="V27" s="345" t="s">
        <v>5267</v>
      </c>
      <c r="W27" s="346"/>
      <c r="X27" s="346" t="s">
        <v>5257</v>
      </c>
      <c r="Y27" s="346"/>
    </row>
    <row r="28" spans="1:27" s="23" customFormat="1" ht="49.5">
      <c r="A28" s="51"/>
      <c r="B28" s="308" t="s">
        <v>544</v>
      </c>
      <c r="C28" s="380" t="s">
        <v>894</v>
      </c>
      <c r="D28" s="310" t="s">
        <v>4360</v>
      </c>
      <c r="E28" s="310" t="s">
        <v>5262</v>
      </c>
      <c r="F28" s="308"/>
      <c r="G28" s="311"/>
      <c r="H28" s="310" t="s">
        <v>4358</v>
      </c>
      <c r="I28" s="308" t="s">
        <v>4359</v>
      </c>
      <c r="J28" s="315" t="s">
        <v>4339</v>
      </c>
      <c r="K28" s="315" t="s">
        <v>5265</v>
      </c>
      <c r="L28" s="312"/>
      <c r="M28" s="308"/>
      <c r="N28" s="313"/>
      <c r="O28" s="314"/>
      <c r="P28" s="384" t="s">
        <v>4360</v>
      </c>
      <c r="Q28" s="379"/>
      <c r="R28" s="38" t="s">
        <v>4543</v>
      </c>
      <c r="S28" s="335" t="s">
        <v>4388</v>
      </c>
      <c r="T28" s="38" t="s">
        <v>4307</v>
      </c>
      <c r="U28" s="335" t="s">
        <v>4389</v>
      </c>
      <c r="V28" s="345" t="s">
        <v>5267</v>
      </c>
      <c r="W28" s="346"/>
      <c r="X28" s="346" t="s">
        <v>5257</v>
      </c>
      <c r="Y28" s="346"/>
    </row>
    <row r="29" spans="1:27" s="23" customFormat="1" ht="82.5">
      <c r="A29" s="51">
        <v>20</v>
      </c>
      <c r="B29" s="38" t="s">
        <v>545</v>
      </c>
      <c r="C29" s="298" t="s">
        <v>895</v>
      </c>
      <c r="D29" s="295" t="s">
        <v>4600</v>
      </c>
      <c r="E29" s="295" t="s">
        <v>4361</v>
      </c>
      <c r="F29" s="38" t="s">
        <v>545</v>
      </c>
      <c r="G29" s="296" t="s">
        <v>4362</v>
      </c>
      <c r="H29" s="295"/>
      <c r="I29" s="38"/>
      <c r="J29" s="78" t="s">
        <v>4363</v>
      </c>
      <c r="K29" s="78" t="s">
        <v>5987</v>
      </c>
      <c r="L29" s="39" t="s">
        <v>470</v>
      </c>
      <c r="M29" s="38" t="s">
        <v>471</v>
      </c>
      <c r="N29" s="297" t="s">
        <v>4364</v>
      </c>
      <c r="O29" s="32">
        <v>64</v>
      </c>
      <c r="P29" s="37" t="s">
        <v>4365</v>
      </c>
      <c r="Q29" s="38"/>
      <c r="R29" s="38" t="s">
        <v>5253</v>
      </c>
      <c r="S29" s="339" t="s">
        <v>4388</v>
      </c>
      <c r="T29" s="46" t="s">
        <v>4324</v>
      </c>
      <c r="U29" s="316" t="s">
        <v>4396</v>
      </c>
      <c r="V29" s="38"/>
      <c r="W29" s="38"/>
      <c r="X29" s="38">
        <v>1000</v>
      </c>
      <c r="Y29" s="43"/>
    </row>
    <row r="30" spans="1:27" s="23" customFormat="1" ht="115.5">
      <c r="A30" s="51">
        <v>21</v>
      </c>
      <c r="B30" s="38" t="s">
        <v>545</v>
      </c>
      <c r="C30" s="298" t="s">
        <v>896</v>
      </c>
      <c r="D30" s="295" t="s">
        <v>4601</v>
      </c>
      <c r="E30" s="295" t="s">
        <v>4366</v>
      </c>
      <c r="F30" s="38" t="s">
        <v>545</v>
      </c>
      <c r="G30" s="296" t="s">
        <v>4362</v>
      </c>
      <c r="H30" s="295"/>
      <c r="I30" s="38"/>
      <c r="J30" s="78" t="s">
        <v>4363</v>
      </c>
      <c r="K30" s="78" t="s">
        <v>5988</v>
      </c>
      <c r="L30" s="39" t="s">
        <v>470</v>
      </c>
      <c r="M30" s="38" t="s">
        <v>471</v>
      </c>
      <c r="N30" s="297" t="s">
        <v>4364</v>
      </c>
      <c r="O30" s="32">
        <v>64</v>
      </c>
      <c r="P30" s="37" t="s">
        <v>4365</v>
      </c>
      <c r="Q30" s="38"/>
      <c r="R30" s="38" t="s">
        <v>5253</v>
      </c>
      <c r="S30" s="339" t="s">
        <v>4388</v>
      </c>
      <c r="T30" s="46" t="s">
        <v>4324</v>
      </c>
      <c r="U30" s="316" t="s">
        <v>4396</v>
      </c>
      <c r="V30" s="38"/>
      <c r="W30" s="38"/>
      <c r="X30" s="38">
        <v>1000</v>
      </c>
      <c r="Y30" s="43"/>
    </row>
    <row r="31" spans="1:27" s="23" customFormat="1" ht="99">
      <c r="A31" s="51">
        <v>22</v>
      </c>
      <c r="B31" s="38" t="s">
        <v>545</v>
      </c>
      <c r="C31" s="298" t="s">
        <v>897</v>
      </c>
      <c r="D31" s="295" t="s">
        <v>4602</v>
      </c>
      <c r="E31" s="295" t="s">
        <v>4367</v>
      </c>
      <c r="F31" s="38" t="s">
        <v>545</v>
      </c>
      <c r="G31" s="296" t="s">
        <v>4362</v>
      </c>
      <c r="H31" s="295"/>
      <c r="I31" s="38"/>
      <c r="J31" s="78" t="s">
        <v>4363</v>
      </c>
      <c r="K31" s="78" t="s">
        <v>5989</v>
      </c>
      <c r="L31" s="39" t="s">
        <v>470</v>
      </c>
      <c r="M31" s="38" t="s">
        <v>471</v>
      </c>
      <c r="N31" s="297" t="s">
        <v>4364</v>
      </c>
      <c r="O31" s="32">
        <v>64</v>
      </c>
      <c r="P31" s="37" t="s">
        <v>4368</v>
      </c>
      <c r="Q31" s="38"/>
      <c r="R31" s="38" t="s">
        <v>5253</v>
      </c>
      <c r="S31" s="339" t="s">
        <v>4388</v>
      </c>
      <c r="T31" s="46" t="s">
        <v>4324</v>
      </c>
      <c r="U31" s="316" t="s">
        <v>4396</v>
      </c>
      <c r="V31" s="38"/>
      <c r="W31" s="38"/>
      <c r="X31" s="38">
        <v>1200</v>
      </c>
      <c r="Y31" s="43"/>
    </row>
    <row r="32" spans="1:27" s="23" customFormat="1" ht="297">
      <c r="A32" s="51">
        <v>23</v>
      </c>
      <c r="B32" s="38" t="s">
        <v>545</v>
      </c>
      <c r="C32" s="298" t="s">
        <v>898</v>
      </c>
      <c r="D32" s="295" t="s">
        <v>4369</v>
      </c>
      <c r="E32" s="37" t="s">
        <v>4370</v>
      </c>
      <c r="F32" s="38" t="s">
        <v>545</v>
      </c>
      <c r="G32" s="296">
        <v>19</v>
      </c>
      <c r="H32" s="295"/>
      <c r="I32" s="38"/>
      <c r="J32" s="78" t="s">
        <v>4363</v>
      </c>
      <c r="K32" s="78" t="s">
        <v>5990</v>
      </c>
      <c r="L32" s="39" t="s">
        <v>470</v>
      </c>
      <c r="M32" s="38" t="s">
        <v>471</v>
      </c>
      <c r="N32" s="297" t="s">
        <v>4364</v>
      </c>
      <c r="O32" s="32">
        <v>64</v>
      </c>
      <c r="P32" s="37" t="s">
        <v>4371</v>
      </c>
      <c r="Q32" s="38"/>
      <c r="R32" s="38" t="s">
        <v>5253</v>
      </c>
      <c r="S32" s="339" t="s">
        <v>4388</v>
      </c>
      <c r="T32" s="46" t="s">
        <v>4324</v>
      </c>
      <c r="U32" s="316" t="s">
        <v>4389</v>
      </c>
      <c r="V32" s="38"/>
      <c r="W32" s="38"/>
      <c r="X32" s="38">
        <v>600</v>
      </c>
      <c r="Y32" s="43"/>
    </row>
    <row r="33" spans="1:25" s="23" customFormat="1" ht="313.5">
      <c r="A33" s="51">
        <v>24</v>
      </c>
      <c r="B33" s="38" t="s">
        <v>545</v>
      </c>
      <c r="C33" s="298" t="s">
        <v>899</v>
      </c>
      <c r="D33" s="295" t="s">
        <v>4603</v>
      </c>
      <c r="E33" s="37" t="s">
        <v>4372</v>
      </c>
      <c r="F33" s="38" t="s">
        <v>545</v>
      </c>
      <c r="G33" s="296">
        <v>19</v>
      </c>
      <c r="H33" s="295"/>
      <c r="I33" s="38"/>
      <c r="J33" s="78" t="s">
        <v>4373</v>
      </c>
      <c r="K33" s="78" t="s">
        <v>5991</v>
      </c>
      <c r="L33" s="39" t="s">
        <v>470</v>
      </c>
      <c r="M33" s="38" t="s">
        <v>471</v>
      </c>
      <c r="N33" s="297" t="s">
        <v>4364</v>
      </c>
      <c r="O33" s="32">
        <v>64</v>
      </c>
      <c r="P33" s="37" t="s">
        <v>4374</v>
      </c>
      <c r="Q33" s="38"/>
      <c r="R33" s="38" t="s">
        <v>5253</v>
      </c>
      <c r="S33" s="339" t="s">
        <v>4388</v>
      </c>
      <c r="T33" s="46" t="s">
        <v>4324</v>
      </c>
      <c r="U33" s="316" t="s">
        <v>4389</v>
      </c>
      <c r="V33" s="38"/>
      <c r="W33" s="38"/>
      <c r="X33" s="38"/>
      <c r="Y33" s="43"/>
    </row>
    <row r="34" spans="1:25" s="23" customFormat="1" ht="409.5">
      <c r="A34" s="51">
        <v>25</v>
      </c>
      <c r="B34" s="38" t="s">
        <v>545</v>
      </c>
      <c r="C34" s="298" t="s">
        <v>900</v>
      </c>
      <c r="D34" s="295" t="s">
        <v>4604</v>
      </c>
      <c r="E34" s="37" t="s">
        <v>4375</v>
      </c>
      <c r="F34" s="38" t="s">
        <v>545</v>
      </c>
      <c r="G34" s="296">
        <v>19</v>
      </c>
      <c r="H34" s="295"/>
      <c r="I34" s="38"/>
      <c r="J34" s="78" t="s">
        <v>4373</v>
      </c>
      <c r="K34" s="78" t="s">
        <v>5992</v>
      </c>
      <c r="L34" s="39" t="s">
        <v>470</v>
      </c>
      <c r="M34" s="38" t="s">
        <v>471</v>
      </c>
      <c r="N34" s="297" t="s">
        <v>4364</v>
      </c>
      <c r="O34" s="32">
        <v>64</v>
      </c>
      <c r="P34" s="37" t="s">
        <v>4376</v>
      </c>
      <c r="Q34" s="38"/>
      <c r="R34" s="38" t="s">
        <v>5253</v>
      </c>
      <c r="S34" s="339" t="s">
        <v>4388</v>
      </c>
      <c r="T34" s="46" t="s">
        <v>4324</v>
      </c>
      <c r="U34" s="316" t="s">
        <v>4389</v>
      </c>
      <c r="V34" s="38"/>
      <c r="W34" s="38"/>
      <c r="X34" s="38"/>
      <c r="Y34" s="43"/>
    </row>
    <row r="35" spans="1:25" s="23" customFormat="1" ht="181.5">
      <c r="A35" s="51">
        <v>26</v>
      </c>
      <c r="B35" s="38" t="s">
        <v>545</v>
      </c>
      <c r="C35" s="298" t="s">
        <v>901</v>
      </c>
      <c r="D35" s="295" t="s">
        <v>4605</v>
      </c>
      <c r="E35" s="37" t="s">
        <v>4377</v>
      </c>
      <c r="F35" s="38" t="s">
        <v>545</v>
      </c>
      <c r="G35" s="296">
        <v>19</v>
      </c>
      <c r="H35" s="295"/>
      <c r="I35" s="38"/>
      <c r="J35" s="78" t="s">
        <v>4373</v>
      </c>
      <c r="K35" s="78" t="s">
        <v>5993</v>
      </c>
      <c r="L35" s="39" t="s">
        <v>470</v>
      </c>
      <c r="M35" s="38" t="s">
        <v>471</v>
      </c>
      <c r="N35" s="297" t="s">
        <v>4364</v>
      </c>
      <c r="O35" s="32">
        <v>64</v>
      </c>
      <c r="P35" s="37" t="s">
        <v>4378</v>
      </c>
      <c r="Q35" s="38"/>
      <c r="R35" s="38" t="s">
        <v>5253</v>
      </c>
      <c r="S35" s="339" t="s">
        <v>4388</v>
      </c>
      <c r="T35" s="46" t="s">
        <v>4324</v>
      </c>
      <c r="U35" s="316" t="s">
        <v>4389</v>
      </c>
      <c r="V35" s="38"/>
      <c r="W35" s="38"/>
      <c r="X35" s="38"/>
      <c r="Y35" s="43"/>
    </row>
    <row r="36" spans="1:25" s="23" customFormat="1" ht="87" customHeight="1">
      <c r="A36" s="51">
        <v>1</v>
      </c>
      <c r="B36" s="40" t="s">
        <v>425</v>
      </c>
      <c r="C36" s="42" t="s">
        <v>5424</v>
      </c>
      <c r="D36" s="50" t="s">
        <v>5425</v>
      </c>
      <c r="E36" s="48" t="s">
        <v>5426</v>
      </c>
      <c r="F36" s="40" t="s">
        <v>425</v>
      </c>
      <c r="G36" s="49" t="s">
        <v>426</v>
      </c>
      <c r="H36" s="50"/>
      <c r="I36" s="41"/>
      <c r="J36" s="41" t="s">
        <v>5427</v>
      </c>
      <c r="K36" s="386" t="s">
        <v>5982</v>
      </c>
      <c r="L36" s="386" t="s">
        <v>5428</v>
      </c>
      <c r="M36" s="387" t="s">
        <v>5429</v>
      </c>
      <c r="N36" s="405" t="s">
        <v>5430</v>
      </c>
      <c r="O36" s="388">
        <v>64</v>
      </c>
      <c r="P36" s="408" t="s">
        <v>5994</v>
      </c>
      <c r="Q36" s="556"/>
      <c r="R36" s="38" t="s">
        <v>622</v>
      </c>
      <c r="S36" s="339" t="s">
        <v>4388</v>
      </c>
      <c r="T36" s="38" t="s">
        <v>423</v>
      </c>
      <c r="U36" s="38" t="s">
        <v>4503</v>
      </c>
      <c r="V36" s="559" t="s">
        <v>5793</v>
      </c>
      <c r="W36" s="559" t="s">
        <v>5794</v>
      </c>
      <c r="X36" s="559" t="s">
        <v>5795</v>
      </c>
      <c r="Y36" s="559" t="s">
        <v>5796</v>
      </c>
    </row>
    <row r="37" spans="1:25" s="23" customFormat="1" ht="49.5">
      <c r="A37" s="51">
        <v>2</v>
      </c>
      <c r="B37" s="40" t="s">
        <v>425</v>
      </c>
      <c r="C37" s="42" t="s">
        <v>4424</v>
      </c>
      <c r="D37" s="50" t="s">
        <v>5434</v>
      </c>
      <c r="E37" s="48" t="s">
        <v>5435</v>
      </c>
      <c r="F37" s="40" t="s">
        <v>425</v>
      </c>
      <c r="G37" s="49" t="s">
        <v>426</v>
      </c>
      <c r="H37" s="50"/>
      <c r="I37" s="41"/>
      <c r="J37" s="41" t="s">
        <v>5427</v>
      </c>
      <c r="K37" s="386" t="s">
        <v>5983</v>
      </c>
      <c r="L37" s="386" t="s">
        <v>5428</v>
      </c>
      <c r="M37" s="387" t="s">
        <v>5429</v>
      </c>
      <c r="N37" s="405" t="s">
        <v>5430</v>
      </c>
      <c r="O37" s="388">
        <v>64</v>
      </c>
      <c r="P37" s="50" t="s">
        <v>5434</v>
      </c>
      <c r="Q37" s="557"/>
      <c r="R37" s="38" t="s">
        <v>622</v>
      </c>
      <c r="S37" s="339" t="s">
        <v>4388</v>
      </c>
      <c r="T37" s="38" t="s">
        <v>423</v>
      </c>
      <c r="U37" s="38" t="s">
        <v>4503</v>
      </c>
      <c r="V37" s="560"/>
      <c r="W37" s="560"/>
      <c r="X37" s="560"/>
      <c r="Y37" s="560"/>
    </row>
    <row r="38" spans="1:25" s="23" customFormat="1" ht="49.5">
      <c r="A38" s="51">
        <v>3</v>
      </c>
      <c r="B38" s="40" t="s">
        <v>425</v>
      </c>
      <c r="C38" s="42" t="s">
        <v>4425</v>
      </c>
      <c r="D38" s="50" t="s">
        <v>5436</v>
      </c>
      <c r="E38" s="48" t="s">
        <v>5437</v>
      </c>
      <c r="F38" s="40" t="s">
        <v>425</v>
      </c>
      <c r="G38" s="49" t="s">
        <v>426</v>
      </c>
      <c r="H38" s="50"/>
      <c r="I38" s="41"/>
      <c r="J38" s="41" t="s">
        <v>5427</v>
      </c>
      <c r="K38" s="386" t="s">
        <v>5984</v>
      </c>
      <c r="L38" s="386" t="s">
        <v>5428</v>
      </c>
      <c r="M38" s="387" t="s">
        <v>5429</v>
      </c>
      <c r="N38" s="405" t="s">
        <v>5430</v>
      </c>
      <c r="O38" s="388">
        <v>64</v>
      </c>
      <c r="P38" s="50" t="s">
        <v>5436</v>
      </c>
      <c r="Q38" s="557"/>
      <c r="R38" s="38" t="s">
        <v>622</v>
      </c>
      <c r="S38" s="339" t="s">
        <v>4388</v>
      </c>
      <c r="T38" s="38" t="s">
        <v>423</v>
      </c>
      <c r="U38" s="38" t="s">
        <v>4503</v>
      </c>
      <c r="V38" s="560"/>
      <c r="W38" s="560"/>
      <c r="X38" s="560"/>
      <c r="Y38" s="560"/>
    </row>
    <row r="39" spans="1:25" s="23" customFormat="1" ht="66">
      <c r="A39" s="51">
        <v>4</v>
      </c>
      <c r="B39" s="40" t="s">
        <v>425</v>
      </c>
      <c r="C39" s="42" t="s">
        <v>4426</v>
      </c>
      <c r="D39" s="50" t="s">
        <v>5439</v>
      </c>
      <c r="E39" s="48" t="s">
        <v>5440</v>
      </c>
      <c r="F39" s="40" t="s">
        <v>425</v>
      </c>
      <c r="G39" s="49" t="s">
        <v>426</v>
      </c>
      <c r="H39" s="50"/>
      <c r="I39" s="41"/>
      <c r="J39" s="41" t="s">
        <v>5427</v>
      </c>
      <c r="K39" s="386" t="s">
        <v>5985</v>
      </c>
      <c r="L39" s="386" t="s">
        <v>5428</v>
      </c>
      <c r="M39" s="387" t="s">
        <v>5429</v>
      </c>
      <c r="N39" s="405" t="s">
        <v>5430</v>
      </c>
      <c r="O39" s="388">
        <v>64</v>
      </c>
      <c r="P39" s="50" t="s">
        <v>5439</v>
      </c>
      <c r="Q39" s="557"/>
      <c r="R39" s="38" t="s">
        <v>622</v>
      </c>
      <c r="S39" s="339" t="s">
        <v>4388</v>
      </c>
      <c r="T39" s="38" t="s">
        <v>423</v>
      </c>
      <c r="U39" s="38" t="s">
        <v>4503</v>
      </c>
      <c r="V39" s="560"/>
      <c r="W39" s="560"/>
      <c r="X39" s="560"/>
      <c r="Y39" s="560"/>
    </row>
    <row r="40" spans="1:25" s="23" customFormat="1" ht="66">
      <c r="A40" s="51">
        <v>5</v>
      </c>
      <c r="B40" s="40" t="s">
        <v>425</v>
      </c>
      <c r="C40" s="42" t="s">
        <v>4427</v>
      </c>
      <c r="D40" s="50" t="s">
        <v>5441</v>
      </c>
      <c r="E40" s="48" t="s">
        <v>5442</v>
      </c>
      <c r="F40" s="40" t="s">
        <v>425</v>
      </c>
      <c r="G40" s="49" t="s">
        <v>426</v>
      </c>
      <c r="H40" s="50"/>
      <c r="I40" s="41"/>
      <c r="J40" s="41" t="s">
        <v>5427</v>
      </c>
      <c r="K40" s="386" t="s">
        <v>5986</v>
      </c>
      <c r="L40" s="386" t="s">
        <v>5428</v>
      </c>
      <c r="M40" s="387" t="s">
        <v>5429</v>
      </c>
      <c r="N40" s="405" t="s">
        <v>5430</v>
      </c>
      <c r="O40" s="388">
        <v>64</v>
      </c>
      <c r="P40" s="50" t="s">
        <v>5441</v>
      </c>
      <c r="Q40" s="558"/>
      <c r="R40" s="38" t="s">
        <v>622</v>
      </c>
      <c r="S40" s="339" t="s">
        <v>4388</v>
      </c>
      <c r="T40" s="38" t="s">
        <v>423</v>
      </c>
      <c r="U40" s="38" t="s">
        <v>4503</v>
      </c>
      <c r="V40" s="561"/>
      <c r="W40" s="561"/>
      <c r="X40" s="561"/>
      <c r="Y40" s="561"/>
    </row>
  </sheetData>
  <mergeCells count="17">
    <mergeCell ref="S5:S6"/>
    <mergeCell ref="T5:T6"/>
    <mergeCell ref="U5:U6"/>
    <mergeCell ref="V5:Y5"/>
    <mergeCell ref="P5:P6"/>
    <mergeCell ref="Q5:Q6"/>
    <mergeCell ref="R5:R6"/>
    <mergeCell ref="F5:O5"/>
    <mergeCell ref="B5:B6"/>
    <mergeCell ref="C5:C6"/>
    <mergeCell ref="D5:D6"/>
    <mergeCell ref="E5:E6"/>
    <mergeCell ref="Q36:Q40"/>
    <mergeCell ref="V36:V40"/>
    <mergeCell ref="W36:W40"/>
    <mergeCell ref="X36:X40"/>
    <mergeCell ref="Y36:Y40"/>
  </mergeCells>
  <phoneticPr fontId="0" type="noConversion"/>
  <conditionalFormatting sqref="A4:A6 A20:A35">
    <cfRule type="cellIs" dxfId="405" priority="2076" stopIfTrue="1" operator="equal">
      <formula>#REF!=N</formula>
    </cfRule>
  </conditionalFormatting>
  <conditionalFormatting sqref="A36:A40">
    <cfRule type="cellIs" dxfId="404" priority="8" stopIfTrue="1" operator="equal">
      <formula>#REF!=N</formula>
    </cfRule>
  </conditionalFormatting>
  <conditionalFormatting sqref="B4:D5 S4:T5">
    <cfRule type="expression" dxfId="403" priority="2075" stopIfTrue="1">
      <formula>#REF!&lt;&gt;"Y"</formula>
    </cfRule>
  </conditionalFormatting>
  <conditionalFormatting sqref="B20:O40">
    <cfRule type="expression" dxfId="402" priority="3" stopIfTrue="1">
      <formula>#REF!&lt;&gt;"Y"</formula>
    </cfRule>
  </conditionalFormatting>
  <conditionalFormatting sqref="E4:O4 E5:F5">
    <cfRule type="expression" dxfId="401" priority="2072" stopIfTrue="1">
      <formula>#REF!&lt;&gt;"Y"</formula>
    </cfRule>
  </conditionalFormatting>
  <conditionalFormatting sqref="F6:O6">
    <cfRule type="expression" dxfId="400" priority="2053" stopIfTrue="1">
      <formula>#REF!&lt;&gt;"Y"</formula>
    </cfRule>
  </conditionalFormatting>
  <conditionalFormatting sqref="P27:P28">
    <cfRule type="expression" dxfId="399" priority="9" stopIfTrue="1">
      <formula>#REF!&lt;&gt;"Y"</formula>
    </cfRule>
  </conditionalFormatting>
  <conditionalFormatting sqref="P37:P40">
    <cfRule type="expression" dxfId="398" priority="1" stopIfTrue="1">
      <formula>#REF!&lt;&gt;"Y"</formula>
    </cfRule>
  </conditionalFormatting>
  <conditionalFormatting sqref="S36:T40">
    <cfRule type="expression" dxfId="397" priority="2" stopIfTrue="1">
      <formula>#REF!&lt;&gt;"Y"</formula>
    </cfRule>
  </conditionalFormatting>
  <conditionalFormatting sqref="S20:U26">
    <cfRule type="expression" dxfId="396" priority="175" stopIfTrue="1">
      <formula>#REF!&lt;&gt;"Y"</formula>
    </cfRule>
  </conditionalFormatting>
  <conditionalFormatting sqref="S29:U35">
    <cfRule type="expression" dxfId="395" priority="182" stopIfTrue="1">
      <formula>#REF!&lt;&gt;"Y"</formula>
    </cfRule>
  </conditionalFormatting>
  <conditionalFormatting sqref="V4:X6">
    <cfRule type="expression" dxfId="394" priority="24" stopIfTrue="1">
      <formula>#REF!&lt;&gt;"Y"</formula>
    </cfRule>
  </conditionalFormatting>
  <conditionalFormatting sqref="V36:X36">
    <cfRule type="expression" dxfId="393" priority="4" stopIfTrue="1">
      <formula>#REF!&lt;&gt;"Y"</formula>
    </cfRule>
  </conditionalFormatting>
  <conditionalFormatting sqref="Y20:Y26 Y29:Y35">
    <cfRule type="expression" dxfId="392" priority="400" stopIfTrue="1">
      <formula>#REF!&lt;&gt;"Y"</formula>
    </cfRule>
  </conditionalFormatting>
  <dataValidations count="2">
    <dataValidation type="list" allowBlank="1" showInputMessage="1" showErrorMessage="1" sqref="R36:R40">
      <formula1>"수용,미수용,보류"</formula1>
    </dataValidation>
    <dataValidation type="list" allowBlank="1" showInputMessage="1" showErrorMessage="1" sqref="T36:T40">
      <formula1>"상,중,하"</formula1>
    </dataValidation>
  </dataValidations>
  <printOptions horizontalCentered="1"/>
  <pageMargins left="0.78740157480314965" right="0.78740157480314965" top="0.78740157480314965" bottom="0.78740157480314965" header="0.39370078740157483" footer="0.39370078740157483"/>
  <pageSetup paperSize="8" scale="41" fitToWidth="0" fitToHeight="0" orientation="landscape" r:id="rId1"/>
  <headerFooter differentFirst="1" alignWithMargins="0">
    <oddFooter>&amp;C&amp;"맑은 고딕,보통"- &amp;P -&amp;R&amp;G</oddFooter>
    <firstFooter>&amp;C-3-</firstFooter>
  </headerFooter>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cellIs" priority="174" stopIfTrue="1" operator="equal" id="{55AD7FCB-F033-4577-91C9-00A98AF0FCA6}">
            <xm:f>'9.비기능'!#REF!=N</xm:f>
            <x14:dxf>
              <fill>
                <patternFill>
                  <bgColor indexed="47"/>
                </patternFill>
              </fill>
            </x14:dxf>
          </x14:cfRule>
          <xm:sqref>A7:A17</xm:sqref>
        </x14:conditionalFormatting>
        <x14:conditionalFormatting xmlns:xm="http://schemas.microsoft.com/office/excel/2006/main">
          <x14:cfRule type="cellIs" priority="72" stopIfTrue="1" operator="equal" id="{D4090804-92E3-4ECF-B542-1F64EC138866}">
            <xm:f>'9.비기능'!#REF!=N</xm:f>
            <x14:dxf>
              <fill>
                <patternFill>
                  <bgColor indexed="47"/>
                </patternFill>
              </fill>
            </x14:dxf>
          </x14:cfRule>
          <xm:sqref>A18:A19</xm:sqref>
        </x14:conditionalFormatting>
        <x14:conditionalFormatting xmlns:xm="http://schemas.microsoft.com/office/excel/2006/main">
          <x14:cfRule type="expression" priority="103" stopIfTrue="1" id="{CDB9299D-C33F-4300-8876-EAEF8CD9DE78}">
            <xm:f>'9.비기능'!#REF!&lt;&gt;"Y"</xm:f>
            <x14:dxf>
              <fill>
                <patternFill patternType="none">
                  <bgColor indexed="65"/>
                </patternFill>
              </fill>
            </x14:dxf>
          </x14:cfRule>
          <xm:sqref>B9:B17</xm:sqref>
        </x14:conditionalFormatting>
        <x14:conditionalFormatting xmlns:xm="http://schemas.microsoft.com/office/excel/2006/main">
          <x14:cfRule type="expression" priority="64" stopIfTrue="1" id="{15630E9A-49A8-43D4-9C1E-341508BF6E5E}">
            <xm:f>'9.비기능'!#REF!&lt;&gt;"Y"</xm:f>
            <x14:dxf>
              <fill>
                <patternFill patternType="none">
                  <bgColor indexed="65"/>
                </patternFill>
              </fill>
            </x14:dxf>
          </x14:cfRule>
          <xm:sqref>B19</xm:sqref>
        </x14:conditionalFormatting>
        <x14:conditionalFormatting xmlns:xm="http://schemas.microsoft.com/office/excel/2006/main">
          <x14:cfRule type="expression" priority="108" stopIfTrue="1" id="{9820F935-E2D5-41C6-B878-E548AE979042}">
            <xm:f>'9.비기능'!#REF!&lt;&gt;"Y"</xm:f>
            <x14:dxf>
              <fill>
                <patternFill patternType="none">
                  <bgColor indexed="65"/>
                </patternFill>
              </fill>
            </x14:dxf>
          </x14:cfRule>
          <xm:sqref>B7:C8</xm:sqref>
        </x14:conditionalFormatting>
        <x14:conditionalFormatting xmlns:xm="http://schemas.microsoft.com/office/excel/2006/main">
          <x14:cfRule type="expression" priority="69" stopIfTrue="1" id="{635273FA-3CED-479B-90A7-931151ADDEC6}">
            <xm:f>'9.비기능'!#REF!&lt;&gt;"Y"</xm:f>
            <x14:dxf>
              <fill>
                <patternFill patternType="none">
                  <bgColor indexed="65"/>
                </patternFill>
              </fill>
            </x14:dxf>
          </x14:cfRule>
          <xm:sqref>B18:C18 C19</xm:sqref>
        </x14:conditionalFormatting>
        <x14:conditionalFormatting xmlns:xm="http://schemas.microsoft.com/office/excel/2006/main">
          <x14:cfRule type="expression" priority="98" stopIfTrue="1" id="{F9EF09E0-1E20-44EF-810B-EF9BD45908B7}">
            <xm:f>'9.비기능'!#REF!&lt;&gt;"Y"</xm:f>
            <x14:dxf>
              <fill>
                <patternFill patternType="none">
                  <bgColor indexed="65"/>
                </patternFill>
              </fill>
            </x14:dxf>
          </x14:cfRule>
          <xm:sqref>C7:C17</xm:sqref>
        </x14:conditionalFormatting>
        <x14:conditionalFormatting xmlns:xm="http://schemas.microsoft.com/office/excel/2006/main">
          <x14:cfRule type="expression" priority="104" stopIfTrue="1" id="{0123FD01-ADE3-4B9B-BC1B-4DDA093BD5C5}">
            <xm:f>'9.비기능'!#REF!&lt;&gt;"Y"</xm:f>
            <x14:dxf>
              <fill>
                <patternFill patternType="none">
                  <bgColor indexed="65"/>
                </patternFill>
              </fill>
            </x14:dxf>
          </x14:cfRule>
          <xm:sqref>D7:E10</xm:sqref>
        </x14:conditionalFormatting>
        <x14:conditionalFormatting xmlns:xm="http://schemas.microsoft.com/office/excel/2006/main">
          <x14:cfRule type="expression" priority="60" stopIfTrue="1" id="{3ECDE842-0019-4ECC-A659-8AD580BB5A5F}">
            <xm:f>'9.비기능'!#REF!&lt;&gt;"Y"</xm:f>
            <x14:dxf>
              <fill>
                <patternFill patternType="none">
                  <bgColor indexed="65"/>
                </patternFill>
              </fill>
            </x14:dxf>
          </x14:cfRule>
          <xm:sqref>D14:E19</xm:sqref>
        </x14:conditionalFormatting>
        <x14:conditionalFormatting xmlns:xm="http://schemas.microsoft.com/office/excel/2006/main">
          <x14:cfRule type="expression" priority="113" stopIfTrue="1" id="{A4B37F31-8F14-4E92-92BB-559C0BC404F1}">
            <xm:f>'9.비기능'!#REF!&lt;&gt;"Y"</xm:f>
            <x14:dxf>
              <fill>
                <patternFill patternType="none">
                  <bgColor indexed="65"/>
                </patternFill>
              </fill>
            </x14:dxf>
          </x14:cfRule>
          <xm:sqref>D12:G13</xm:sqref>
        </x14:conditionalFormatting>
        <x14:conditionalFormatting xmlns:xm="http://schemas.microsoft.com/office/excel/2006/main">
          <x14:cfRule type="expression" priority="99" stopIfTrue="1" id="{D6579658-A385-4946-A039-A34FD0D321FE}">
            <xm:f>'9.비기능'!#REF!&lt;&gt;"Y"</xm:f>
            <x14:dxf>
              <fill>
                <patternFill patternType="none">
                  <bgColor indexed="65"/>
                </patternFill>
              </fill>
            </x14:dxf>
          </x14:cfRule>
          <xm:sqref>D11:I11</xm:sqref>
        </x14:conditionalFormatting>
        <x14:conditionalFormatting xmlns:xm="http://schemas.microsoft.com/office/excel/2006/main">
          <x14:cfRule type="expression" priority="169" stopIfTrue="1" id="{C4B2CC00-B9DC-4662-AAD6-F8D2A3C8BE36}">
            <xm:f>'9.비기능'!#REF!&lt;&gt;"Y"</xm:f>
            <x14:dxf>
              <fill>
                <patternFill patternType="none">
                  <bgColor indexed="65"/>
                </patternFill>
              </fill>
            </x14:dxf>
          </x14:cfRule>
          <xm:sqref>F14:G14</xm:sqref>
        </x14:conditionalFormatting>
        <x14:conditionalFormatting xmlns:xm="http://schemas.microsoft.com/office/excel/2006/main">
          <x14:cfRule type="expression" priority="154" stopIfTrue="1" id="{1983E65C-C24A-4A15-9701-6FE231DC5F6C}">
            <xm:f>'9.비기능'!#REF!&lt;&gt;"Y"</xm:f>
            <x14:dxf>
              <fill>
                <patternFill patternType="none">
                  <bgColor indexed="65"/>
                </patternFill>
              </fill>
            </x14:dxf>
          </x14:cfRule>
          <xm:sqref>F7:I10</xm:sqref>
        </x14:conditionalFormatting>
        <x14:conditionalFormatting xmlns:xm="http://schemas.microsoft.com/office/excel/2006/main">
          <x14:cfRule type="expression" priority="71" stopIfTrue="1" id="{E3287870-AD6E-4620-AD53-D6F0D613D599}">
            <xm:f>'9.비기능'!#REF!&lt;&gt;"Y"</xm:f>
            <x14:dxf>
              <fill>
                <patternFill patternType="none">
                  <bgColor indexed="65"/>
                </patternFill>
              </fill>
            </x14:dxf>
          </x14:cfRule>
          <xm:sqref>F15:I19</xm:sqref>
        </x14:conditionalFormatting>
        <x14:conditionalFormatting xmlns:xm="http://schemas.microsoft.com/office/excel/2006/main">
          <x14:cfRule type="expression" priority="171" stopIfTrue="1" id="{6C67BCD1-DFC9-4CE3-9743-61FF7F7256D7}">
            <xm:f>'9.비기능'!#REF!&lt;&gt;"Y"</xm:f>
            <x14:dxf>
              <fill>
                <patternFill patternType="none">
                  <bgColor indexed="65"/>
                </patternFill>
              </fill>
            </x14:dxf>
          </x14:cfRule>
          <xm:sqref>H12:I14</xm:sqref>
        </x14:conditionalFormatting>
        <x14:conditionalFormatting xmlns:xm="http://schemas.microsoft.com/office/excel/2006/main">
          <x14:cfRule type="expression" priority="172" stopIfTrue="1" id="{B427204B-3E97-4F73-B0EF-A88D628D38DE}">
            <xm:f>'9.비기능'!#REF!&lt;&gt;"Y"</xm:f>
            <x14:dxf>
              <fill>
                <patternFill patternType="none">
                  <bgColor indexed="65"/>
                </patternFill>
              </fill>
            </x14:dxf>
          </x14:cfRule>
          <xm:sqref>I9 I14</xm:sqref>
        </x14:conditionalFormatting>
        <x14:conditionalFormatting xmlns:xm="http://schemas.microsoft.com/office/excel/2006/main">
          <x14:cfRule type="expression" priority="25" stopIfTrue="1" id="{9FAABD9A-98F9-4DCC-B133-84BD96E7B748}">
            <xm:f>'9.비기능'!#REF!&lt;&gt;"Y"</xm:f>
            <x14:dxf>
              <fill>
                <patternFill patternType="none">
                  <bgColor indexed="65"/>
                </patternFill>
              </fill>
            </x14:dxf>
          </x14:cfRule>
          <xm:sqref>L7:O19</xm:sqref>
        </x14:conditionalFormatting>
        <x14:conditionalFormatting xmlns:xm="http://schemas.microsoft.com/office/excel/2006/main">
          <x14:cfRule type="expression" priority="11" stopIfTrue="1" id="{13A30CC3-7B66-44C8-8C0A-667FD276D62B}">
            <xm:f>'9.비기능'!#REF!&lt;&gt;"Y"</xm:f>
            <x14:dxf>
              <fill>
                <patternFill patternType="none">
                  <bgColor indexed="65"/>
                </patternFill>
              </fill>
            </x14:dxf>
          </x14:cfRule>
          <xm:sqref>P17</xm:sqref>
        </x14:conditionalFormatting>
        <x14:conditionalFormatting xmlns:xm="http://schemas.microsoft.com/office/excel/2006/main">
          <x14:cfRule type="expression" priority="54" stopIfTrue="1" id="{31970336-764A-44B2-A2EB-0FCFD08ED3AF}">
            <xm:f>'9.비기능'!#REF!&lt;&gt;"Y"</xm:f>
            <x14:dxf>
              <fill>
                <patternFill patternType="none">
                  <bgColor indexed="65"/>
                </patternFill>
              </fill>
            </x14:dxf>
          </x14:cfRule>
          <xm:sqref>S7:U19</xm:sqref>
        </x14:conditionalFormatting>
        <x14:conditionalFormatting xmlns:xm="http://schemas.microsoft.com/office/excel/2006/main">
          <x14:cfRule type="expression" priority="12" stopIfTrue="1" id="{26388A84-7EF3-43F6-8A1D-621707BF52C5}">
            <xm:f>'9.비기능'!#REF!&lt;&gt;"Y"</xm:f>
            <x14:dxf>
              <fill>
                <patternFill patternType="none">
                  <bgColor indexed="65"/>
                </patternFill>
              </fill>
            </x14:dxf>
          </x14:cfRule>
          <xm:sqref>S27:U28</xm:sqref>
        </x14:conditionalFormatting>
        <x14:conditionalFormatting xmlns:xm="http://schemas.microsoft.com/office/excel/2006/main">
          <x14:cfRule type="expression" priority="95" stopIfTrue="1" id="{330F12F4-9A5F-44B6-BE04-EC40E67D117A}">
            <xm:f>'9.비기능'!#REF!&lt;&gt;"Y"</xm:f>
            <x14:dxf>
              <fill>
                <patternFill patternType="none">
                  <bgColor indexed="65"/>
                </patternFill>
              </fill>
            </x14:dxf>
          </x14:cfRule>
          <xm:sqref>W17 Y17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21"/>
  <sheetViews>
    <sheetView zoomScale="60" zoomScaleNormal="60" zoomScaleSheetLayoutView="85" workbookViewId="0">
      <pane xSplit="1" ySplit="6" topLeftCell="B18" activePane="bottomRight" state="frozen"/>
      <selection activeCell="E27" sqref="E27"/>
      <selection pane="topRight" activeCell="E27" sqref="E27"/>
      <selection pane="bottomLeft" activeCell="E27" sqref="E27"/>
      <selection pane="bottomRight" activeCell="J8" sqref="J8"/>
    </sheetView>
  </sheetViews>
  <sheetFormatPr defaultColWidth="9.140625" defaultRowHeight="13.5"/>
  <cols>
    <col min="1" max="1" width="5.42578125" style="5" customWidth="1"/>
    <col min="2" max="2" width="10.85546875" style="4" customWidth="1"/>
    <col min="3" max="3" width="24.42578125" style="4" bestFit="1" customWidth="1"/>
    <col min="4" max="4" width="35.7109375" style="22" customWidth="1"/>
    <col min="5" max="5" width="59.140625" style="16" customWidth="1"/>
    <col min="6" max="6" width="12" style="5" customWidth="1"/>
    <col min="7" max="7" width="7.7109375" style="5" bestFit="1" customWidth="1"/>
    <col min="8" max="8" width="10" style="5" customWidth="1"/>
    <col min="9" max="9" width="15.42578125" style="5" customWidth="1"/>
    <col min="10" max="10" width="29.85546875" style="5" bestFit="1" customWidth="1"/>
    <col min="11" max="11" width="49.140625" style="5" customWidth="1"/>
    <col min="12" max="12" width="17.85546875" style="3" customWidth="1"/>
    <col min="13" max="13" width="15.42578125" style="5" customWidth="1"/>
    <col min="14" max="14" width="25.7109375" style="3" customWidth="1"/>
    <col min="15" max="15" width="11.7109375" style="5" customWidth="1"/>
    <col min="16" max="16" width="66.28515625" style="10" customWidth="1"/>
    <col min="17" max="17" width="21.85546875" style="17" customWidth="1"/>
    <col min="18" max="19" width="8.28515625" style="17" customWidth="1"/>
    <col min="20" max="20" width="8.28515625" style="12" customWidth="1"/>
    <col min="21" max="21" width="12.85546875" style="17" customWidth="1"/>
    <col min="22" max="22" width="17.7109375" style="13" customWidth="1"/>
    <col min="23" max="23" width="19.42578125" style="13" customWidth="1"/>
    <col min="24" max="24" width="12.28515625" style="13" customWidth="1"/>
    <col min="25" max="25" width="22.28515625" style="19" customWidth="1"/>
    <col min="26" max="16384" width="9.140625" style="3"/>
  </cols>
  <sheetData>
    <row r="1" spans="1:25" s="2" customFormat="1" ht="15" customHeight="1">
      <c r="A1" s="6"/>
      <c r="B1" s="18"/>
      <c r="C1" s="34"/>
      <c r="D1" s="24"/>
      <c r="E1" s="14"/>
      <c r="F1" s="25"/>
      <c r="G1" s="25"/>
      <c r="H1" s="25"/>
      <c r="I1" s="25"/>
      <c r="J1" s="25"/>
      <c r="K1" s="25"/>
      <c r="L1" s="52"/>
      <c r="M1" s="25"/>
      <c r="N1" s="52"/>
      <c r="O1" s="25"/>
      <c r="P1" s="24"/>
      <c r="Q1" s="6"/>
      <c r="R1" s="6"/>
      <c r="S1" s="6"/>
      <c r="T1" s="21"/>
      <c r="U1" s="6"/>
      <c r="Y1" s="7" t="e">
        <f>프로젝트명</f>
        <v>#REF!</v>
      </c>
    </row>
    <row r="2" spans="1:25" s="2" customFormat="1" ht="15" customHeight="1">
      <c r="A2" s="6"/>
      <c r="B2" s="18"/>
      <c r="C2" s="34"/>
      <c r="D2" s="24"/>
      <c r="E2" s="14"/>
      <c r="F2" s="25"/>
      <c r="G2" s="25"/>
      <c r="H2" s="25"/>
      <c r="I2" s="25"/>
      <c r="J2" s="25"/>
      <c r="K2" s="25"/>
      <c r="L2" s="52"/>
      <c r="M2" s="25"/>
      <c r="N2" s="52"/>
      <c r="O2" s="25"/>
      <c r="P2" s="24"/>
      <c r="Q2" s="6"/>
      <c r="R2" s="6"/>
      <c r="S2" s="6"/>
      <c r="T2" s="21"/>
      <c r="U2" s="6"/>
      <c r="Y2" s="7" t="s">
        <v>559</v>
      </c>
    </row>
    <row r="3" spans="1:25" s="2" customFormat="1" ht="8.25" customHeight="1">
      <c r="A3" s="6"/>
      <c r="B3" s="18"/>
      <c r="C3" s="34"/>
      <c r="D3" s="24"/>
      <c r="E3" s="14"/>
      <c r="F3" s="25"/>
      <c r="G3" s="25"/>
      <c r="H3" s="25"/>
      <c r="I3" s="25"/>
      <c r="J3" s="25"/>
      <c r="K3" s="25"/>
      <c r="L3" s="52"/>
      <c r="M3" s="25"/>
      <c r="N3" s="52"/>
      <c r="O3" s="25"/>
      <c r="P3" s="24"/>
      <c r="Q3" s="6"/>
      <c r="R3" s="6"/>
      <c r="S3" s="6"/>
      <c r="T3" s="6"/>
      <c r="U3" s="6"/>
    </row>
    <row r="4" spans="1:25">
      <c r="E4" s="15"/>
      <c r="F4" s="26"/>
      <c r="G4" s="26"/>
      <c r="H4" s="26"/>
      <c r="I4" s="26"/>
      <c r="J4" s="26"/>
      <c r="K4" s="26"/>
      <c r="L4" s="53"/>
      <c r="M4" s="26"/>
      <c r="N4" s="53"/>
      <c r="O4" s="26"/>
      <c r="S4" s="20"/>
      <c r="T4" s="11"/>
    </row>
    <row r="5" spans="1:25" s="17" customFormat="1" ht="46.5" customHeight="1">
      <c r="B5" s="563" t="s">
        <v>13</v>
      </c>
      <c r="C5" s="563" t="s">
        <v>2</v>
      </c>
      <c r="D5" s="563" t="s">
        <v>15</v>
      </c>
      <c r="E5" s="564" t="s">
        <v>21</v>
      </c>
      <c r="F5" s="562" t="s">
        <v>14</v>
      </c>
      <c r="G5" s="562"/>
      <c r="H5" s="562"/>
      <c r="I5" s="562"/>
      <c r="J5" s="562"/>
      <c r="K5" s="562"/>
      <c r="L5" s="562"/>
      <c r="M5" s="562"/>
      <c r="N5" s="562"/>
      <c r="O5" s="562"/>
      <c r="P5" s="563" t="s">
        <v>548</v>
      </c>
      <c r="Q5" s="563" t="s">
        <v>6</v>
      </c>
      <c r="R5" s="563" t="s">
        <v>4</v>
      </c>
      <c r="S5" s="563" t="s">
        <v>18</v>
      </c>
      <c r="T5" s="563" t="s">
        <v>3</v>
      </c>
      <c r="U5" s="563" t="s">
        <v>7</v>
      </c>
      <c r="V5" s="563" t="s">
        <v>19</v>
      </c>
      <c r="W5" s="563"/>
      <c r="X5" s="563"/>
      <c r="Y5" s="563"/>
    </row>
    <row r="6" spans="1:25" s="27" customFormat="1" ht="28.5" customHeight="1">
      <c r="B6" s="563"/>
      <c r="C6" s="563"/>
      <c r="D6" s="563"/>
      <c r="E6" s="564"/>
      <c r="F6" s="28" t="s">
        <v>8</v>
      </c>
      <c r="G6" s="28" t="s">
        <v>11</v>
      </c>
      <c r="H6" s="28" t="s">
        <v>12</v>
      </c>
      <c r="I6" s="29" t="s">
        <v>17</v>
      </c>
      <c r="J6" s="29" t="s">
        <v>1132</v>
      </c>
      <c r="K6" s="29" t="s">
        <v>1133</v>
      </c>
      <c r="L6" s="29" t="s">
        <v>458</v>
      </c>
      <c r="M6" s="29" t="s">
        <v>457</v>
      </c>
      <c r="N6" s="29" t="s">
        <v>20</v>
      </c>
      <c r="O6" s="28" t="s">
        <v>457</v>
      </c>
      <c r="P6" s="563"/>
      <c r="Q6" s="563"/>
      <c r="R6" s="563"/>
      <c r="S6" s="563"/>
      <c r="T6" s="563"/>
      <c r="U6" s="563"/>
      <c r="V6" s="341" t="s">
        <v>1</v>
      </c>
      <c r="W6" s="341" t="s">
        <v>5249</v>
      </c>
      <c r="X6" s="341" t="s">
        <v>5248</v>
      </c>
      <c r="Y6" s="341" t="s">
        <v>9</v>
      </c>
    </row>
    <row r="7" spans="1:25" s="23" customFormat="1" ht="66">
      <c r="A7" s="51">
        <v>1</v>
      </c>
      <c r="B7" s="38" t="s">
        <v>424</v>
      </c>
      <c r="C7" s="298" t="s">
        <v>4397</v>
      </c>
      <c r="D7" s="295" t="s">
        <v>4398</v>
      </c>
      <c r="E7" s="295" t="s">
        <v>633</v>
      </c>
      <c r="F7" s="38" t="s">
        <v>424</v>
      </c>
      <c r="G7" s="296">
        <v>16</v>
      </c>
      <c r="H7" s="296"/>
      <c r="I7" s="38"/>
      <c r="J7" s="38" t="s">
        <v>4399</v>
      </c>
      <c r="K7" s="308" t="s">
        <v>5779</v>
      </c>
      <c r="L7" s="44" t="s">
        <v>467</v>
      </c>
      <c r="M7" s="38">
        <v>11</v>
      </c>
      <c r="N7" s="317" t="s">
        <v>446</v>
      </c>
      <c r="O7" s="32">
        <v>58</v>
      </c>
      <c r="P7" s="37" t="s">
        <v>552</v>
      </c>
      <c r="Q7" s="38"/>
      <c r="R7" s="38" t="s">
        <v>841</v>
      </c>
      <c r="S7" s="38" t="s">
        <v>4422</v>
      </c>
      <c r="T7" s="38"/>
      <c r="U7" s="38"/>
      <c r="V7" s="39"/>
      <c r="W7" s="39"/>
      <c r="X7" s="39"/>
      <c r="Y7" s="39"/>
    </row>
    <row r="8" spans="1:25" s="23" customFormat="1" ht="82.5">
      <c r="A8" s="51">
        <v>2</v>
      </c>
      <c r="B8" s="38" t="s">
        <v>424</v>
      </c>
      <c r="C8" s="298" t="s">
        <v>902</v>
      </c>
      <c r="D8" s="295" t="s">
        <v>4400</v>
      </c>
      <c r="E8" s="37" t="s">
        <v>634</v>
      </c>
      <c r="F8" s="38" t="s">
        <v>424</v>
      </c>
      <c r="G8" s="296">
        <v>16</v>
      </c>
      <c r="H8" s="296"/>
      <c r="I8" s="38"/>
      <c r="J8" s="38" t="s">
        <v>4401</v>
      </c>
      <c r="K8" s="308" t="s">
        <v>5780</v>
      </c>
      <c r="L8" s="44" t="s">
        <v>467</v>
      </c>
      <c r="M8" s="38">
        <v>11</v>
      </c>
      <c r="N8" s="317" t="s">
        <v>446</v>
      </c>
      <c r="O8" s="32">
        <v>58</v>
      </c>
      <c r="P8" s="37" t="s">
        <v>5900</v>
      </c>
      <c r="Q8" s="38"/>
      <c r="R8" s="38" t="s">
        <v>841</v>
      </c>
      <c r="S8" s="38" t="s">
        <v>4422</v>
      </c>
      <c r="T8" s="38"/>
      <c r="U8" s="38"/>
      <c r="V8" s="39"/>
      <c r="W8" s="39"/>
      <c r="X8" s="39"/>
      <c r="Y8" s="39"/>
    </row>
    <row r="9" spans="1:25" s="23" customFormat="1" ht="66">
      <c r="A9" s="51">
        <v>3</v>
      </c>
      <c r="B9" s="38" t="s">
        <v>424</v>
      </c>
      <c r="C9" s="298" t="s">
        <v>903</v>
      </c>
      <c r="D9" s="295" t="s">
        <v>4402</v>
      </c>
      <c r="E9" s="37" t="s">
        <v>531</v>
      </c>
      <c r="F9" s="38" t="s">
        <v>424</v>
      </c>
      <c r="G9" s="296">
        <v>16</v>
      </c>
      <c r="H9" s="296"/>
      <c r="I9" s="38"/>
      <c r="J9" s="38" t="s">
        <v>4403</v>
      </c>
      <c r="K9" s="308" t="s">
        <v>5781</v>
      </c>
      <c r="L9" s="44" t="s">
        <v>467</v>
      </c>
      <c r="M9" s="38">
        <v>11</v>
      </c>
      <c r="N9" s="317" t="s">
        <v>446</v>
      </c>
      <c r="O9" s="32">
        <v>58</v>
      </c>
      <c r="P9" s="37" t="s">
        <v>553</v>
      </c>
      <c r="Q9" s="38"/>
      <c r="R9" s="38" t="s">
        <v>841</v>
      </c>
      <c r="S9" s="38" t="s">
        <v>4422</v>
      </c>
      <c r="T9" s="38"/>
      <c r="U9" s="38"/>
      <c r="V9" s="39"/>
      <c r="W9" s="39"/>
      <c r="X9" s="39"/>
      <c r="Y9" s="39"/>
    </row>
    <row r="10" spans="1:25" s="23" customFormat="1" ht="82.5">
      <c r="A10" s="51">
        <v>4</v>
      </c>
      <c r="B10" s="38" t="s">
        <v>424</v>
      </c>
      <c r="C10" s="298" t="s">
        <v>904</v>
      </c>
      <c r="D10" s="295" t="s">
        <v>4404</v>
      </c>
      <c r="E10" s="37" t="s">
        <v>532</v>
      </c>
      <c r="F10" s="38" t="s">
        <v>424</v>
      </c>
      <c r="G10" s="296">
        <v>16</v>
      </c>
      <c r="H10" s="296"/>
      <c r="I10" s="38"/>
      <c r="J10" s="38" t="s">
        <v>4405</v>
      </c>
      <c r="K10" s="308" t="s">
        <v>5901</v>
      </c>
      <c r="L10" s="44" t="s">
        <v>467</v>
      </c>
      <c r="M10" s="38">
        <v>11</v>
      </c>
      <c r="N10" s="317" t="s">
        <v>446</v>
      </c>
      <c r="O10" s="32">
        <v>58</v>
      </c>
      <c r="P10" s="37" t="s">
        <v>5902</v>
      </c>
      <c r="Q10" s="38"/>
      <c r="R10" s="38" t="s">
        <v>841</v>
      </c>
      <c r="S10" s="38" t="s">
        <v>4422</v>
      </c>
      <c r="T10" s="38"/>
      <c r="U10" s="38"/>
      <c r="V10" s="39"/>
      <c r="W10" s="39"/>
      <c r="X10" s="39"/>
      <c r="Y10" s="39"/>
    </row>
    <row r="11" spans="1:25" s="23" customFormat="1" ht="247.5">
      <c r="A11" s="51">
        <v>5</v>
      </c>
      <c r="B11" s="38" t="s">
        <v>424</v>
      </c>
      <c r="C11" s="298" t="s">
        <v>905</v>
      </c>
      <c r="D11" s="295" t="s">
        <v>4406</v>
      </c>
      <c r="E11" s="37" t="s">
        <v>533</v>
      </c>
      <c r="F11" s="38" t="s">
        <v>424</v>
      </c>
      <c r="G11" s="296">
        <v>16</v>
      </c>
      <c r="H11" s="296"/>
      <c r="I11" s="38"/>
      <c r="J11" s="38" t="s">
        <v>4407</v>
      </c>
      <c r="K11" s="308" t="s">
        <v>5903</v>
      </c>
      <c r="L11" s="44" t="s">
        <v>467</v>
      </c>
      <c r="M11" s="38">
        <v>11</v>
      </c>
      <c r="N11" s="317" t="s">
        <v>446</v>
      </c>
      <c r="O11" s="32">
        <v>58</v>
      </c>
      <c r="P11" s="37" t="s">
        <v>5904</v>
      </c>
      <c r="Q11" s="38"/>
      <c r="R11" s="38" t="s">
        <v>841</v>
      </c>
      <c r="S11" s="38" t="s">
        <v>4422</v>
      </c>
      <c r="T11" s="38"/>
      <c r="U11" s="38" t="s">
        <v>4423</v>
      </c>
      <c r="V11" s="39"/>
      <c r="W11" s="39"/>
      <c r="X11" s="39"/>
      <c r="Y11" s="39"/>
    </row>
    <row r="12" spans="1:25" s="23" customFormat="1" ht="297">
      <c r="A12" s="51">
        <v>6</v>
      </c>
      <c r="B12" s="38" t="s">
        <v>424</v>
      </c>
      <c r="C12" s="298" t="s">
        <v>906</v>
      </c>
      <c r="D12" s="295" t="s">
        <v>4408</v>
      </c>
      <c r="E12" s="37" t="s">
        <v>534</v>
      </c>
      <c r="F12" s="38" t="s">
        <v>424</v>
      </c>
      <c r="G12" s="296">
        <v>16</v>
      </c>
      <c r="H12" s="296"/>
      <c r="I12" s="38"/>
      <c r="J12" s="38" t="s">
        <v>5905</v>
      </c>
      <c r="K12" s="308" t="s">
        <v>5906</v>
      </c>
      <c r="L12" s="44" t="s">
        <v>467</v>
      </c>
      <c r="M12" s="38">
        <v>11</v>
      </c>
      <c r="N12" s="317" t="s">
        <v>446</v>
      </c>
      <c r="O12" s="32">
        <v>58</v>
      </c>
      <c r="P12" s="37" t="s">
        <v>5907</v>
      </c>
      <c r="Q12" s="38"/>
      <c r="R12" s="38" t="s">
        <v>841</v>
      </c>
      <c r="S12" s="38" t="s">
        <v>4422</v>
      </c>
      <c r="T12" s="38"/>
      <c r="U12" s="38"/>
      <c r="V12" s="39"/>
      <c r="W12" s="39"/>
      <c r="X12" s="39"/>
      <c r="Y12" s="39"/>
    </row>
    <row r="13" spans="1:25" s="23" customFormat="1" ht="66">
      <c r="A13" s="51">
        <v>7</v>
      </c>
      <c r="B13" s="38" t="s">
        <v>424</v>
      </c>
      <c r="C13" s="298" t="s">
        <v>907</v>
      </c>
      <c r="D13" s="295" t="s">
        <v>4409</v>
      </c>
      <c r="E13" s="37" t="s">
        <v>535</v>
      </c>
      <c r="F13" s="38" t="s">
        <v>424</v>
      </c>
      <c r="G13" s="296">
        <v>16</v>
      </c>
      <c r="H13" s="296"/>
      <c r="I13" s="38"/>
      <c r="J13" s="38" t="s">
        <v>5908</v>
      </c>
      <c r="K13" s="308" t="s">
        <v>5909</v>
      </c>
      <c r="L13" s="44" t="s">
        <v>467</v>
      </c>
      <c r="M13" s="38">
        <v>11</v>
      </c>
      <c r="N13" s="317" t="s">
        <v>446</v>
      </c>
      <c r="O13" s="32">
        <v>58</v>
      </c>
      <c r="P13" s="37" t="s">
        <v>5910</v>
      </c>
      <c r="Q13" s="38"/>
      <c r="R13" s="38" t="s">
        <v>841</v>
      </c>
      <c r="S13" s="38" t="s">
        <v>4422</v>
      </c>
      <c r="T13" s="38"/>
      <c r="U13" s="38" t="s">
        <v>4423</v>
      </c>
      <c r="V13" s="39"/>
      <c r="W13" s="39"/>
      <c r="X13" s="39"/>
      <c r="Y13" s="39"/>
    </row>
    <row r="14" spans="1:25" s="23" customFormat="1" ht="66">
      <c r="A14" s="51">
        <v>8</v>
      </c>
      <c r="B14" s="38" t="s">
        <v>424</v>
      </c>
      <c r="C14" s="298" t="s">
        <v>908</v>
      </c>
      <c r="D14" s="295" t="s">
        <v>4410</v>
      </c>
      <c r="E14" s="37" t="s">
        <v>536</v>
      </c>
      <c r="F14" s="38" t="s">
        <v>424</v>
      </c>
      <c r="G14" s="296">
        <v>16</v>
      </c>
      <c r="H14" s="296"/>
      <c r="I14" s="38"/>
      <c r="J14" s="38" t="s">
        <v>4411</v>
      </c>
      <c r="K14" s="308" t="s">
        <v>5911</v>
      </c>
      <c r="L14" s="44" t="s">
        <v>467</v>
      </c>
      <c r="M14" s="38">
        <v>11</v>
      </c>
      <c r="N14" s="317" t="s">
        <v>446</v>
      </c>
      <c r="O14" s="32">
        <v>58</v>
      </c>
      <c r="P14" s="37" t="s">
        <v>554</v>
      </c>
      <c r="Q14" s="38"/>
      <c r="R14" s="38" t="s">
        <v>841</v>
      </c>
      <c r="S14" s="38" t="s">
        <v>4422</v>
      </c>
      <c r="T14" s="38"/>
      <c r="U14" s="38"/>
      <c r="V14" s="39"/>
      <c r="W14" s="39"/>
      <c r="X14" s="39"/>
      <c r="Y14" s="39"/>
    </row>
    <row r="15" spans="1:25" s="23" customFormat="1" ht="82.5">
      <c r="A15" s="51">
        <v>9</v>
      </c>
      <c r="B15" s="38" t="s">
        <v>424</v>
      </c>
      <c r="C15" s="298" t="s">
        <v>909</v>
      </c>
      <c r="D15" s="295" t="s">
        <v>4412</v>
      </c>
      <c r="E15" s="37" t="s">
        <v>537</v>
      </c>
      <c r="F15" s="38" t="s">
        <v>424</v>
      </c>
      <c r="G15" s="296">
        <v>16</v>
      </c>
      <c r="H15" s="296"/>
      <c r="I15" s="38"/>
      <c r="J15" s="38" t="s">
        <v>4413</v>
      </c>
      <c r="K15" s="308" t="s">
        <v>5782</v>
      </c>
      <c r="L15" s="44" t="s">
        <v>467</v>
      </c>
      <c r="M15" s="38">
        <v>11</v>
      </c>
      <c r="N15" s="317" t="s">
        <v>446</v>
      </c>
      <c r="O15" s="32">
        <v>58</v>
      </c>
      <c r="P15" s="37" t="s">
        <v>555</v>
      </c>
      <c r="Q15" s="38"/>
      <c r="R15" s="38" t="s">
        <v>841</v>
      </c>
      <c r="S15" s="38" t="s">
        <v>4422</v>
      </c>
      <c r="T15" s="38"/>
      <c r="U15" s="38"/>
      <c r="V15" s="39"/>
      <c r="W15" s="39"/>
      <c r="X15" s="39"/>
      <c r="Y15" s="39"/>
    </row>
    <row r="16" spans="1:25" s="23" customFormat="1" ht="82.5">
      <c r="A16" s="51">
        <v>10</v>
      </c>
      <c r="B16" s="38" t="s">
        <v>424</v>
      </c>
      <c r="C16" s="298" t="s">
        <v>910</v>
      </c>
      <c r="D16" s="295" t="s">
        <v>4414</v>
      </c>
      <c r="E16" s="37" t="s">
        <v>538</v>
      </c>
      <c r="F16" s="38" t="s">
        <v>424</v>
      </c>
      <c r="G16" s="296">
        <v>16</v>
      </c>
      <c r="H16" s="296"/>
      <c r="I16" s="38"/>
      <c r="J16" s="38" t="s">
        <v>4415</v>
      </c>
      <c r="K16" s="308" t="s">
        <v>5912</v>
      </c>
      <c r="L16" s="44" t="s">
        <v>467</v>
      </c>
      <c r="M16" s="38">
        <v>11</v>
      </c>
      <c r="N16" s="317" t="s">
        <v>446</v>
      </c>
      <c r="O16" s="32">
        <v>58</v>
      </c>
      <c r="P16" s="37" t="s">
        <v>5913</v>
      </c>
      <c r="Q16" s="38"/>
      <c r="R16" s="38" t="s">
        <v>841</v>
      </c>
      <c r="S16" s="38" t="s">
        <v>4422</v>
      </c>
      <c r="T16" s="38"/>
      <c r="U16" s="38"/>
      <c r="V16" s="39"/>
      <c r="W16" s="39"/>
      <c r="X16" s="39"/>
      <c r="Y16" s="39"/>
    </row>
    <row r="17" spans="1:26" s="23" customFormat="1" ht="99">
      <c r="A17" s="51">
        <v>11</v>
      </c>
      <c r="B17" s="38" t="s">
        <v>424</v>
      </c>
      <c r="C17" s="298" t="s">
        <v>911</v>
      </c>
      <c r="D17" s="295" t="s">
        <v>4416</v>
      </c>
      <c r="E17" s="37" t="s">
        <v>5914</v>
      </c>
      <c r="F17" s="38" t="s">
        <v>424</v>
      </c>
      <c r="G17" s="296">
        <v>16</v>
      </c>
      <c r="H17" s="296"/>
      <c r="I17" s="38"/>
      <c r="J17" s="38" t="s">
        <v>4417</v>
      </c>
      <c r="K17" s="308" t="s">
        <v>5915</v>
      </c>
      <c r="L17" s="44" t="s">
        <v>467</v>
      </c>
      <c r="M17" s="38">
        <v>11</v>
      </c>
      <c r="N17" s="317" t="s">
        <v>446</v>
      </c>
      <c r="O17" s="32">
        <v>58</v>
      </c>
      <c r="P17" s="37" t="s">
        <v>5916</v>
      </c>
      <c r="Q17" s="38"/>
      <c r="R17" s="38" t="s">
        <v>841</v>
      </c>
      <c r="S17" s="38" t="s">
        <v>4422</v>
      </c>
      <c r="T17" s="38"/>
      <c r="U17" s="38" t="s">
        <v>4423</v>
      </c>
      <c r="V17" s="39"/>
      <c r="W17" s="39"/>
      <c r="X17" s="39"/>
      <c r="Y17" s="39"/>
    </row>
    <row r="18" spans="1:26" s="23" customFormat="1" ht="115.5">
      <c r="A18" s="51">
        <v>12</v>
      </c>
      <c r="B18" s="38" t="s">
        <v>424</v>
      </c>
      <c r="C18" s="298" t="s">
        <v>912</v>
      </c>
      <c r="D18" s="295" t="s">
        <v>4418</v>
      </c>
      <c r="E18" s="37" t="s">
        <v>539</v>
      </c>
      <c r="F18" s="38" t="s">
        <v>424</v>
      </c>
      <c r="G18" s="296">
        <v>16</v>
      </c>
      <c r="H18" s="296"/>
      <c r="I18" s="38"/>
      <c r="J18" s="38" t="s">
        <v>5917</v>
      </c>
      <c r="K18" s="308" t="s">
        <v>5918</v>
      </c>
      <c r="L18" s="44" t="s">
        <v>467</v>
      </c>
      <c r="M18" s="38">
        <v>11</v>
      </c>
      <c r="N18" s="317" t="s">
        <v>446</v>
      </c>
      <c r="O18" s="32">
        <v>58</v>
      </c>
      <c r="P18" s="37" t="s">
        <v>5919</v>
      </c>
      <c r="Q18" s="38"/>
      <c r="R18" s="38" t="s">
        <v>841</v>
      </c>
      <c r="S18" s="38" t="s">
        <v>4422</v>
      </c>
      <c r="T18" s="38"/>
      <c r="U18" s="38"/>
      <c r="V18" s="39"/>
      <c r="W18" s="39"/>
      <c r="X18" s="39"/>
      <c r="Y18" s="39"/>
    </row>
    <row r="19" spans="1:26" s="23" customFormat="1" ht="99">
      <c r="A19" s="51">
        <v>13</v>
      </c>
      <c r="B19" s="38" t="s">
        <v>424</v>
      </c>
      <c r="C19" s="380" t="s">
        <v>913</v>
      </c>
      <c r="D19" s="295" t="s">
        <v>4419</v>
      </c>
      <c r="E19" s="37" t="s">
        <v>540</v>
      </c>
      <c r="F19" s="38" t="s">
        <v>424</v>
      </c>
      <c r="G19" s="296">
        <v>16</v>
      </c>
      <c r="H19" s="296"/>
      <c r="I19" s="38"/>
      <c r="J19" s="38" t="s">
        <v>4979</v>
      </c>
      <c r="K19" s="308"/>
      <c r="L19" s="317" t="s">
        <v>446</v>
      </c>
      <c r="M19" s="32">
        <v>58</v>
      </c>
      <c r="N19" s="37" t="s">
        <v>556</v>
      </c>
      <c r="O19" s="346"/>
      <c r="P19" s="37" t="s">
        <v>540</v>
      </c>
      <c r="Q19" s="38"/>
      <c r="R19" s="38" t="s">
        <v>841</v>
      </c>
      <c r="S19" s="38" t="s">
        <v>4422</v>
      </c>
      <c r="T19" s="38"/>
      <c r="U19" s="345" t="s">
        <v>5267</v>
      </c>
      <c r="V19" s="38"/>
      <c r="W19" s="346" t="s">
        <v>5257</v>
      </c>
      <c r="X19" s="39"/>
      <c r="Y19" s="39"/>
      <c r="Z19" s="39"/>
    </row>
    <row r="20" spans="1:26" s="23" customFormat="1" ht="115.5">
      <c r="A20" s="51">
        <v>14</v>
      </c>
      <c r="B20" s="38" t="s">
        <v>424</v>
      </c>
      <c r="C20" s="380" t="s">
        <v>914</v>
      </c>
      <c r="D20" s="295" t="s">
        <v>4420</v>
      </c>
      <c r="E20" s="37" t="s">
        <v>541</v>
      </c>
      <c r="F20" s="38" t="s">
        <v>424</v>
      </c>
      <c r="G20" s="296">
        <v>16</v>
      </c>
      <c r="H20" s="296"/>
      <c r="I20" s="38"/>
      <c r="J20" s="38" t="s">
        <v>4979</v>
      </c>
      <c r="K20" s="308"/>
      <c r="L20" s="317" t="s">
        <v>446</v>
      </c>
      <c r="M20" s="32">
        <v>58</v>
      </c>
      <c r="N20" s="37" t="s">
        <v>557</v>
      </c>
      <c r="O20" s="346"/>
      <c r="P20" s="37" t="s">
        <v>541</v>
      </c>
      <c r="Q20" s="38"/>
      <c r="R20" s="38" t="s">
        <v>841</v>
      </c>
      <c r="S20" s="38" t="s">
        <v>4422</v>
      </c>
      <c r="T20" s="38"/>
      <c r="U20" s="345" t="s">
        <v>5267</v>
      </c>
      <c r="V20" s="38"/>
      <c r="W20" s="346" t="s">
        <v>5257</v>
      </c>
      <c r="X20" s="39"/>
      <c r="Y20" s="39"/>
      <c r="Z20" s="39"/>
    </row>
    <row r="21" spans="1:26" s="23" customFormat="1" ht="82.5">
      <c r="A21" s="51">
        <v>15</v>
      </c>
      <c r="B21" s="38" t="s">
        <v>424</v>
      </c>
      <c r="C21" s="380" t="s">
        <v>915</v>
      </c>
      <c r="D21" s="295" t="s">
        <v>4421</v>
      </c>
      <c r="E21" s="37" t="s">
        <v>542</v>
      </c>
      <c r="F21" s="38" t="s">
        <v>424</v>
      </c>
      <c r="G21" s="296">
        <v>16</v>
      </c>
      <c r="H21" s="296"/>
      <c r="I21" s="38"/>
      <c r="J21" s="38" t="s">
        <v>4979</v>
      </c>
      <c r="K21" s="308"/>
      <c r="L21" s="317" t="s">
        <v>446</v>
      </c>
      <c r="M21" s="32">
        <v>58</v>
      </c>
      <c r="N21" s="37" t="s">
        <v>558</v>
      </c>
      <c r="O21" s="346"/>
      <c r="P21" s="37" t="s">
        <v>542</v>
      </c>
      <c r="Q21" s="38"/>
      <c r="R21" s="38" t="s">
        <v>841</v>
      </c>
      <c r="S21" s="38" t="s">
        <v>4422</v>
      </c>
      <c r="T21" s="38"/>
      <c r="U21" s="345" t="s">
        <v>5267</v>
      </c>
      <c r="V21" s="38"/>
      <c r="W21" s="346" t="s">
        <v>5257</v>
      </c>
      <c r="X21" s="39"/>
      <c r="Y21" s="39"/>
      <c r="Z21" s="39"/>
    </row>
  </sheetData>
  <mergeCells count="12">
    <mergeCell ref="V5:Y5"/>
    <mergeCell ref="B5:B6"/>
    <mergeCell ref="C5:C6"/>
    <mergeCell ref="D5:D6"/>
    <mergeCell ref="E5:E6"/>
    <mergeCell ref="F5:O5"/>
    <mergeCell ref="P5:P6"/>
    <mergeCell ref="Q5:Q6"/>
    <mergeCell ref="R5:R6"/>
    <mergeCell ref="S5:S6"/>
    <mergeCell ref="T5:T6"/>
    <mergeCell ref="U5:U6"/>
  </mergeCells>
  <phoneticPr fontId="15" type="noConversion"/>
  <conditionalFormatting sqref="A4:A18">
    <cfRule type="cellIs" dxfId="370" priority="8" stopIfTrue="1" operator="equal">
      <formula>#REF!=N</formula>
    </cfRule>
  </conditionalFormatting>
  <conditionalFormatting sqref="B4:D5 S4:T5">
    <cfRule type="expression" dxfId="369" priority="7" stopIfTrue="1">
      <formula>#REF!&lt;&gt;"Y"</formula>
    </cfRule>
  </conditionalFormatting>
  <conditionalFormatting sqref="B7:O18">
    <cfRule type="expression" dxfId="368" priority="1" stopIfTrue="1">
      <formula>#REF!&lt;&gt;"Y"</formula>
    </cfRule>
  </conditionalFormatting>
  <conditionalFormatting sqref="E4:O4 E5:F5">
    <cfRule type="expression" dxfId="367" priority="6" stopIfTrue="1">
      <formula>#REF!&lt;&gt;"Y"</formula>
    </cfRule>
  </conditionalFormatting>
  <conditionalFormatting sqref="F6:O6">
    <cfRule type="expression" dxfId="366" priority="5" stopIfTrue="1">
      <formula>#REF!&lt;&gt;"Y"</formula>
    </cfRule>
  </conditionalFormatting>
  <conditionalFormatting sqref="S7:T18">
    <cfRule type="expression" dxfId="365" priority="3" stopIfTrue="1">
      <formula>#REF!&lt;&gt;"Y"</formula>
    </cfRule>
  </conditionalFormatting>
  <conditionalFormatting sqref="U11 U13 U17">
    <cfRule type="expression" dxfId="364" priority="4" stopIfTrue="1">
      <formula>#REF!&lt;&gt;"Y"</formula>
    </cfRule>
  </conditionalFormatting>
  <conditionalFormatting sqref="V4:X18">
    <cfRule type="expression" dxfId="363" priority="2" stopIfTrue="1">
      <formula>#REF!&lt;&gt;"Y"</formula>
    </cfRule>
  </conditionalFormatting>
  <printOptions horizontalCentered="1"/>
  <pageMargins left="0.78740157480314965" right="0.78740157480314965" top="0.78740157480314965" bottom="0.78740157480314965" header="0.39370078740157483" footer="0.39370078740157483"/>
  <pageSetup paperSize="8" scale="41" fitToWidth="0" fitToHeight="0" orientation="landscape" r:id="rId1"/>
  <headerFooter differentFirst="1" alignWithMargins="0">
    <oddFooter>&amp;C&amp;"맑은 고딕,보통"- &amp;P -&amp;R&amp;G</oddFooter>
    <firstFooter>&amp;C-3-</first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sheetPr>
  <dimension ref="A1:Y60"/>
  <sheetViews>
    <sheetView zoomScale="55" zoomScaleNormal="55" zoomScaleSheetLayoutView="85" workbookViewId="0">
      <pane xSplit="1" ySplit="6" topLeftCell="E48" activePane="bottomRight" state="frozen"/>
      <selection activeCell="E27" sqref="E27"/>
      <selection pane="topRight" activeCell="E27" sqref="E27"/>
      <selection pane="bottomLeft" activeCell="E27" sqref="E27"/>
      <selection pane="bottomRight" activeCell="E49" sqref="E49"/>
    </sheetView>
  </sheetViews>
  <sheetFormatPr defaultColWidth="9.140625" defaultRowHeight="13.5"/>
  <cols>
    <col min="1" max="1" width="5.42578125" style="5" customWidth="1"/>
    <col min="2" max="2" width="10.85546875" style="4" customWidth="1"/>
    <col min="3" max="3" width="24.42578125" style="4" bestFit="1" customWidth="1"/>
    <col min="4" max="4" width="35.7109375" style="22" customWidth="1"/>
    <col min="5" max="5" width="59.140625" style="16" customWidth="1"/>
    <col min="6" max="6" width="9.28515625" style="5" bestFit="1" customWidth="1"/>
    <col min="7" max="7" width="7.7109375" style="5" customWidth="1"/>
    <col min="8" max="8" width="10" style="5" customWidth="1"/>
    <col min="9" max="9" width="8" style="5" bestFit="1" customWidth="1"/>
    <col min="10" max="10" width="40.140625" style="5" bestFit="1" customWidth="1"/>
    <col min="11" max="11" width="25" style="5" bestFit="1" customWidth="1"/>
    <col min="12" max="12" width="25.28515625" style="3" bestFit="1" customWidth="1"/>
    <col min="13" max="13" width="7.7109375" style="5" bestFit="1" customWidth="1"/>
    <col min="14" max="14" width="23.5703125" style="3" customWidth="1"/>
    <col min="15" max="15" width="7.5703125" style="5" bestFit="1" customWidth="1"/>
    <col min="16" max="16" width="66.28515625" style="5" customWidth="1"/>
    <col min="17" max="17" width="21.85546875" style="17" customWidth="1"/>
    <col min="18" max="19" width="8.28515625" style="17" customWidth="1"/>
    <col min="20" max="20" width="8.28515625" style="12" customWidth="1"/>
    <col min="21" max="21" width="12.85546875" style="17" customWidth="1"/>
    <col min="22" max="22" width="12.28515625" style="13" customWidth="1"/>
    <col min="23" max="23" width="35.5703125" style="13" customWidth="1"/>
    <col min="24" max="24" width="28.140625" style="13" customWidth="1"/>
    <col min="25" max="25" width="22.28515625" style="19" customWidth="1"/>
    <col min="26" max="16384" width="9.140625" style="3"/>
  </cols>
  <sheetData>
    <row r="1" spans="1:25" s="2" customFormat="1" ht="15" customHeight="1">
      <c r="A1" s="6"/>
      <c r="B1" s="18"/>
      <c r="C1" s="34"/>
      <c r="D1" s="24"/>
      <c r="E1" s="14"/>
      <c r="F1" s="25"/>
      <c r="G1" s="25"/>
      <c r="H1" s="25"/>
      <c r="I1" s="25"/>
      <c r="J1" s="25"/>
      <c r="K1" s="25"/>
      <c r="L1" s="52"/>
      <c r="M1" s="25"/>
      <c r="N1" s="52"/>
      <c r="O1" s="25"/>
      <c r="P1" s="18"/>
      <c r="Q1" s="6"/>
      <c r="R1" s="6"/>
      <c r="S1" s="6"/>
      <c r="T1" s="21"/>
      <c r="U1" s="6"/>
      <c r="Y1" s="7" t="e">
        <f>프로젝트명</f>
        <v>#REF!</v>
      </c>
    </row>
    <row r="2" spans="1:25" s="2" customFormat="1" ht="15" customHeight="1">
      <c r="A2" s="6"/>
      <c r="B2" s="18"/>
      <c r="C2" s="34"/>
      <c r="D2" s="24"/>
      <c r="E2" s="14"/>
      <c r="F2" s="25"/>
      <c r="G2" s="25"/>
      <c r="H2" s="25"/>
      <c r="I2" s="25"/>
      <c r="J2" s="25"/>
      <c r="K2" s="25"/>
      <c r="L2" s="52"/>
      <c r="M2" s="25"/>
      <c r="N2" s="52"/>
      <c r="O2" s="25"/>
      <c r="P2" s="18"/>
      <c r="Q2" s="6"/>
      <c r="R2" s="6"/>
      <c r="S2" s="6"/>
      <c r="T2" s="21"/>
      <c r="U2" s="6"/>
      <c r="Y2" s="7" t="s">
        <v>560</v>
      </c>
    </row>
    <row r="3" spans="1:25" s="2" customFormat="1" ht="8.25" customHeight="1">
      <c r="A3" s="6"/>
      <c r="B3" s="18"/>
      <c r="C3" s="34"/>
      <c r="D3" s="24"/>
      <c r="E3" s="14"/>
      <c r="F3" s="25"/>
      <c r="G3" s="25"/>
      <c r="H3" s="25"/>
      <c r="I3" s="25"/>
      <c r="J3" s="25"/>
      <c r="K3" s="25"/>
      <c r="L3" s="52"/>
      <c r="M3" s="25"/>
      <c r="N3" s="52"/>
      <c r="O3" s="25"/>
      <c r="P3" s="18"/>
      <c r="Q3" s="6"/>
      <c r="R3" s="6"/>
      <c r="S3" s="6"/>
      <c r="T3" s="6"/>
      <c r="U3" s="6"/>
    </row>
    <row r="4" spans="1:25">
      <c r="E4" s="15"/>
      <c r="F4" s="26"/>
      <c r="G4" s="26"/>
      <c r="H4" s="26"/>
      <c r="I4" s="26"/>
      <c r="J4" s="26"/>
      <c r="K4" s="26"/>
      <c r="L4" s="53"/>
      <c r="M4" s="26"/>
      <c r="N4" s="53"/>
      <c r="O4" s="26"/>
      <c r="S4" s="20"/>
      <c r="T4" s="11"/>
    </row>
    <row r="5" spans="1:25" s="17" customFormat="1" ht="46.5" customHeight="1">
      <c r="B5" s="563" t="s">
        <v>13</v>
      </c>
      <c r="C5" s="563" t="s">
        <v>2</v>
      </c>
      <c r="D5" s="563" t="s">
        <v>15</v>
      </c>
      <c r="E5" s="564" t="s">
        <v>21</v>
      </c>
      <c r="F5" s="562" t="s">
        <v>14</v>
      </c>
      <c r="G5" s="562"/>
      <c r="H5" s="562"/>
      <c r="I5" s="562"/>
      <c r="J5" s="562"/>
      <c r="K5" s="562"/>
      <c r="L5" s="562"/>
      <c r="M5" s="562"/>
      <c r="N5" s="562"/>
      <c r="O5" s="562"/>
      <c r="P5" s="563" t="s">
        <v>548</v>
      </c>
      <c r="Q5" s="563" t="s">
        <v>6</v>
      </c>
      <c r="R5" s="563" t="s">
        <v>4</v>
      </c>
      <c r="S5" s="563" t="s">
        <v>18</v>
      </c>
      <c r="T5" s="563" t="s">
        <v>3</v>
      </c>
      <c r="U5" s="563" t="s">
        <v>7</v>
      </c>
      <c r="V5" s="563" t="s">
        <v>19</v>
      </c>
      <c r="W5" s="563"/>
      <c r="X5" s="563"/>
      <c r="Y5" s="563"/>
    </row>
    <row r="6" spans="1:25" s="27" customFormat="1" ht="28.5" customHeight="1">
      <c r="B6" s="563"/>
      <c r="C6" s="563"/>
      <c r="D6" s="563"/>
      <c r="E6" s="564"/>
      <c r="F6" s="28" t="s">
        <v>8</v>
      </c>
      <c r="G6" s="28" t="s">
        <v>11</v>
      </c>
      <c r="H6" s="28" t="s">
        <v>12</v>
      </c>
      <c r="I6" s="29" t="s">
        <v>17</v>
      </c>
      <c r="J6" s="29" t="s">
        <v>1132</v>
      </c>
      <c r="K6" s="29" t="s">
        <v>1133</v>
      </c>
      <c r="L6" s="29" t="s">
        <v>458</v>
      </c>
      <c r="M6" s="29" t="s">
        <v>457</v>
      </c>
      <c r="N6" s="29" t="s">
        <v>20</v>
      </c>
      <c r="O6" s="28" t="s">
        <v>457</v>
      </c>
      <c r="P6" s="563"/>
      <c r="Q6" s="563"/>
      <c r="R6" s="563"/>
      <c r="S6" s="563"/>
      <c r="T6" s="563"/>
      <c r="U6" s="563"/>
      <c r="V6" s="341" t="s">
        <v>1</v>
      </c>
      <c r="W6" s="341" t="s">
        <v>5249</v>
      </c>
      <c r="X6" s="341" t="s">
        <v>5248</v>
      </c>
      <c r="Y6" s="341" t="s">
        <v>9</v>
      </c>
    </row>
    <row r="7" spans="1:25" s="27" customFormat="1" ht="408.6" customHeight="1">
      <c r="A7" s="51">
        <v>1</v>
      </c>
      <c r="B7" s="38" t="s">
        <v>427</v>
      </c>
      <c r="C7" s="298" t="s">
        <v>916</v>
      </c>
      <c r="D7" s="295" t="s">
        <v>5358</v>
      </c>
      <c r="E7" s="37" t="s">
        <v>4524</v>
      </c>
      <c r="F7" s="38" t="s">
        <v>427</v>
      </c>
      <c r="G7" s="296">
        <v>20</v>
      </c>
      <c r="H7" s="295"/>
      <c r="I7" s="38"/>
      <c r="J7" s="565" t="s">
        <v>5875</v>
      </c>
      <c r="K7" s="565" t="s">
        <v>5876</v>
      </c>
      <c r="L7" s="39" t="s">
        <v>474</v>
      </c>
      <c r="M7" s="38" t="s">
        <v>475</v>
      </c>
      <c r="N7" s="297" t="s">
        <v>447</v>
      </c>
      <c r="O7" s="32" t="s">
        <v>448</v>
      </c>
      <c r="P7" s="334" t="s">
        <v>1126</v>
      </c>
      <c r="Q7" s="38"/>
      <c r="R7" s="471" t="s">
        <v>561</v>
      </c>
      <c r="S7" s="38" t="s">
        <v>4526</v>
      </c>
      <c r="T7" s="38"/>
      <c r="U7" s="38"/>
      <c r="V7" s="39"/>
      <c r="W7" s="39"/>
      <c r="X7" s="39"/>
      <c r="Y7" s="39"/>
    </row>
    <row r="8" spans="1:25" s="23" customFormat="1" ht="408.6" customHeight="1">
      <c r="A8" s="51">
        <v>2</v>
      </c>
      <c r="B8" s="38" t="s">
        <v>427</v>
      </c>
      <c r="C8" s="298" t="s">
        <v>917</v>
      </c>
      <c r="D8" s="295" t="s">
        <v>5359</v>
      </c>
      <c r="E8" s="37" t="s">
        <v>833</v>
      </c>
      <c r="F8" s="38" t="s">
        <v>427</v>
      </c>
      <c r="G8" s="296">
        <v>20</v>
      </c>
      <c r="H8" s="295"/>
      <c r="I8" s="38"/>
      <c r="J8" s="566"/>
      <c r="K8" s="566"/>
      <c r="L8" s="39" t="s">
        <v>474</v>
      </c>
      <c r="M8" s="38" t="s">
        <v>475</v>
      </c>
      <c r="N8" s="297" t="s">
        <v>447</v>
      </c>
      <c r="O8" s="32" t="s">
        <v>448</v>
      </c>
      <c r="P8" s="334" t="s">
        <v>5250</v>
      </c>
      <c r="Q8" s="38"/>
      <c r="R8" s="38" t="s">
        <v>561</v>
      </c>
      <c r="S8" s="38" t="s">
        <v>4526</v>
      </c>
      <c r="T8" s="471"/>
      <c r="U8" s="38"/>
      <c r="V8" s="39"/>
      <c r="W8" s="39"/>
      <c r="X8" s="39"/>
      <c r="Y8" s="39"/>
    </row>
    <row r="9" spans="1:25" s="23" customFormat="1" ht="115.5">
      <c r="A9" s="51">
        <v>3</v>
      </c>
      <c r="B9" s="38" t="s">
        <v>427</v>
      </c>
      <c r="C9" s="298" t="s">
        <v>4527</v>
      </c>
      <c r="D9" s="295" t="s">
        <v>834</v>
      </c>
      <c r="E9" s="37" t="s">
        <v>835</v>
      </c>
      <c r="F9" s="38" t="s">
        <v>427</v>
      </c>
      <c r="G9" s="296">
        <v>20</v>
      </c>
      <c r="H9" s="295"/>
      <c r="I9" s="38"/>
      <c r="J9" s="38" t="s">
        <v>5877</v>
      </c>
      <c r="K9" s="38" t="s">
        <v>5878</v>
      </c>
      <c r="L9" s="39" t="s">
        <v>474</v>
      </c>
      <c r="M9" s="38" t="s">
        <v>475</v>
      </c>
      <c r="N9" s="297" t="s">
        <v>447</v>
      </c>
      <c r="O9" s="32" t="s">
        <v>448</v>
      </c>
      <c r="P9" s="334" t="s">
        <v>838</v>
      </c>
      <c r="Q9" s="38"/>
      <c r="R9" s="471" t="s">
        <v>16</v>
      </c>
      <c r="S9" s="38" t="s">
        <v>4526</v>
      </c>
      <c r="T9" s="471"/>
      <c r="U9" s="38"/>
      <c r="V9" s="39"/>
      <c r="W9" s="39"/>
      <c r="X9" s="39"/>
      <c r="Y9" s="39"/>
    </row>
    <row r="10" spans="1:25" s="23" customFormat="1" ht="132">
      <c r="A10" s="51">
        <v>4</v>
      </c>
      <c r="B10" s="38" t="s">
        <v>427</v>
      </c>
      <c r="C10" s="298" t="s">
        <v>918</v>
      </c>
      <c r="D10" s="295" t="s">
        <v>5360</v>
      </c>
      <c r="E10" s="37" t="s">
        <v>836</v>
      </c>
      <c r="F10" s="38" t="s">
        <v>427</v>
      </c>
      <c r="G10" s="296">
        <v>20</v>
      </c>
      <c r="H10" s="295"/>
      <c r="I10" s="38"/>
      <c r="J10" s="38" t="s">
        <v>5879</v>
      </c>
      <c r="K10" s="38" t="s">
        <v>5880</v>
      </c>
      <c r="L10" s="39" t="s">
        <v>474</v>
      </c>
      <c r="M10" s="38" t="s">
        <v>475</v>
      </c>
      <c r="N10" s="297" t="s">
        <v>447</v>
      </c>
      <c r="O10" s="32" t="s">
        <v>448</v>
      </c>
      <c r="P10" s="334" t="s">
        <v>839</v>
      </c>
      <c r="Q10" s="38"/>
      <c r="R10" s="471" t="s">
        <v>16</v>
      </c>
      <c r="S10" s="38" t="s">
        <v>4526</v>
      </c>
      <c r="T10" s="471"/>
      <c r="U10" s="38"/>
      <c r="V10" s="39"/>
      <c r="W10" s="39"/>
      <c r="X10" s="39"/>
      <c r="Y10" s="39"/>
    </row>
    <row r="11" spans="1:25" s="23" customFormat="1" ht="115.5">
      <c r="A11" s="51">
        <v>5</v>
      </c>
      <c r="B11" s="38" t="s">
        <v>427</v>
      </c>
      <c r="C11" s="298" t="s">
        <v>919</v>
      </c>
      <c r="D11" s="295" t="s">
        <v>5361</v>
      </c>
      <c r="E11" s="37" t="s">
        <v>837</v>
      </c>
      <c r="F11" s="38" t="s">
        <v>427</v>
      </c>
      <c r="G11" s="296">
        <v>20</v>
      </c>
      <c r="H11" s="295"/>
      <c r="I11" s="38"/>
      <c r="J11" s="38" t="s">
        <v>5879</v>
      </c>
      <c r="K11" s="38" t="s">
        <v>5881</v>
      </c>
      <c r="L11" s="39" t="s">
        <v>474</v>
      </c>
      <c r="M11" s="38" t="s">
        <v>475</v>
      </c>
      <c r="N11" s="297" t="s">
        <v>447</v>
      </c>
      <c r="O11" s="32" t="s">
        <v>448</v>
      </c>
      <c r="P11" s="334" t="s">
        <v>840</v>
      </c>
      <c r="Q11" s="38"/>
      <c r="R11" s="471" t="s">
        <v>16</v>
      </c>
      <c r="S11" s="38" t="s">
        <v>4526</v>
      </c>
      <c r="T11" s="471"/>
      <c r="U11" s="38"/>
      <c r="V11" s="39"/>
      <c r="W11" s="39"/>
      <c r="X11" s="39"/>
      <c r="Y11" s="39"/>
    </row>
    <row r="12" spans="1:25" s="23" customFormat="1" ht="82.5">
      <c r="A12" s="51">
        <v>6</v>
      </c>
      <c r="B12" s="38" t="s">
        <v>427</v>
      </c>
      <c r="C12" s="298" t="s">
        <v>920</v>
      </c>
      <c r="D12" s="295" t="s">
        <v>5362</v>
      </c>
      <c r="E12" s="37" t="s">
        <v>842</v>
      </c>
      <c r="F12" s="38" t="s">
        <v>427</v>
      </c>
      <c r="G12" s="296">
        <v>20</v>
      </c>
      <c r="H12" s="295"/>
      <c r="I12" s="38"/>
      <c r="J12" s="38" t="s">
        <v>4525</v>
      </c>
      <c r="K12" s="38" t="s">
        <v>5882</v>
      </c>
      <c r="L12" s="39" t="s">
        <v>474</v>
      </c>
      <c r="M12" s="38" t="s">
        <v>475</v>
      </c>
      <c r="N12" s="297" t="s">
        <v>447</v>
      </c>
      <c r="O12" s="32" t="s">
        <v>448</v>
      </c>
      <c r="P12" s="334" t="s">
        <v>847</v>
      </c>
      <c r="Q12" s="38"/>
      <c r="R12" s="471" t="s">
        <v>561</v>
      </c>
      <c r="S12" s="38" t="s">
        <v>4526</v>
      </c>
      <c r="T12" s="471"/>
      <c r="U12" s="38"/>
      <c r="V12" s="39"/>
      <c r="W12" s="39"/>
      <c r="X12" s="39"/>
      <c r="Y12" s="39"/>
    </row>
    <row r="13" spans="1:25" s="23" customFormat="1" ht="49.5">
      <c r="A13" s="51">
        <v>7</v>
      </c>
      <c r="B13" s="38" t="s">
        <v>427</v>
      </c>
      <c r="C13" s="298" t="s">
        <v>921</v>
      </c>
      <c r="D13" s="295" t="s">
        <v>5363</v>
      </c>
      <c r="E13" s="37" t="s">
        <v>4528</v>
      </c>
      <c r="F13" s="38" t="s">
        <v>427</v>
      </c>
      <c r="G13" s="296">
        <v>20</v>
      </c>
      <c r="H13" s="295"/>
      <c r="I13" s="38"/>
      <c r="J13" s="38" t="s">
        <v>5877</v>
      </c>
      <c r="K13" s="38" t="s">
        <v>5883</v>
      </c>
      <c r="L13" s="39" t="s">
        <v>474</v>
      </c>
      <c r="M13" s="38" t="s">
        <v>475</v>
      </c>
      <c r="N13" s="297" t="s">
        <v>447</v>
      </c>
      <c r="O13" s="32" t="s">
        <v>448</v>
      </c>
      <c r="P13" s="503" t="s">
        <v>4529</v>
      </c>
      <c r="Q13" s="38" t="s">
        <v>4530</v>
      </c>
      <c r="R13" s="38" t="s">
        <v>561</v>
      </c>
      <c r="S13" s="38" t="s">
        <v>4526</v>
      </c>
      <c r="T13" s="38"/>
      <c r="U13" s="38"/>
      <c r="V13" s="39"/>
      <c r="W13" s="39"/>
      <c r="X13" s="39"/>
      <c r="Y13" s="39"/>
    </row>
    <row r="14" spans="1:25" s="23" customFormat="1" ht="49.5">
      <c r="A14" s="51">
        <v>8</v>
      </c>
      <c r="B14" s="38" t="s">
        <v>427</v>
      </c>
      <c r="C14" s="298" t="s">
        <v>922</v>
      </c>
      <c r="D14" s="295" t="s">
        <v>5364</v>
      </c>
      <c r="E14" s="37" t="s">
        <v>843</v>
      </c>
      <c r="F14" s="38" t="s">
        <v>427</v>
      </c>
      <c r="G14" s="296">
        <v>20</v>
      </c>
      <c r="H14" s="295"/>
      <c r="I14" s="38"/>
      <c r="J14" s="38" t="s">
        <v>5877</v>
      </c>
      <c r="K14" s="38" t="s">
        <v>5883</v>
      </c>
      <c r="L14" s="39" t="s">
        <v>474</v>
      </c>
      <c r="M14" s="38" t="s">
        <v>475</v>
      </c>
      <c r="N14" s="297" t="s">
        <v>447</v>
      </c>
      <c r="O14" s="32" t="s">
        <v>448</v>
      </c>
      <c r="P14" s="503" t="s">
        <v>4531</v>
      </c>
      <c r="Q14" s="38" t="s">
        <v>4532</v>
      </c>
      <c r="R14" s="38" t="s">
        <v>4533</v>
      </c>
      <c r="S14" s="38" t="s">
        <v>4526</v>
      </c>
      <c r="T14" s="38"/>
      <c r="U14" s="38"/>
      <c r="V14" s="39"/>
      <c r="W14" s="39"/>
      <c r="X14" s="39"/>
      <c r="Y14" s="39"/>
    </row>
    <row r="15" spans="1:25" s="23" customFormat="1" ht="66">
      <c r="A15" s="51">
        <v>9</v>
      </c>
      <c r="B15" s="38" t="s">
        <v>427</v>
      </c>
      <c r="C15" s="298" t="s">
        <v>923</v>
      </c>
      <c r="D15" s="295" t="s">
        <v>5365</v>
      </c>
      <c r="E15" s="37" t="s">
        <v>844</v>
      </c>
      <c r="F15" s="38" t="s">
        <v>427</v>
      </c>
      <c r="G15" s="296">
        <v>20</v>
      </c>
      <c r="H15" s="295"/>
      <c r="I15" s="38"/>
      <c r="J15" s="38" t="s">
        <v>5877</v>
      </c>
      <c r="K15" s="38" t="s">
        <v>5883</v>
      </c>
      <c r="L15" s="39" t="s">
        <v>474</v>
      </c>
      <c r="M15" s="38" t="s">
        <v>475</v>
      </c>
      <c r="N15" s="297" t="s">
        <v>447</v>
      </c>
      <c r="O15" s="32" t="s">
        <v>448</v>
      </c>
      <c r="P15" s="538" t="s">
        <v>848</v>
      </c>
      <c r="Q15" s="38"/>
      <c r="R15" s="38" t="s">
        <v>16</v>
      </c>
      <c r="S15" s="38" t="s">
        <v>4526</v>
      </c>
      <c r="T15" s="38"/>
      <c r="U15" s="38"/>
      <c r="V15" s="39"/>
      <c r="W15" s="39"/>
      <c r="X15" s="39"/>
      <c r="Y15" s="39"/>
    </row>
    <row r="16" spans="1:25" s="23" customFormat="1" ht="132">
      <c r="A16" s="51">
        <v>10</v>
      </c>
      <c r="B16" s="38" t="s">
        <v>427</v>
      </c>
      <c r="C16" s="298" t="s">
        <v>924</v>
      </c>
      <c r="D16" s="295" t="s">
        <v>5366</v>
      </c>
      <c r="E16" s="37" t="s">
        <v>845</v>
      </c>
      <c r="F16" s="38" t="s">
        <v>427</v>
      </c>
      <c r="G16" s="296">
        <v>20</v>
      </c>
      <c r="H16" s="295"/>
      <c r="I16" s="38"/>
      <c r="J16" s="38" t="s">
        <v>5884</v>
      </c>
      <c r="K16" s="38" t="s">
        <v>5885</v>
      </c>
      <c r="L16" s="39" t="s">
        <v>474</v>
      </c>
      <c r="M16" s="38" t="s">
        <v>475</v>
      </c>
      <c r="N16" s="297" t="s">
        <v>447</v>
      </c>
      <c r="O16" s="32" t="s">
        <v>448</v>
      </c>
      <c r="P16" s="538" t="s">
        <v>849</v>
      </c>
      <c r="Q16" s="38"/>
      <c r="R16" s="38" t="s">
        <v>16</v>
      </c>
      <c r="S16" s="38" t="s">
        <v>4526</v>
      </c>
      <c r="T16" s="38"/>
      <c r="U16" s="38"/>
      <c r="V16" s="39"/>
      <c r="W16" s="39"/>
      <c r="X16" s="39"/>
      <c r="Y16" s="39"/>
    </row>
    <row r="17" spans="1:25" s="23" customFormat="1" ht="264">
      <c r="A17" s="51">
        <v>11</v>
      </c>
      <c r="B17" s="38" t="s">
        <v>427</v>
      </c>
      <c r="C17" s="298" t="s">
        <v>925</v>
      </c>
      <c r="D17" s="295" t="s">
        <v>846</v>
      </c>
      <c r="E17" s="37" t="s">
        <v>4534</v>
      </c>
      <c r="F17" s="38" t="s">
        <v>427</v>
      </c>
      <c r="G17" s="296">
        <v>20</v>
      </c>
      <c r="H17" s="295"/>
      <c r="I17" s="38"/>
      <c r="J17" s="38" t="s">
        <v>5886</v>
      </c>
      <c r="K17" s="38" t="s">
        <v>5887</v>
      </c>
      <c r="L17" s="39" t="s">
        <v>474</v>
      </c>
      <c r="M17" s="38" t="s">
        <v>475</v>
      </c>
      <c r="N17" s="297" t="s">
        <v>447</v>
      </c>
      <c r="O17" s="32" t="s">
        <v>448</v>
      </c>
      <c r="P17" s="538" t="s">
        <v>850</v>
      </c>
      <c r="Q17" s="38"/>
      <c r="R17" s="38" t="s">
        <v>16</v>
      </c>
      <c r="S17" s="38" t="s">
        <v>4526</v>
      </c>
      <c r="T17" s="38"/>
      <c r="U17" s="38"/>
      <c r="V17" s="39"/>
      <c r="W17" s="39"/>
      <c r="X17" s="39"/>
      <c r="Y17" s="39"/>
    </row>
    <row r="18" spans="1:25" s="23" customFormat="1" ht="409.5">
      <c r="A18" s="51">
        <v>12</v>
      </c>
      <c r="B18" s="38" t="s">
        <v>427</v>
      </c>
      <c r="C18" s="298" t="s">
        <v>926</v>
      </c>
      <c r="D18" s="295" t="s">
        <v>5367</v>
      </c>
      <c r="E18" s="295" t="s">
        <v>637</v>
      </c>
      <c r="F18" s="38"/>
      <c r="G18" s="296"/>
      <c r="H18" s="295" t="s">
        <v>636</v>
      </c>
      <c r="I18" s="38" t="s">
        <v>643</v>
      </c>
      <c r="J18" s="38" t="s">
        <v>5888</v>
      </c>
      <c r="K18" s="38" t="s">
        <v>5889</v>
      </c>
      <c r="L18" s="39"/>
      <c r="M18" s="38"/>
      <c r="N18" s="297"/>
      <c r="O18" s="32"/>
      <c r="P18" s="539" t="s">
        <v>4535</v>
      </c>
      <c r="Q18" s="38"/>
      <c r="R18" s="471" t="s">
        <v>841</v>
      </c>
      <c r="S18" s="38" t="s">
        <v>4526</v>
      </c>
      <c r="T18" s="38"/>
      <c r="U18" s="38"/>
      <c r="V18" s="39"/>
      <c r="W18" s="39"/>
      <c r="X18" s="39"/>
      <c r="Y18" s="39"/>
    </row>
    <row r="19" spans="1:25" s="23" customFormat="1" ht="115.5">
      <c r="A19" s="51">
        <v>13</v>
      </c>
      <c r="B19" s="38" t="s">
        <v>427</v>
      </c>
      <c r="C19" s="298" t="s">
        <v>927</v>
      </c>
      <c r="D19" s="295" t="s">
        <v>5368</v>
      </c>
      <c r="E19" s="295" t="s">
        <v>638</v>
      </c>
      <c r="F19" s="38"/>
      <c r="G19" s="296"/>
      <c r="H19" s="295" t="s">
        <v>636</v>
      </c>
      <c r="I19" s="38" t="s">
        <v>643</v>
      </c>
      <c r="J19" s="38" t="s">
        <v>5890</v>
      </c>
      <c r="K19" s="38" t="s">
        <v>5891</v>
      </c>
      <c r="L19" s="39"/>
      <c r="M19" s="38"/>
      <c r="N19" s="297"/>
      <c r="O19" s="32"/>
      <c r="P19" s="539" t="s">
        <v>1127</v>
      </c>
      <c r="Q19" s="38" t="s">
        <v>5251</v>
      </c>
      <c r="R19" s="471" t="s">
        <v>841</v>
      </c>
      <c r="S19" s="38" t="s">
        <v>4526</v>
      </c>
      <c r="T19" s="38"/>
      <c r="U19" s="38"/>
      <c r="V19" s="39"/>
      <c r="W19" s="39"/>
      <c r="X19" s="39"/>
      <c r="Y19" s="39"/>
    </row>
    <row r="20" spans="1:25" s="23" customFormat="1" ht="82.5">
      <c r="A20" s="51">
        <v>14</v>
      </c>
      <c r="B20" s="38" t="s">
        <v>527</v>
      </c>
      <c r="C20" s="298" t="s">
        <v>928</v>
      </c>
      <c r="D20" s="37" t="s">
        <v>5369</v>
      </c>
      <c r="E20" s="37" t="s">
        <v>851</v>
      </c>
      <c r="F20" s="38" t="s">
        <v>428</v>
      </c>
      <c r="G20" s="296">
        <v>21</v>
      </c>
      <c r="H20" s="295"/>
      <c r="I20" s="38"/>
      <c r="J20" s="540" t="s">
        <v>5892</v>
      </c>
      <c r="K20" s="38" t="s">
        <v>5893</v>
      </c>
      <c r="L20" s="39" t="s">
        <v>476</v>
      </c>
      <c r="M20" s="38" t="s">
        <v>477</v>
      </c>
      <c r="N20" s="297" t="s">
        <v>449</v>
      </c>
      <c r="O20" s="32" t="s">
        <v>450</v>
      </c>
      <c r="P20" s="538" t="s">
        <v>861</v>
      </c>
      <c r="Q20" s="38" t="s">
        <v>4536</v>
      </c>
      <c r="R20" s="471" t="s">
        <v>561</v>
      </c>
      <c r="S20" s="38" t="s">
        <v>4526</v>
      </c>
      <c r="T20" s="38"/>
      <c r="U20" s="38"/>
      <c r="V20" s="39"/>
      <c r="W20" s="39"/>
      <c r="X20" s="39"/>
      <c r="Y20" s="39"/>
    </row>
    <row r="21" spans="1:25" s="23" customFormat="1" ht="82.5">
      <c r="A21" s="51">
        <v>15</v>
      </c>
      <c r="B21" s="38" t="s">
        <v>527</v>
      </c>
      <c r="C21" s="298" t="s">
        <v>929</v>
      </c>
      <c r="D21" s="37" t="s">
        <v>5370</v>
      </c>
      <c r="E21" s="37" t="s">
        <v>852</v>
      </c>
      <c r="F21" s="38" t="s">
        <v>428</v>
      </c>
      <c r="G21" s="296">
        <v>21</v>
      </c>
      <c r="H21" s="295"/>
      <c r="I21" s="38"/>
      <c r="J21" s="540" t="s">
        <v>5892</v>
      </c>
      <c r="K21" s="38" t="s">
        <v>5893</v>
      </c>
      <c r="L21" s="39" t="s">
        <v>476</v>
      </c>
      <c r="M21" s="38" t="s">
        <v>477</v>
      </c>
      <c r="N21" s="297" t="s">
        <v>449</v>
      </c>
      <c r="O21" s="32" t="s">
        <v>450</v>
      </c>
      <c r="P21" s="538" t="s">
        <v>862</v>
      </c>
      <c r="Q21" s="38" t="s">
        <v>4537</v>
      </c>
      <c r="R21" s="38" t="s">
        <v>561</v>
      </c>
      <c r="S21" s="38" t="s">
        <v>4526</v>
      </c>
      <c r="T21" s="38"/>
      <c r="U21" s="38"/>
      <c r="V21" s="39"/>
      <c r="W21" s="39"/>
      <c r="X21" s="39"/>
      <c r="Y21" s="39"/>
    </row>
    <row r="22" spans="1:25" s="23" customFormat="1" ht="82.5">
      <c r="A22" s="51">
        <v>16</v>
      </c>
      <c r="B22" s="38" t="s">
        <v>527</v>
      </c>
      <c r="C22" s="298" t="s">
        <v>930</v>
      </c>
      <c r="D22" s="37" t="s">
        <v>5371</v>
      </c>
      <c r="E22" s="37" t="s">
        <v>853</v>
      </c>
      <c r="F22" s="38" t="s">
        <v>428</v>
      </c>
      <c r="G22" s="296">
        <v>21</v>
      </c>
      <c r="H22" s="295"/>
      <c r="I22" s="38"/>
      <c r="J22" s="540" t="s">
        <v>5892</v>
      </c>
      <c r="K22" s="38" t="s">
        <v>5893</v>
      </c>
      <c r="L22" s="39" t="s">
        <v>476</v>
      </c>
      <c r="M22" s="38" t="s">
        <v>477</v>
      </c>
      <c r="N22" s="297" t="s">
        <v>449</v>
      </c>
      <c r="O22" s="32" t="s">
        <v>450</v>
      </c>
      <c r="P22" s="538" t="s">
        <v>863</v>
      </c>
      <c r="Q22" s="38" t="s">
        <v>4538</v>
      </c>
      <c r="R22" s="38" t="s">
        <v>16</v>
      </c>
      <c r="S22" s="38" t="s">
        <v>4526</v>
      </c>
      <c r="T22" s="38"/>
      <c r="U22" s="38"/>
      <c r="V22" s="39"/>
      <c r="W22" s="39"/>
      <c r="X22" s="39"/>
      <c r="Y22" s="39"/>
    </row>
    <row r="23" spans="1:25" s="23" customFormat="1" ht="198">
      <c r="A23" s="51">
        <v>17</v>
      </c>
      <c r="B23" s="38" t="s">
        <v>527</v>
      </c>
      <c r="C23" s="298" t="s">
        <v>931</v>
      </c>
      <c r="D23" s="37" t="s">
        <v>5372</v>
      </c>
      <c r="E23" s="37" t="s">
        <v>854</v>
      </c>
      <c r="F23" s="38" t="s">
        <v>428</v>
      </c>
      <c r="G23" s="296">
        <v>21</v>
      </c>
      <c r="H23" s="295"/>
      <c r="I23" s="38"/>
      <c r="J23" s="541" t="s">
        <v>5892</v>
      </c>
      <c r="K23" s="38" t="s">
        <v>5894</v>
      </c>
      <c r="L23" s="39" t="s">
        <v>476</v>
      </c>
      <c r="M23" s="38" t="s">
        <v>477</v>
      </c>
      <c r="N23" s="297" t="s">
        <v>449</v>
      </c>
      <c r="O23" s="32" t="s">
        <v>450</v>
      </c>
      <c r="P23" s="538" t="s">
        <v>864</v>
      </c>
      <c r="Q23" s="38"/>
      <c r="R23" s="38" t="s">
        <v>16</v>
      </c>
      <c r="S23" s="38" t="s">
        <v>4526</v>
      </c>
      <c r="T23" s="38"/>
      <c r="U23" s="38"/>
      <c r="V23" s="39"/>
      <c r="W23" s="39"/>
      <c r="X23" s="39"/>
      <c r="Y23" s="39"/>
    </row>
    <row r="24" spans="1:25" s="23" customFormat="1" ht="82.5">
      <c r="A24" s="51">
        <v>18</v>
      </c>
      <c r="B24" s="38" t="s">
        <v>527</v>
      </c>
      <c r="C24" s="298" t="s">
        <v>932</v>
      </c>
      <c r="D24" s="37" t="s">
        <v>5373</v>
      </c>
      <c r="E24" s="37" t="s">
        <v>855</v>
      </c>
      <c r="F24" s="38" t="s">
        <v>428</v>
      </c>
      <c r="G24" s="296">
        <v>21</v>
      </c>
      <c r="H24" s="295"/>
      <c r="I24" s="38"/>
      <c r="J24" s="541" t="s">
        <v>5892</v>
      </c>
      <c r="K24" s="38" t="s">
        <v>5894</v>
      </c>
      <c r="L24" s="39" t="s">
        <v>476</v>
      </c>
      <c r="M24" s="38" t="s">
        <v>477</v>
      </c>
      <c r="N24" s="297" t="s">
        <v>449</v>
      </c>
      <c r="O24" s="32" t="s">
        <v>450</v>
      </c>
      <c r="P24" s="334" t="s">
        <v>865</v>
      </c>
      <c r="Q24" s="38"/>
      <c r="R24" s="38" t="s">
        <v>16</v>
      </c>
      <c r="S24" s="38" t="s">
        <v>4526</v>
      </c>
      <c r="T24" s="38"/>
      <c r="U24" s="38"/>
      <c r="V24" s="39"/>
      <c r="W24" s="39"/>
      <c r="X24" s="39"/>
      <c r="Y24" s="39"/>
    </row>
    <row r="25" spans="1:25" s="23" customFormat="1" ht="148.5">
      <c r="A25" s="51">
        <v>19</v>
      </c>
      <c r="B25" s="38" t="s">
        <v>527</v>
      </c>
      <c r="C25" s="298" t="s">
        <v>933</v>
      </c>
      <c r="D25" s="37" t="s">
        <v>5374</v>
      </c>
      <c r="E25" s="37" t="s">
        <v>856</v>
      </c>
      <c r="F25" s="38" t="s">
        <v>428</v>
      </c>
      <c r="G25" s="296">
        <v>21</v>
      </c>
      <c r="H25" s="295"/>
      <c r="I25" s="38"/>
      <c r="J25" s="541" t="s">
        <v>5892</v>
      </c>
      <c r="K25" s="38" t="s">
        <v>5895</v>
      </c>
      <c r="L25" s="39" t="s">
        <v>476</v>
      </c>
      <c r="M25" s="38" t="s">
        <v>477</v>
      </c>
      <c r="N25" s="297" t="s">
        <v>449</v>
      </c>
      <c r="O25" s="32" t="s">
        <v>450</v>
      </c>
      <c r="P25" s="334" t="s">
        <v>866</v>
      </c>
      <c r="Q25" s="38"/>
      <c r="R25" s="38" t="s">
        <v>16</v>
      </c>
      <c r="S25" s="38" t="s">
        <v>4526</v>
      </c>
      <c r="T25" s="38"/>
      <c r="U25" s="38"/>
      <c r="V25" s="39"/>
      <c r="W25" s="39"/>
      <c r="X25" s="39"/>
      <c r="Y25" s="39"/>
    </row>
    <row r="26" spans="1:25" s="23" customFormat="1" ht="99">
      <c r="A26" s="51">
        <v>20</v>
      </c>
      <c r="B26" s="38" t="s">
        <v>527</v>
      </c>
      <c r="C26" s="298" t="s">
        <v>934</v>
      </c>
      <c r="D26" s="37" t="s">
        <v>5375</v>
      </c>
      <c r="E26" s="295" t="s">
        <v>857</v>
      </c>
      <c r="F26" s="38" t="s">
        <v>428</v>
      </c>
      <c r="G26" s="296">
        <v>21</v>
      </c>
      <c r="H26" s="295"/>
      <c r="I26" s="38"/>
      <c r="J26" s="541" t="s">
        <v>5892</v>
      </c>
      <c r="K26" s="38" t="s">
        <v>5895</v>
      </c>
      <c r="L26" s="39" t="s">
        <v>476</v>
      </c>
      <c r="M26" s="38" t="s">
        <v>477</v>
      </c>
      <c r="N26" s="297" t="s">
        <v>449</v>
      </c>
      <c r="O26" s="32" t="s">
        <v>450</v>
      </c>
      <c r="P26" s="538" t="s">
        <v>867</v>
      </c>
      <c r="Q26" s="38"/>
      <c r="R26" s="38" t="s">
        <v>16</v>
      </c>
      <c r="S26" s="38" t="s">
        <v>4526</v>
      </c>
      <c r="T26" s="38"/>
      <c r="U26" s="38"/>
      <c r="V26" s="39"/>
      <c r="W26" s="39"/>
      <c r="X26" s="39"/>
      <c r="Y26" s="39"/>
    </row>
    <row r="27" spans="1:25" s="23" customFormat="1" ht="132">
      <c r="A27" s="51">
        <v>21</v>
      </c>
      <c r="B27" s="38" t="s">
        <v>527</v>
      </c>
      <c r="C27" s="298" t="s">
        <v>935</v>
      </c>
      <c r="D27" s="37" t="s">
        <v>5376</v>
      </c>
      <c r="E27" s="295" t="s">
        <v>858</v>
      </c>
      <c r="F27" s="38" t="s">
        <v>428</v>
      </c>
      <c r="G27" s="296">
        <v>21</v>
      </c>
      <c r="H27" s="295"/>
      <c r="I27" s="38"/>
      <c r="J27" s="541" t="s">
        <v>5896</v>
      </c>
      <c r="K27" s="38" t="s">
        <v>5897</v>
      </c>
      <c r="L27" s="39" t="s">
        <v>476</v>
      </c>
      <c r="M27" s="38" t="s">
        <v>477</v>
      </c>
      <c r="N27" s="297" t="s">
        <v>449</v>
      </c>
      <c r="O27" s="32" t="s">
        <v>450</v>
      </c>
      <c r="P27" s="538" t="s">
        <v>868</v>
      </c>
      <c r="Q27" s="38"/>
      <c r="R27" s="38" t="s">
        <v>561</v>
      </c>
      <c r="S27" s="38" t="s">
        <v>4526</v>
      </c>
      <c r="T27" s="38"/>
      <c r="U27" s="38"/>
      <c r="V27" s="39"/>
      <c r="W27" s="39"/>
      <c r="X27" s="39"/>
      <c r="Y27" s="39"/>
    </row>
    <row r="28" spans="1:25" s="23" customFormat="1" ht="132">
      <c r="A28" s="51">
        <v>22</v>
      </c>
      <c r="B28" s="38" t="s">
        <v>527</v>
      </c>
      <c r="C28" s="298" t="s">
        <v>936</v>
      </c>
      <c r="D28" s="37" t="s">
        <v>5377</v>
      </c>
      <c r="E28" s="295" t="s">
        <v>859</v>
      </c>
      <c r="F28" s="38" t="s">
        <v>428</v>
      </c>
      <c r="G28" s="296">
        <v>21</v>
      </c>
      <c r="H28" s="295"/>
      <c r="I28" s="38"/>
      <c r="J28" s="541" t="s">
        <v>5896</v>
      </c>
      <c r="K28" s="38" t="s">
        <v>5897</v>
      </c>
      <c r="L28" s="39" t="s">
        <v>476</v>
      </c>
      <c r="M28" s="38" t="s">
        <v>477</v>
      </c>
      <c r="N28" s="297" t="s">
        <v>449</v>
      </c>
      <c r="O28" s="32" t="s">
        <v>450</v>
      </c>
      <c r="P28" s="538" t="s">
        <v>869</v>
      </c>
      <c r="Q28" s="38"/>
      <c r="R28" s="38" t="s">
        <v>16</v>
      </c>
      <c r="S28" s="38" t="s">
        <v>4526</v>
      </c>
      <c r="T28" s="38"/>
      <c r="U28" s="38"/>
      <c r="V28" s="39"/>
      <c r="W28" s="39"/>
      <c r="X28" s="39"/>
      <c r="Y28" s="39"/>
    </row>
    <row r="29" spans="1:25" s="23" customFormat="1" ht="132">
      <c r="A29" s="51">
        <v>23</v>
      </c>
      <c r="B29" s="38" t="s">
        <v>527</v>
      </c>
      <c r="C29" s="298" t="s">
        <v>937</v>
      </c>
      <c r="D29" s="37" t="s">
        <v>5378</v>
      </c>
      <c r="E29" s="295" t="s">
        <v>860</v>
      </c>
      <c r="F29" s="38" t="s">
        <v>428</v>
      </c>
      <c r="G29" s="296">
        <v>21</v>
      </c>
      <c r="H29" s="295"/>
      <c r="I29" s="38"/>
      <c r="J29" s="541" t="s">
        <v>5896</v>
      </c>
      <c r="K29" s="38" t="s">
        <v>5897</v>
      </c>
      <c r="L29" s="39" t="s">
        <v>476</v>
      </c>
      <c r="M29" s="38" t="s">
        <v>477</v>
      </c>
      <c r="N29" s="297" t="s">
        <v>449</v>
      </c>
      <c r="O29" s="32" t="s">
        <v>450</v>
      </c>
      <c r="P29" s="538" t="s">
        <v>870</v>
      </c>
      <c r="Q29" s="38"/>
      <c r="R29" s="38" t="s">
        <v>16</v>
      </c>
      <c r="S29" s="38" t="s">
        <v>4526</v>
      </c>
      <c r="T29" s="38"/>
      <c r="U29" s="38" t="s">
        <v>4539</v>
      </c>
      <c r="V29" s="39"/>
      <c r="W29" s="39"/>
      <c r="X29" s="39"/>
      <c r="Y29" s="39"/>
    </row>
    <row r="30" spans="1:25" s="23" customFormat="1" ht="82.5">
      <c r="A30" s="51">
        <v>24</v>
      </c>
      <c r="B30" s="38" t="s">
        <v>429</v>
      </c>
      <c r="C30" s="298" t="s">
        <v>5787</v>
      </c>
      <c r="D30" s="295" t="s">
        <v>5379</v>
      </c>
      <c r="E30" s="37" t="s">
        <v>4540</v>
      </c>
      <c r="F30" s="38" t="s">
        <v>429</v>
      </c>
      <c r="G30" s="296" t="s">
        <v>430</v>
      </c>
      <c r="H30" s="295"/>
      <c r="I30" s="38"/>
      <c r="J30" s="186" t="s">
        <v>2893</v>
      </c>
      <c r="K30" s="38" t="s">
        <v>4541</v>
      </c>
      <c r="L30" s="39" t="s">
        <v>478</v>
      </c>
      <c r="M30" s="38" t="s">
        <v>479</v>
      </c>
      <c r="N30" s="297" t="s">
        <v>431</v>
      </c>
      <c r="O30" s="32">
        <v>71</v>
      </c>
      <c r="P30" s="59" t="s">
        <v>5353</v>
      </c>
      <c r="Q30" s="38"/>
      <c r="R30" s="38" t="s">
        <v>16</v>
      </c>
      <c r="S30" s="38" t="s">
        <v>4542</v>
      </c>
      <c r="T30" s="38"/>
      <c r="U30" s="38" t="s">
        <v>4526</v>
      </c>
      <c r="V30" s="39" t="s">
        <v>4543</v>
      </c>
      <c r="W30" s="37" t="s">
        <v>5352</v>
      </c>
      <c r="X30" s="59" t="s">
        <v>5353</v>
      </c>
      <c r="Y30" s="39" t="s">
        <v>4544</v>
      </c>
    </row>
    <row r="31" spans="1:25" s="23" customFormat="1" ht="115.5">
      <c r="A31" s="51">
        <v>25</v>
      </c>
      <c r="B31" s="38" t="s">
        <v>429</v>
      </c>
      <c r="C31" s="298" t="s">
        <v>5788</v>
      </c>
      <c r="D31" s="295" t="s">
        <v>5380</v>
      </c>
      <c r="E31" s="440" t="s">
        <v>5347</v>
      </c>
      <c r="F31" s="38" t="s">
        <v>429</v>
      </c>
      <c r="G31" s="296" t="s">
        <v>430</v>
      </c>
      <c r="H31" s="295"/>
      <c r="I31" s="38"/>
      <c r="J31" s="186" t="s">
        <v>2893</v>
      </c>
      <c r="K31" s="38" t="s">
        <v>4545</v>
      </c>
      <c r="L31" s="39" t="s">
        <v>478</v>
      </c>
      <c r="M31" s="38" t="s">
        <v>479</v>
      </c>
      <c r="N31" s="297" t="s">
        <v>431</v>
      </c>
      <c r="O31" s="32">
        <v>71</v>
      </c>
      <c r="P31" s="39" t="s">
        <v>5354</v>
      </c>
      <c r="Q31" s="38"/>
      <c r="R31" s="38" t="s">
        <v>16</v>
      </c>
      <c r="S31" s="38" t="s">
        <v>4542</v>
      </c>
      <c r="T31" s="38"/>
      <c r="U31" s="38" t="s">
        <v>4526</v>
      </c>
      <c r="V31" s="39" t="s">
        <v>4543</v>
      </c>
      <c r="W31" s="37" t="s">
        <v>5348</v>
      </c>
      <c r="X31" s="39" t="s">
        <v>5354</v>
      </c>
      <c r="Y31" s="39" t="s">
        <v>4544</v>
      </c>
    </row>
    <row r="32" spans="1:25" s="23" customFormat="1" ht="132">
      <c r="A32" s="51">
        <v>26</v>
      </c>
      <c r="B32" s="38" t="s">
        <v>429</v>
      </c>
      <c r="C32" s="298" t="s">
        <v>5790</v>
      </c>
      <c r="D32" s="295" t="s">
        <v>5381</v>
      </c>
      <c r="E32" s="440" t="s">
        <v>4546</v>
      </c>
      <c r="F32" s="38" t="s">
        <v>429</v>
      </c>
      <c r="G32" s="296" t="s">
        <v>430</v>
      </c>
      <c r="H32" s="295"/>
      <c r="I32" s="38"/>
      <c r="J32" s="186" t="s">
        <v>2893</v>
      </c>
      <c r="K32" s="38" t="s">
        <v>4547</v>
      </c>
      <c r="L32" s="39" t="s">
        <v>478</v>
      </c>
      <c r="M32" s="38" t="s">
        <v>479</v>
      </c>
      <c r="N32" s="297" t="s">
        <v>431</v>
      </c>
      <c r="O32" s="32">
        <v>71</v>
      </c>
      <c r="P32" s="59" t="s">
        <v>5355</v>
      </c>
      <c r="Q32" s="38"/>
      <c r="R32" s="38" t="s">
        <v>16</v>
      </c>
      <c r="S32" s="38" t="s">
        <v>4542</v>
      </c>
      <c r="T32" s="38"/>
      <c r="U32" s="38" t="s">
        <v>4526</v>
      </c>
      <c r="V32" s="39" t="s">
        <v>4543</v>
      </c>
      <c r="W32" s="37" t="s">
        <v>5349</v>
      </c>
      <c r="X32" s="59" t="s">
        <v>5355</v>
      </c>
      <c r="Y32" s="39" t="s">
        <v>4544</v>
      </c>
    </row>
    <row r="33" spans="1:25" s="23" customFormat="1" ht="66">
      <c r="A33" s="51">
        <v>27</v>
      </c>
      <c r="B33" s="38" t="s">
        <v>429</v>
      </c>
      <c r="C33" s="298" t="s">
        <v>5789</v>
      </c>
      <c r="D33" s="295" t="s">
        <v>5382</v>
      </c>
      <c r="E33" s="440" t="s">
        <v>4548</v>
      </c>
      <c r="F33" s="38" t="s">
        <v>429</v>
      </c>
      <c r="G33" s="296" t="s">
        <v>430</v>
      </c>
      <c r="H33" s="295"/>
      <c r="I33" s="38"/>
      <c r="J33" s="186" t="s">
        <v>2893</v>
      </c>
      <c r="K33" s="38" t="s">
        <v>4549</v>
      </c>
      <c r="L33" s="39" t="s">
        <v>478</v>
      </c>
      <c r="M33" s="38" t="s">
        <v>479</v>
      </c>
      <c r="N33" s="297" t="s">
        <v>431</v>
      </c>
      <c r="O33" s="32">
        <v>71</v>
      </c>
      <c r="P33" s="59" t="s">
        <v>5356</v>
      </c>
      <c r="Q33" s="38"/>
      <c r="R33" s="38" t="s">
        <v>16</v>
      </c>
      <c r="S33" s="38" t="s">
        <v>4542</v>
      </c>
      <c r="T33" s="38"/>
      <c r="U33" s="38" t="s">
        <v>4526</v>
      </c>
      <c r="V33" s="39" t="s">
        <v>4543</v>
      </c>
      <c r="W33" s="37" t="s">
        <v>5350</v>
      </c>
      <c r="X33" s="59" t="s">
        <v>5356</v>
      </c>
      <c r="Y33" s="39" t="s">
        <v>4544</v>
      </c>
    </row>
    <row r="34" spans="1:25" s="23" customFormat="1" ht="82.5">
      <c r="A34" s="51">
        <v>28</v>
      </c>
      <c r="B34" s="38" t="s">
        <v>429</v>
      </c>
      <c r="C34" s="298" t="s">
        <v>5786</v>
      </c>
      <c r="D34" s="295" t="s">
        <v>5383</v>
      </c>
      <c r="E34" s="440" t="s">
        <v>4550</v>
      </c>
      <c r="F34" s="38" t="s">
        <v>429</v>
      </c>
      <c r="G34" s="296" t="s">
        <v>430</v>
      </c>
      <c r="H34" s="295"/>
      <c r="I34" s="38"/>
      <c r="J34" s="186" t="s">
        <v>2893</v>
      </c>
      <c r="K34" s="38" t="s">
        <v>4551</v>
      </c>
      <c r="L34" s="39" t="s">
        <v>478</v>
      </c>
      <c r="M34" s="38" t="s">
        <v>479</v>
      </c>
      <c r="N34" s="297" t="s">
        <v>431</v>
      </c>
      <c r="O34" s="32">
        <v>71</v>
      </c>
      <c r="P34" s="59" t="s">
        <v>5357</v>
      </c>
      <c r="Q34" s="38"/>
      <c r="R34" s="38" t="s">
        <v>16</v>
      </c>
      <c r="S34" s="38" t="s">
        <v>4542</v>
      </c>
      <c r="T34" s="38"/>
      <c r="U34" s="38" t="s">
        <v>4526</v>
      </c>
      <c r="V34" s="39" t="s">
        <v>4543</v>
      </c>
      <c r="W34" s="37" t="s">
        <v>5351</v>
      </c>
      <c r="X34" s="59" t="s">
        <v>5357</v>
      </c>
      <c r="Y34" s="39" t="s">
        <v>4544</v>
      </c>
    </row>
    <row r="35" spans="1:25" s="23" customFormat="1" ht="115.5">
      <c r="A35" s="51">
        <v>29</v>
      </c>
      <c r="B35" s="38" t="s">
        <v>429</v>
      </c>
      <c r="C35" s="298" t="s">
        <v>938</v>
      </c>
      <c r="D35" s="295" t="s">
        <v>5384</v>
      </c>
      <c r="E35" s="33" t="s">
        <v>460</v>
      </c>
      <c r="F35" s="38" t="s">
        <v>429</v>
      </c>
      <c r="G35" s="296" t="s">
        <v>430</v>
      </c>
      <c r="H35" s="295"/>
      <c r="I35" s="38"/>
      <c r="J35" s="186" t="s">
        <v>2893</v>
      </c>
      <c r="K35" s="38" t="s">
        <v>4552</v>
      </c>
      <c r="L35" s="39" t="s">
        <v>478</v>
      </c>
      <c r="M35" s="38" t="s">
        <v>479</v>
      </c>
      <c r="N35" s="297" t="s">
        <v>432</v>
      </c>
      <c r="O35" s="32" t="s">
        <v>562</v>
      </c>
      <c r="P35" s="542" t="s">
        <v>4553</v>
      </c>
      <c r="Q35" s="38"/>
      <c r="R35" s="38" t="s">
        <v>16</v>
      </c>
      <c r="S35" s="38" t="s">
        <v>4542</v>
      </c>
      <c r="T35" s="38"/>
      <c r="U35" s="38" t="s">
        <v>4526</v>
      </c>
      <c r="V35" s="39"/>
      <c r="W35" s="39"/>
      <c r="X35" s="39"/>
      <c r="Y35" s="39"/>
    </row>
    <row r="36" spans="1:25" s="23" customFormat="1" ht="66">
      <c r="A36" s="51">
        <v>30</v>
      </c>
      <c r="B36" s="38" t="s">
        <v>429</v>
      </c>
      <c r="C36" s="298" t="s">
        <v>939</v>
      </c>
      <c r="D36" s="295" t="s">
        <v>5385</v>
      </c>
      <c r="E36" s="33" t="s">
        <v>459</v>
      </c>
      <c r="F36" s="38" t="s">
        <v>429</v>
      </c>
      <c r="G36" s="296" t="s">
        <v>430</v>
      </c>
      <c r="H36" s="295"/>
      <c r="I36" s="38"/>
      <c r="J36" s="186" t="s">
        <v>2893</v>
      </c>
      <c r="K36" s="38" t="s">
        <v>4554</v>
      </c>
      <c r="L36" s="39" t="s">
        <v>478</v>
      </c>
      <c r="M36" s="38" t="s">
        <v>479</v>
      </c>
      <c r="N36" s="297" t="s">
        <v>432</v>
      </c>
      <c r="O36" s="32" t="s">
        <v>562</v>
      </c>
      <c r="P36" s="334" t="s">
        <v>4555</v>
      </c>
      <c r="Q36" s="38"/>
      <c r="R36" s="38" t="s">
        <v>16</v>
      </c>
      <c r="S36" s="38" t="s">
        <v>4542</v>
      </c>
      <c r="T36" s="38"/>
      <c r="U36" s="38"/>
      <c r="V36" s="39"/>
      <c r="W36" s="39"/>
      <c r="X36" s="39"/>
      <c r="Y36" s="39"/>
    </row>
    <row r="37" spans="1:25" s="23" customFormat="1" ht="99">
      <c r="A37" s="51">
        <v>31</v>
      </c>
      <c r="B37" s="38" t="s">
        <v>429</v>
      </c>
      <c r="C37" s="298" t="s">
        <v>5791</v>
      </c>
      <c r="D37" s="295" t="s">
        <v>5386</v>
      </c>
      <c r="E37" s="37" t="s">
        <v>4556</v>
      </c>
      <c r="F37" s="38" t="s">
        <v>429</v>
      </c>
      <c r="G37" s="296" t="s">
        <v>430</v>
      </c>
      <c r="H37" s="295"/>
      <c r="I37" s="38"/>
      <c r="J37" s="186" t="s">
        <v>2893</v>
      </c>
      <c r="K37" s="38" t="s">
        <v>4557</v>
      </c>
      <c r="L37" s="39" t="s">
        <v>478</v>
      </c>
      <c r="M37" s="38" t="s">
        <v>479</v>
      </c>
      <c r="N37" s="297" t="s">
        <v>433</v>
      </c>
      <c r="O37" s="32">
        <v>74</v>
      </c>
      <c r="P37" s="567" t="s">
        <v>4558</v>
      </c>
      <c r="Q37" s="38"/>
      <c r="R37" s="38" t="s">
        <v>16</v>
      </c>
      <c r="S37" s="38" t="s">
        <v>4542</v>
      </c>
      <c r="T37" s="38"/>
      <c r="U37" s="38"/>
      <c r="V37" s="39"/>
      <c r="W37" s="39"/>
      <c r="X37" s="39"/>
      <c r="Y37" s="39"/>
    </row>
    <row r="38" spans="1:25" s="23" customFormat="1" ht="66">
      <c r="A38" s="51">
        <v>32</v>
      </c>
      <c r="B38" s="38" t="s">
        <v>429</v>
      </c>
      <c r="C38" s="298" t="s">
        <v>5792</v>
      </c>
      <c r="D38" s="295" t="s">
        <v>5387</v>
      </c>
      <c r="E38" s="37" t="s">
        <v>461</v>
      </c>
      <c r="F38" s="38" t="s">
        <v>429</v>
      </c>
      <c r="G38" s="296" t="s">
        <v>430</v>
      </c>
      <c r="H38" s="295"/>
      <c r="I38" s="38"/>
      <c r="J38" s="186" t="s">
        <v>2893</v>
      </c>
      <c r="K38" s="38" t="s">
        <v>4559</v>
      </c>
      <c r="L38" s="39" t="s">
        <v>478</v>
      </c>
      <c r="M38" s="38" t="s">
        <v>479</v>
      </c>
      <c r="N38" s="297" t="s">
        <v>433</v>
      </c>
      <c r="O38" s="32">
        <v>74</v>
      </c>
      <c r="P38" s="568"/>
      <c r="Q38" s="38"/>
      <c r="R38" s="38" t="s">
        <v>16</v>
      </c>
      <c r="S38" s="38" t="s">
        <v>4542</v>
      </c>
      <c r="T38" s="38"/>
      <c r="U38" s="38"/>
      <c r="V38" s="39"/>
      <c r="W38" s="39"/>
      <c r="X38" s="39"/>
      <c r="Y38" s="39"/>
    </row>
    <row r="39" spans="1:25" s="23" customFormat="1" ht="198">
      <c r="A39" s="51">
        <v>33</v>
      </c>
      <c r="B39" s="38" t="s">
        <v>434</v>
      </c>
      <c r="C39" s="298" t="s">
        <v>940</v>
      </c>
      <c r="D39" s="295" t="s">
        <v>5388</v>
      </c>
      <c r="E39" s="37" t="s">
        <v>462</v>
      </c>
      <c r="F39" s="38" t="s">
        <v>434</v>
      </c>
      <c r="G39" s="296">
        <v>22</v>
      </c>
      <c r="H39" s="295"/>
      <c r="I39" s="38"/>
      <c r="J39" s="38" t="s">
        <v>4560</v>
      </c>
      <c r="K39" s="38" t="s">
        <v>4561</v>
      </c>
      <c r="L39" s="39" t="s">
        <v>480</v>
      </c>
      <c r="M39" s="38" t="s">
        <v>481</v>
      </c>
      <c r="N39" s="297" t="s">
        <v>435</v>
      </c>
      <c r="O39" s="32" t="s">
        <v>563</v>
      </c>
      <c r="P39" s="334" t="s">
        <v>4562</v>
      </c>
      <c r="Q39" s="38"/>
      <c r="R39" s="38" t="s">
        <v>16</v>
      </c>
      <c r="S39" s="38" t="s">
        <v>4542</v>
      </c>
      <c r="T39" s="38"/>
      <c r="U39" s="38"/>
      <c r="V39" s="39"/>
      <c r="W39" s="39"/>
      <c r="X39" s="39"/>
      <c r="Y39" s="39"/>
    </row>
    <row r="40" spans="1:25" s="23" customFormat="1" ht="49.5">
      <c r="A40" s="51">
        <v>34</v>
      </c>
      <c r="B40" s="38" t="s">
        <v>434</v>
      </c>
      <c r="C40" s="298" t="s">
        <v>941</v>
      </c>
      <c r="D40" s="295" t="s">
        <v>5389</v>
      </c>
      <c r="E40" s="37" t="s">
        <v>463</v>
      </c>
      <c r="F40" s="38" t="s">
        <v>434</v>
      </c>
      <c r="G40" s="296">
        <v>22</v>
      </c>
      <c r="H40" s="295"/>
      <c r="I40" s="38"/>
      <c r="J40" s="38" t="s">
        <v>4560</v>
      </c>
      <c r="K40" s="38" t="s">
        <v>4563</v>
      </c>
      <c r="L40" s="39" t="s">
        <v>480</v>
      </c>
      <c r="M40" s="38" t="s">
        <v>481</v>
      </c>
      <c r="N40" s="297" t="s">
        <v>435</v>
      </c>
      <c r="O40" s="32" t="s">
        <v>563</v>
      </c>
      <c r="P40" s="334" t="s">
        <v>4564</v>
      </c>
      <c r="Q40" s="38"/>
      <c r="R40" s="38" t="s">
        <v>16</v>
      </c>
      <c r="S40" s="38" t="s">
        <v>4542</v>
      </c>
      <c r="T40" s="38"/>
      <c r="U40" s="38"/>
      <c r="V40" s="39"/>
      <c r="W40" s="39"/>
      <c r="X40" s="39"/>
      <c r="Y40" s="39"/>
    </row>
    <row r="41" spans="1:25" s="23" customFormat="1" ht="148.5">
      <c r="A41" s="51">
        <v>35</v>
      </c>
      <c r="B41" s="38" t="s">
        <v>434</v>
      </c>
      <c r="C41" s="298" t="s">
        <v>942</v>
      </c>
      <c r="D41" s="295" t="s">
        <v>5390</v>
      </c>
      <c r="E41" s="37" t="s">
        <v>464</v>
      </c>
      <c r="F41" s="38" t="s">
        <v>434</v>
      </c>
      <c r="G41" s="296">
        <v>22</v>
      </c>
      <c r="H41" s="295"/>
      <c r="I41" s="38"/>
      <c r="J41" s="38" t="s">
        <v>4560</v>
      </c>
      <c r="K41" s="38" t="s">
        <v>4565</v>
      </c>
      <c r="L41" s="39" t="s">
        <v>480</v>
      </c>
      <c r="M41" s="38" t="s">
        <v>481</v>
      </c>
      <c r="N41" s="297" t="s">
        <v>435</v>
      </c>
      <c r="O41" s="32" t="s">
        <v>563</v>
      </c>
      <c r="P41" s="334" t="s">
        <v>4566</v>
      </c>
      <c r="Q41" s="38"/>
      <c r="R41" s="38" t="s">
        <v>16</v>
      </c>
      <c r="S41" s="38" t="s">
        <v>4542</v>
      </c>
      <c r="T41" s="38"/>
      <c r="U41" s="38"/>
      <c r="V41" s="39"/>
      <c r="W41" s="39"/>
      <c r="X41" s="39"/>
      <c r="Y41" s="39"/>
    </row>
    <row r="42" spans="1:25" s="23" customFormat="1" ht="132">
      <c r="A42" s="51">
        <v>36</v>
      </c>
      <c r="B42" s="38" t="s">
        <v>434</v>
      </c>
      <c r="C42" s="298" t="s">
        <v>943</v>
      </c>
      <c r="D42" s="295" t="s">
        <v>5391</v>
      </c>
      <c r="E42" s="37" t="s">
        <v>465</v>
      </c>
      <c r="F42" s="38" t="s">
        <v>434</v>
      </c>
      <c r="G42" s="296">
        <v>22</v>
      </c>
      <c r="H42" s="295"/>
      <c r="I42" s="38"/>
      <c r="J42" s="38" t="s">
        <v>4560</v>
      </c>
      <c r="K42" s="38" t="s">
        <v>4567</v>
      </c>
      <c r="L42" s="39" t="s">
        <v>480</v>
      </c>
      <c r="M42" s="38" t="s">
        <v>481</v>
      </c>
      <c r="N42" s="297" t="s">
        <v>435</v>
      </c>
      <c r="O42" s="32" t="s">
        <v>563</v>
      </c>
      <c r="P42" s="334" t="s">
        <v>4568</v>
      </c>
      <c r="Q42" s="38"/>
      <c r="R42" s="38" t="s">
        <v>16</v>
      </c>
      <c r="S42" s="38" t="s">
        <v>4542</v>
      </c>
      <c r="T42" s="38"/>
      <c r="U42" s="38"/>
      <c r="V42" s="39"/>
      <c r="W42" s="39"/>
      <c r="X42" s="39"/>
      <c r="Y42" s="39"/>
    </row>
    <row r="43" spans="1:25" s="23" customFormat="1" ht="214.5" customHeight="1">
      <c r="A43" s="51">
        <v>37</v>
      </c>
      <c r="B43" s="308" t="s">
        <v>436</v>
      </c>
      <c r="C43" s="309" t="s">
        <v>6751</v>
      </c>
      <c r="D43" s="310" t="s">
        <v>5392</v>
      </c>
      <c r="E43" s="307" t="s">
        <v>4569</v>
      </c>
      <c r="F43" s="308" t="s">
        <v>436</v>
      </c>
      <c r="G43" s="311">
        <v>23</v>
      </c>
      <c r="H43" s="310"/>
      <c r="I43" s="308"/>
      <c r="J43" s="308" t="s">
        <v>4570</v>
      </c>
      <c r="K43" s="308" t="s">
        <v>4571</v>
      </c>
      <c r="L43" s="312" t="s">
        <v>482</v>
      </c>
      <c r="M43" s="308" t="s">
        <v>483</v>
      </c>
      <c r="N43" s="313" t="s">
        <v>437</v>
      </c>
      <c r="O43" s="314">
        <v>77</v>
      </c>
      <c r="P43" s="569" t="s">
        <v>6752</v>
      </c>
      <c r="Q43" s="308"/>
      <c r="R43" s="308" t="s">
        <v>16</v>
      </c>
      <c r="S43" s="308" t="s">
        <v>4542</v>
      </c>
      <c r="T43" s="308"/>
      <c r="U43" s="308"/>
      <c r="V43" s="312"/>
      <c r="W43" s="312"/>
      <c r="X43" s="312"/>
      <c r="Y43" s="312"/>
    </row>
    <row r="44" spans="1:25" ht="99">
      <c r="A44" s="51">
        <v>38</v>
      </c>
      <c r="B44" s="308" t="s">
        <v>436</v>
      </c>
      <c r="C44" s="309" t="s">
        <v>944</v>
      </c>
      <c r="D44" s="310" t="s">
        <v>5393</v>
      </c>
      <c r="E44" s="307" t="s">
        <v>490</v>
      </c>
      <c r="F44" s="308" t="s">
        <v>436</v>
      </c>
      <c r="G44" s="311">
        <v>23</v>
      </c>
      <c r="H44" s="310"/>
      <c r="I44" s="308"/>
      <c r="J44" s="308" t="s">
        <v>4570</v>
      </c>
      <c r="K44" s="308" t="s">
        <v>4572</v>
      </c>
      <c r="L44" s="312" t="s">
        <v>482</v>
      </c>
      <c r="M44" s="308" t="s">
        <v>483</v>
      </c>
      <c r="N44" s="313" t="s">
        <v>437</v>
      </c>
      <c r="O44" s="314">
        <v>77</v>
      </c>
      <c r="P44" s="570"/>
      <c r="Q44" s="308"/>
      <c r="R44" s="308" t="s">
        <v>16</v>
      </c>
      <c r="S44" s="308" t="s">
        <v>4542</v>
      </c>
      <c r="T44" s="308"/>
      <c r="U44" s="308"/>
      <c r="V44" s="312"/>
      <c r="W44" s="312"/>
      <c r="X44" s="312"/>
      <c r="Y44" s="312"/>
    </row>
    <row r="45" spans="1:25" ht="66">
      <c r="A45" s="51">
        <v>39</v>
      </c>
      <c r="B45" s="308" t="s">
        <v>436</v>
      </c>
      <c r="C45" s="309" t="s">
        <v>945</v>
      </c>
      <c r="D45" s="310" t="s">
        <v>5394</v>
      </c>
      <c r="E45" s="307" t="s">
        <v>489</v>
      </c>
      <c r="F45" s="308" t="s">
        <v>436</v>
      </c>
      <c r="G45" s="311">
        <v>23</v>
      </c>
      <c r="H45" s="310"/>
      <c r="I45" s="308"/>
      <c r="J45" s="308" t="s">
        <v>4570</v>
      </c>
      <c r="K45" s="308" t="s">
        <v>4573</v>
      </c>
      <c r="L45" s="312" t="s">
        <v>482</v>
      </c>
      <c r="M45" s="308" t="s">
        <v>483</v>
      </c>
      <c r="N45" s="313" t="s">
        <v>437</v>
      </c>
      <c r="O45" s="314">
        <v>77</v>
      </c>
      <c r="P45" s="570"/>
      <c r="Q45" s="308"/>
      <c r="R45" s="308" t="s">
        <v>16</v>
      </c>
      <c r="S45" s="308" t="s">
        <v>4542</v>
      </c>
      <c r="T45" s="308"/>
      <c r="U45" s="308"/>
      <c r="V45" s="312"/>
      <c r="W45" s="312"/>
      <c r="X45" s="312"/>
      <c r="Y45" s="312"/>
    </row>
    <row r="46" spans="1:25" ht="82.5">
      <c r="A46" s="51">
        <v>40</v>
      </c>
      <c r="B46" s="308" t="s">
        <v>436</v>
      </c>
      <c r="C46" s="309" t="s">
        <v>946</v>
      </c>
      <c r="D46" s="310" t="s">
        <v>5395</v>
      </c>
      <c r="E46" s="307" t="s">
        <v>488</v>
      </c>
      <c r="F46" s="308" t="s">
        <v>436</v>
      </c>
      <c r="G46" s="311">
        <v>23</v>
      </c>
      <c r="H46" s="310"/>
      <c r="I46" s="308"/>
      <c r="J46" s="308" t="s">
        <v>4570</v>
      </c>
      <c r="K46" s="308" t="s">
        <v>4574</v>
      </c>
      <c r="L46" s="312" t="s">
        <v>482</v>
      </c>
      <c r="M46" s="308" t="s">
        <v>483</v>
      </c>
      <c r="N46" s="313" t="s">
        <v>437</v>
      </c>
      <c r="O46" s="314">
        <v>77</v>
      </c>
      <c r="P46" s="570"/>
      <c r="Q46" s="308"/>
      <c r="R46" s="308" t="s">
        <v>16</v>
      </c>
      <c r="S46" s="308" t="s">
        <v>4542</v>
      </c>
      <c r="T46" s="308"/>
      <c r="U46" s="308"/>
      <c r="V46" s="442"/>
      <c r="W46" s="442"/>
      <c r="X46" s="442"/>
      <c r="Y46" s="551"/>
    </row>
    <row r="47" spans="1:25" ht="66">
      <c r="A47" s="51">
        <v>41</v>
      </c>
      <c r="B47" s="308" t="s">
        <v>436</v>
      </c>
      <c r="C47" s="380" t="s">
        <v>947</v>
      </c>
      <c r="D47" s="552" t="s">
        <v>5396</v>
      </c>
      <c r="E47" s="515" t="s">
        <v>491</v>
      </c>
      <c r="F47" s="546" t="s">
        <v>436</v>
      </c>
      <c r="G47" s="547">
        <v>23</v>
      </c>
      <c r="H47" s="552"/>
      <c r="I47" s="546"/>
      <c r="J47" s="546" t="s">
        <v>4570</v>
      </c>
      <c r="K47" s="546" t="s">
        <v>4575</v>
      </c>
      <c r="L47" s="553" t="s">
        <v>482</v>
      </c>
      <c r="M47" s="546" t="s">
        <v>483</v>
      </c>
      <c r="N47" s="552" t="s">
        <v>438</v>
      </c>
      <c r="O47" s="314">
        <v>78</v>
      </c>
      <c r="P47" s="570"/>
      <c r="Q47" s="308"/>
      <c r="R47" s="308" t="s">
        <v>16</v>
      </c>
      <c r="S47" s="308" t="s">
        <v>4542</v>
      </c>
      <c r="T47" s="308"/>
      <c r="U47" s="308"/>
      <c r="V47" s="442" t="s">
        <v>6750</v>
      </c>
      <c r="W47" s="515" t="s">
        <v>491</v>
      </c>
      <c r="X47" s="442" t="s">
        <v>6749</v>
      </c>
      <c r="Y47" s="442" t="s">
        <v>6748</v>
      </c>
    </row>
    <row r="48" spans="1:25" ht="148.5">
      <c r="A48" s="51">
        <v>42</v>
      </c>
      <c r="B48" s="308" t="s">
        <v>436</v>
      </c>
      <c r="C48" s="380" t="s">
        <v>948</v>
      </c>
      <c r="D48" s="552" t="s">
        <v>5397</v>
      </c>
      <c r="E48" s="515" t="s">
        <v>492</v>
      </c>
      <c r="F48" s="546" t="s">
        <v>436</v>
      </c>
      <c r="G48" s="547">
        <v>23</v>
      </c>
      <c r="H48" s="552"/>
      <c r="I48" s="546"/>
      <c r="J48" s="546" t="s">
        <v>4570</v>
      </c>
      <c r="K48" s="546" t="s">
        <v>4576</v>
      </c>
      <c r="L48" s="553" t="s">
        <v>482</v>
      </c>
      <c r="M48" s="546" t="s">
        <v>483</v>
      </c>
      <c r="N48" s="552" t="s">
        <v>438</v>
      </c>
      <c r="O48" s="314">
        <v>78</v>
      </c>
      <c r="P48" s="570"/>
      <c r="Q48" s="308"/>
      <c r="R48" s="308" t="s">
        <v>16</v>
      </c>
      <c r="S48" s="308" t="s">
        <v>4542</v>
      </c>
      <c r="T48" s="308"/>
      <c r="U48" s="308"/>
      <c r="V48" s="442" t="s">
        <v>6750</v>
      </c>
      <c r="W48" s="515" t="s">
        <v>492</v>
      </c>
      <c r="X48" s="442" t="s">
        <v>6749</v>
      </c>
      <c r="Y48" s="442" t="s">
        <v>6748</v>
      </c>
    </row>
    <row r="49" spans="1:25" ht="82.5">
      <c r="A49" s="51">
        <v>43</v>
      </c>
      <c r="B49" s="308" t="s">
        <v>436</v>
      </c>
      <c r="C49" s="380" t="s">
        <v>949</v>
      </c>
      <c r="D49" s="552" t="s">
        <v>5398</v>
      </c>
      <c r="E49" s="515" t="s">
        <v>493</v>
      </c>
      <c r="F49" s="546" t="s">
        <v>436</v>
      </c>
      <c r="G49" s="547">
        <v>23</v>
      </c>
      <c r="H49" s="552"/>
      <c r="I49" s="546"/>
      <c r="J49" s="546" t="s">
        <v>4570</v>
      </c>
      <c r="K49" s="546" t="s">
        <v>4577</v>
      </c>
      <c r="L49" s="553" t="s">
        <v>482</v>
      </c>
      <c r="M49" s="546" t="s">
        <v>483</v>
      </c>
      <c r="N49" s="552" t="s">
        <v>438</v>
      </c>
      <c r="O49" s="314">
        <v>78</v>
      </c>
      <c r="P49" s="570"/>
      <c r="Q49" s="308"/>
      <c r="R49" s="308" t="s">
        <v>16</v>
      </c>
      <c r="S49" s="308" t="s">
        <v>4542</v>
      </c>
      <c r="T49" s="308"/>
      <c r="U49" s="308"/>
      <c r="V49" s="442" t="s">
        <v>6750</v>
      </c>
      <c r="W49" s="515" t="s">
        <v>493</v>
      </c>
      <c r="X49" s="442" t="s">
        <v>6749</v>
      </c>
      <c r="Y49" s="442" t="s">
        <v>6748</v>
      </c>
    </row>
    <row r="50" spans="1:25" ht="66">
      <c r="A50" s="51">
        <v>44</v>
      </c>
      <c r="B50" s="308" t="s">
        <v>436</v>
      </c>
      <c r="C50" s="380" t="s">
        <v>950</v>
      </c>
      <c r="D50" s="552" t="s">
        <v>5783</v>
      </c>
      <c r="E50" s="515" t="s">
        <v>439</v>
      </c>
      <c r="F50" s="546" t="s">
        <v>436</v>
      </c>
      <c r="G50" s="547">
        <v>23</v>
      </c>
      <c r="H50" s="552"/>
      <c r="I50" s="546"/>
      <c r="J50" s="546" t="s">
        <v>4570</v>
      </c>
      <c r="K50" s="546" t="s">
        <v>4578</v>
      </c>
      <c r="L50" s="553" t="s">
        <v>482</v>
      </c>
      <c r="M50" s="546" t="s">
        <v>483</v>
      </c>
      <c r="N50" s="552" t="s">
        <v>5784</v>
      </c>
      <c r="O50" s="314">
        <v>79</v>
      </c>
      <c r="P50" s="570"/>
      <c r="Q50" s="308"/>
      <c r="R50" s="308" t="s">
        <v>16</v>
      </c>
      <c r="S50" s="308" t="s">
        <v>4542</v>
      </c>
      <c r="T50" s="308"/>
      <c r="U50" s="308"/>
      <c r="V50" s="442" t="s">
        <v>6750</v>
      </c>
      <c r="W50" s="515" t="s">
        <v>439</v>
      </c>
      <c r="X50" s="442" t="s">
        <v>6749</v>
      </c>
      <c r="Y50" s="442" t="s">
        <v>6748</v>
      </c>
    </row>
    <row r="51" spans="1:25" ht="115.5">
      <c r="A51" s="51">
        <v>45</v>
      </c>
      <c r="B51" s="308" t="s">
        <v>436</v>
      </c>
      <c r="C51" s="380" t="s">
        <v>951</v>
      </c>
      <c r="D51" s="552" t="s">
        <v>5399</v>
      </c>
      <c r="E51" s="515" t="s">
        <v>484</v>
      </c>
      <c r="F51" s="546" t="s">
        <v>436</v>
      </c>
      <c r="G51" s="547">
        <v>23</v>
      </c>
      <c r="H51" s="552"/>
      <c r="I51" s="546"/>
      <c r="J51" s="546" t="s">
        <v>4570</v>
      </c>
      <c r="K51" s="546" t="s">
        <v>3252</v>
      </c>
      <c r="L51" s="553" t="s">
        <v>482</v>
      </c>
      <c r="M51" s="546" t="s">
        <v>483</v>
      </c>
      <c r="N51" s="552" t="s">
        <v>5785</v>
      </c>
      <c r="O51" s="314">
        <v>80</v>
      </c>
      <c r="P51" s="570"/>
      <c r="Q51" s="308"/>
      <c r="R51" s="308" t="s">
        <v>16</v>
      </c>
      <c r="S51" s="308" t="s">
        <v>4542</v>
      </c>
      <c r="T51" s="554"/>
      <c r="U51" s="308"/>
      <c r="V51" s="442" t="s">
        <v>6750</v>
      </c>
      <c r="W51" s="515" t="s">
        <v>484</v>
      </c>
      <c r="X51" s="442" t="s">
        <v>6749</v>
      </c>
      <c r="Y51" s="442" t="s">
        <v>6748</v>
      </c>
    </row>
    <row r="52" spans="1:25" ht="82.5">
      <c r="A52" s="51">
        <v>46</v>
      </c>
      <c r="B52" s="308" t="s">
        <v>436</v>
      </c>
      <c r="C52" s="380" t="s">
        <v>952</v>
      </c>
      <c r="D52" s="552" t="s">
        <v>5400</v>
      </c>
      <c r="E52" s="515" t="s">
        <v>485</v>
      </c>
      <c r="F52" s="546" t="s">
        <v>436</v>
      </c>
      <c r="G52" s="547">
        <v>23</v>
      </c>
      <c r="H52" s="552"/>
      <c r="I52" s="546"/>
      <c r="J52" s="546" t="s">
        <v>4570</v>
      </c>
      <c r="K52" s="546" t="s">
        <v>3253</v>
      </c>
      <c r="L52" s="553" t="s">
        <v>482</v>
      </c>
      <c r="M52" s="546" t="s">
        <v>483</v>
      </c>
      <c r="N52" s="552" t="s">
        <v>5785</v>
      </c>
      <c r="O52" s="314">
        <v>80</v>
      </c>
      <c r="P52" s="570"/>
      <c r="Q52" s="308"/>
      <c r="R52" s="308" t="s">
        <v>16</v>
      </c>
      <c r="S52" s="308" t="s">
        <v>4542</v>
      </c>
      <c r="T52" s="554"/>
      <c r="U52" s="308"/>
      <c r="V52" s="442" t="s">
        <v>6750</v>
      </c>
      <c r="W52" s="515" t="s">
        <v>485</v>
      </c>
      <c r="X52" s="442" t="s">
        <v>6749</v>
      </c>
      <c r="Y52" s="442" t="s">
        <v>6748</v>
      </c>
    </row>
    <row r="53" spans="1:25" ht="132">
      <c r="A53" s="51">
        <v>47</v>
      </c>
      <c r="B53" s="308" t="s">
        <v>436</v>
      </c>
      <c r="C53" s="380" t="s">
        <v>953</v>
      </c>
      <c r="D53" s="552" t="s">
        <v>5401</v>
      </c>
      <c r="E53" s="515" t="s">
        <v>486</v>
      </c>
      <c r="F53" s="546" t="s">
        <v>436</v>
      </c>
      <c r="G53" s="547">
        <v>23</v>
      </c>
      <c r="H53" s="552"/>
      <c r="I53" s="546"/>
      <c r="J53" s="546" t="s">
        <v>4570</v>
      </c>
      <c r="K53" s="546" t="s">
        <v>4579</v>
      </c>
      <c r="L53" s="553" t="s">
        <v>482</v>
      </c>
      <c r="M53" s="546" t="s">
        <v>483</v>
      </c>
      <c r="N53" s="552" t="s">
        <v>5785</v>
      </c>
      <c r="O53" s="314">
        <v>80</v>
      </c>
      <c r="P53" s="570"/>
      <c r="Q53" s="308"/>
      <c r="R53" s="308" t="s">
        <v>16</v>
      </c>
      <c r="S53" s="308" t="s">
        <v>4542</v>
      </c>
      <c r="T53" s="554"/>
      <c r="U53" s="308"/>
      <c r="V53" s="442" t="s">
        <v>6750</v>
      </c>
      <c r="W53" s="515" t="s">
        <v>486</v>
      </c>
      <c r="X53" s="442" t="s">
        <v>6749</v>
      </c>
      <c r="Y53" s="442" t="s">
        <v>6748</v>
      </c>
    </row>
    <row r="54" spans="1:25" ht="99">
      <c r="A54" s="51">
        <v>48</v>
      </c>
      <c r="B54" s="308" t="s">
        <v>436</v>
      </c>
      <c r="C54" s="380" t="s">
        <v>954</v>
      </c>
      <c r="D54" s="552" t="s">
        <v>5402</v>
      </c>
      <c r="E54" s="515" t="s">
        <v>487</v>
      </c>
      <c r="F54" s="546" t="s">
        <v>645</v>
      </c>
      <c r="G54" s="547">
        <v>23</v>
      </c>
      <c r="H54" s="552"/>
      <c r="I54" s="546"/>
      <c r="J54" s="546" t="s">
        <v>4570</v>
      </c>
      <c r="K54" s="546" t="s">
        <v>4580</v>
      </c>
      <c r="L54" s="553" t="s">
        <v>482</v>
      </c>
      <c r="M54" s="546" t="s">
        <v>483</v>
      </c>
      <c r="N54" s="552" t="s">
        <v>5785</v>
      </c>
      <c r="O54" s="314">
        <v>80</v>
      </c>
      <c r="P54" s="571"/>
      <c r="Q54" s="308"/>
      <c r="R54" s="308" t="s">
        <v>16</v>
      </c>
      <c r="S54" s="308" t="s">
        <v>4542</v>
      </c>
      <c r="T54" s="554"/>
      <c r="U54" s="308"/>
      <c r="V54" s="442" t="s">
        <v>6750</v>
      </c>
      <c r="W54" s="515" t="s">
        <v>487</v>
      </c>
      <c r="X54" s="442" t="s">
        <v>6749</v>
      </c>
      <c r="Y54" s="442" t="s">
        <v>6748</v>
      </c>
    </row>
    <row r="55" spans="1:25" ht="108" customHeight="1">
      <c r="A55" s="51">
        <v>49</v>
      </c>
      <c r="B55" s="38" t="s">
        <v>640</v>
      </c>
      <c r="C55" s="298" t="s">
        <v>955</v>
      </c>
      <c r="D55" s="43" t="s">
        <v>5403</v>
      </c>
      <c r="E55" s="37" t="s">
        <v>641</v>
      </c>
      <c r="F55" s="38" t="s">
        <v>640</v>
      </c>
      <c r="G55" s="45">
        <v>31</v>
      </c>
      <c r="H55" s="327"/>
      <c r="I55" s="327"/>
      <c r="J55" s="574" t="s">
        <v>5898</v>
      </c>
      <c r="K55" s="574" t="s">
        <v>5899</v>
      </c>
      <c r="L55" s="328" t="s">
        <v>646</v>
      </c>
      <c r="M55" s="329" t="s">
        <v>647</v>
      </c>
      <c r="N55" s="328" t="s">
        <v>648</v>
      </c>
      <c r="O55" s="329">
        <v>110</v>
      </c>
      <c r="P55" s="330" t="s">
        <v>1128</v>
      </c>
      <c r="Q55" s="56"/>
      <c r="R55" s="38" t="s">
        <v>16</v>
      </c>
      <c r="S55" s="38" t="s">
        <v>4526</v>
      </c>
      <c r="T55" s="331"/>
      <c r="U55" s="56"/>
      <c r="V55" s="57"/>
      <c r="W55" s="57"/>
      <c r="X55" s="57"/>
      <c r="Y55" s="58"/>
    </row>
    <row r="56" spans="1:25" ht="99">
      <c r="A56" s="51">
        <v>50</v>
      </c>
      <c r="B56" s="38" t="s">
        <v>640</v>
      </c>
      <c r="C56" s="298" t="s">
        <v>956</v>
      </c>
      <c r="D56" s="43" t="s">
        <v>5404</v>
      </c>
      <c r="E56" s="37" t="s">
        <v>642</v>
      </c>
      <c r="F56" s="38" t="s">
        <v>640</v>
      </c>
      <c r="G56" s="45">
        <v>31</v>
      </c>
      <c r="H56" s="327"/>
      <c r="I56" s="327"/>
      <c r="J56" s="575"/>
      <c r="K56" s="575"/>
      <c r="L56" s="328" t="s">
        <v>646</v>
      </c>
      <c r="M56" s="329" t="s">
        <v>647</v>
      </c>
      <c r="N56" s="328" t="s">
        <v>648</v>
      </c>
      <c r="O56" s="329">
        <v>110</v>
      </c>
      <c r="P56" s="572" t="s">
        <v>1129</v>
      </c>
      <c r="Q56" s="56"/>
      <c r="R56" s="38" t="s">
        <v>16</v>
      </c>
      <c r="S56" s="38" t="s">
        <v>4526</v>
      </c>
      <c r="T56" s="331"/>
      <c r="U56" s="57" t="s">
        <v>4581</v>
      </c>
      <c r="V56" s="57"/>
      <c r="W56" s="57"/>
      <c r="X56" s="57"/>
      <c r="Y56" s="58"/>
    </row>
    <row r="57" spans="1:25" ht="33">
      <c r="A57" s="51">
        <v>51</v>
      </c>
      <c r="B57" s="38" t="s">
        <v>640</v>
      </c>
      <c r="C57" s="298" t="s">
        <v>957</v>
      </c>
      <c r="D57" s="43" t="s">
        <v>5405</v>
      </c>
      <c r="E57" s="37" t="s">
        <v>644</v>
      </c>
      <c r="F57" s="327"/>
      <c r="G57" s="327"/>
      <c r="H57" s="329" t="s">
        <v>636</v>
      </c>
      <c r="I57" s="45" t="s">
        <v>643</v>
      </c>
      <c r="J57" s="575"/>
      <c r="K57" s="575"/>
      <c r="L57" s="328"/>
      <c r="M57" s="329"/>
      <c r="N57" s="328"/>
      <c r="O57" s="329"/>
      <c r="P57" s="573"/>
      <c r="Q57" s="56"/>
      <c r="R57" s="38" t="s">
        <v>16</v>
      </c>
      <c r="S57" s="38" t="s">
        <v>4526</v>
      </c>
      <c r="T57" s="331"/>
      <c r="U57" s="56" t="s">
        <v>4423</v>
      </c>
      <c r="V57" s="57"/>
      <c r="W57" s="57"/>
      <c r="X57" s="57"/>
      <c r="Y57" s="58"/>
    </row>
    <row r="58" spans="1:25" s="23" customFormat="1" ht="87.75" customHeight="1">
      <c r="A58" s="51"/>
      <c r="B58" s="308" t="s">
        <v>444</v>
      </c>
      <c r="C58" s="380" t="s">
        <v>5411</v>
      </c>
      <c r="D58" s="536" t="s">
        <v>5421</v>
      </c>
      <c r="E58" s="537" t="s">
        <v>5422</v>
      </c>
      <c r="F58" s="546" t="s">
        <v>444</v>
      </c>
      <c r="G58" s="547">
        <v>26</v>
      </c>
      <c r="H58" s="547"/>
      <c r="I58" s="546"/>
      <c r="J58" s="548"/>
      <c r="K58" s="548"/>
      <c r="L58" s="548" t="s">
        <v>5417</v>
      </c>
      <c r="M58" s="546">
        <v>76</v>
      </c>
      <c r="N58" s="549" t="s">
        <v>5416</v>
      </c>
      <c r="O58" s="550">
        <v>119</v>
      </c>
      <c r="P58" s="515"/>
      <c r="Q58" s="308"/>
      <c r="R58" s="308"/>
      <c r="S58" s="308"/>
      <c r="T58" s="464"/>
      <c r="U58" s="465"/>
      <c r="V58" s="466"/>
      <c r="W58" s="467"/>
      <c r="X58" s="467" t="s">
        <v>5257</v>
      </c>
      <c r="Y58" s="468"/>
    </row>
    <row r="59" spans="1:25" s="23" customFormat="1" ht="40.5">
      <c r="A59" s="51">
        <v>52</v>
      </c>
      <c r="B59" s="308" t="s">
        <v>444</v>
      </c>
      <c r="C59" s="380" t="s">
        <v>5412</v>
      </c>
      <c r="D59" s="536" t="s">
        <v>5406</v>
      </c>
      <c r="E59" s="536" t="s">
        <v>649</v>
      </c>
      <c r="F59" s="546"/>
      <c r="G59" s="547"/>
      <c r="H59" s="547" t="s">
        <v>636</v>
      </c>
      <c r="I59" s="546" t="s">
        <v>643</v>
      </c>
      <c r="J59" s="548"/>
      <c r="K59" s="548"/>
      <c r="L59" s="548"/>
      <c r="M59" s="546"/>
      <c r="N59" s="549"/>
      <c r="O59" s="550"/>
      <c r="P59" s="515" t="s">
        <v>4582</v>
      </c>
      <c r="Q59" s="308"/>
      <c r="R59" s="308" t="s">
        <v>16</v>
      </c>
      <c r="S59" s="308" t="s">
        <v>4526</v>
      </c>
      <c r="T59" s="464"/>
      <c r="U59" s="465"/>
      <c r="V59" s="466"/>
      <c r="W59" s="467"/>
      <c r="X59" s="467" t="s">
        <v>5257</v>
      </c>
      <c r="Y59" s="468"/>
    </row>
    <row r="60" spans="1:25" ht="16.5" customHeight="1">
      <c r="A60" s="51">
        <v>53</v>
      </c>
      <c r="B60" s="38" t="s">
        <v>650</v>
      </c>
      <c r="C60" s="55" t="s">
        <v>5420</v>
      </c>
      <c r="D60" s="295" t="s">
        <v>5407</v>
      </c>
      <c r="E60" s="37" t="s">
        <v>651</v>
      </c>
      <c r="F60" s="38"/>
      <c r="G60" s="45"/>
      <c r="H60" s="295"/>
      <c r="I60" s="39"/>
      <c r="J60" s="39" t="s">
        <v>4583</v>
      </c>
      <c r="K60" s="39" t="s">
        <v>4583</v>
      </c>
      <c r="L60" s="39"/>
      <c r="M60" s="39"/>
      <c r="N60" s="297" t="s">
        <v>652</v>
      </c>
      <c r="O60" s="45">
        <v>197</v>
      </c>
      <c r="P60" s="334" t="s">
        <v>6757</v>
      </c>
      <c r="Q60" s="38"/>
      <c r="R60" s="38" t="s">
        <v>16</v>
      </c>
      <c r="S60" s="38" t="s">
        <v>4526</v>
      </c>
      <c r="T60" s="38"/>
      <c r="U60" s="38"/>
      <c r="V60" s="39"/>
      <c r="W60" s="39"/>
      <c r="X60" s="39"/>
      <c r="Y60" s="39"/>
    </row>
  </sheetData>
  <mergeCells count="19">
    <mergeCell ref="V5:Y5"/>
    <mergeCell ref="B5:B6"/>
    <mergeCell ref="C5:C6"/>
    <mergeCell ref="D5:D6"/>
    <mergeCell ref="E5:E6"/>
    <mergeCell ref="F5:O5"/>
    <mergeCell ref="P5:P6"/>
    <mergeCell ref="Q5:Q6"/>
    <mergeCell ref="R5:R6"/>
    <mergeCell ref="S5:S6"/>
    <mergeCell ref="T5:T6"/>
    <mergeCell ref="U5:U6"/>
    <mergeCell ref="J7:J8"/>
    <mergeCell ref="K7:K8"/>
    <mergeCell ref="P37:P38"/>
    <mergeCell ref="P43:P54"/>
    <mergeCell ref="P56:P57"/>
    <mergeCell ref="J55:J57"/>
    <mergeCell ref="K55:K57"/>
  </mergeCells>
  <phoneticPr fontId="15" type="noConversion"/>
  <conditionalFormatting sqref="A4:A60">
    <cfRule type="cellIs" dxfId="362" priority="30" stopIfTrue="1" operator="equal">
      <formula>#REF!=N</formula>
    </cfRule>
  </conditionalFormatting>
  <conditionalFormatting sqref="B4:D5 S4:T5">
    <cfRule type="expression" dxfId="361" priority="29" stopIfTrue="1">
      <formula>#REF!&lt;&gt;"Y"</formula>
    </cfRule>
  </conditionalFormatting>
  <conditionalFormatting sqref="B7:D54">
    <cfRule type="expression" dxfId="360" priority="2" stopIfTrue="1">
      <formula>#REF!&lt;&gt;"Y"</formula>
    </cfRule>
  </conditionalFormatting>
  <conditionalFormatting sqref="C60">
    <cfRule type="expression" dxfId="359" priority="22" stopIfTrue="1">
      <formula>#REF!&lt;&gt;"Y"</formula>
    </cfRule>
  </conditionalFormatting>
  <conditionalFormatting sqref="E7:E25">
    <cfRule type="expression" dxfId="358" priority="26" stopIfTrue="1">
      <formula>#REF!&lt;&gt;"Y"</formula>
    </cfRule>
  </conditionalFormatting>
  <conditionalFormatting sqref="E47:E57">
    <cfRule type="expression" dxfId="357" priority="4" stopIfTrue="1">
      <formula>#REF!&lt;&gt;"Y"</formula>
    </cfRule>
  </conditionalFormatting>
  <conditionalFormatting sqref="E5:F5">
    <cfRule type="expression" dxfId="356" priority="27" stopIfTrue="1">
      <formula>#REF!&lt;&gt;"Y"</formula>
    </cfRule>
  </conditionalFormatting>
  <conditionalFormatting sqref="E30:I38">
    <cfRule type="expression" dxfId="355" priority="14" stopIfTrue="1">
      <formula>#REF!&lt;&gt;"Y"</formula>
    </cfRule>
  </conditionalFormatting>
  <conditionalFormatting sqref="E4:O4 I6:O7 I18:O19 B55:C59 F58:O59">
    <cfRule type="expression" dxfId="354" priority="18" stopIfTrue="1">
      <formula>#REF!&lt;&gt;"Y"</formula>
    </cfRule>
  </conditionalFormatting>
  <conditionalFormatting sqref="E39:O46">
    <cfRule type="expression" dxfId="353" priority="8" stopIfTrue="1">
      <formula>#REF!&lt;&gt;"Y"</formula>
    </cfRule>
  </conditionalFormatting>
  <conditionalFormatting sqref="F50:F56">
    <cfRule type="expression" dxfId="352" priority="3" stopIfTrue="1">
      <formula>#REF!&lt;&gt;"Y"</formula>
    </cfRule>
  </conditionalFormatting>
  <conditionalFormatting sqref="F6:H20">
    <cfRule type="expression" dxfId="351" priority="15" stopIfTrue="1">
      <formula>#REF!&lt;&gt;"Y"</formula>
    </cfRule>
  </conditionalFormatting>
  <conditionalFormatting sqref="F21:I29">
    <cfRule type="expression" dxfId="350" priority="24" stopIfTrue="1">
      <formula>#REF!&lt;&gt;"Y"</formula>
    </cfRule>
  </conditionalFormatting>
  <conditionalFormatting sqref="F47:O49">
    <cfRule type="expression" dxfId="349" priority="5" stopIfTrue="1">
      <formula>#REF!&lt;&gt;"Y"</formula>
    </cfRule>
  </conditionalFormatting>
  <conditionalFormatting sqref="G60">
    <cfRule type="expression" dxfId="348" priority="23" stopIfTrue="1">
      <formula>#REF!&lt;&gt;"Y"</formula>
    </cfRule>
  </conditionalFormatting>
  <conditionalFormatting sqref="G50:O54">
    <cfRule type="expression" dxfId="347" priority="7" stopIfTrue="1">
      <formula>#REF!&lt;&gt;"Y"</formula>
    </cfRule>
  </conditionalFormatting>
  <conditionalFormatting sqref="I20">
    <cfRule type="expression" dxfId="346" priority="16" stopIfTrue="1">
      <formula>#REF!&lt;&gt;"Y"</formula>
    </cfRule>
  </conditionalFormatting>
  <conditionalFormatting sqref="J9:O17">
    <cfRule type="expression" dxfId="345" priority="17" stopIfTrue="1">
      <formula>#REF!&lt;&gt;"Y"</formula>
    </cfRule>
  </conditionalFormatting>
  <conditionalFormatting sqref="K20:O38">
    <cfRule type="expression" dxfId="344" priority="13" stopIfTrue="1">
      <formula>#REF!&lt;&gt;"Y"</formula>
    </cfRule>
  </conditionalFormatting>
  <conditionalFormatting sqref="L8:O8 I8:I17">
    <cfRule type="expression" dxfId="343" priority="25" stopIfTrue="1">
      <formula>#REF!&lt;&gt;"Y"</formula>
    </cfRule>
  </conditionalFormatting>
  <conditionalFormatting sqref="N47:O54">
    <cfRule type="expression" dxfId="342" priority="6" stopIfTrue="1">
      <formula>#REF!&lt;&gt;"Y"</formula>
    </cfRule>
  </conditionalFormatting>
  <conditionalFormatting sqref="O60">
    <cfRule type="expression" dxfId="341" priority="21" stopIfTrue="1">
      <formula>#REF!&lt;&gt;"Y"</formula>
    </cfRule>
  </conditionalFormatting>
  <conditionalFormatting sqref="P30:P34">
    <cfRule type="expression" dxfId="340" priority="9" stopIfTrue="1">
      <formula>#REF!&lt;&gt;"Y"</formula>
    </cfRule>
  </conditionalFormatting>
  <conditionalFormatting sqref="S30:S57">
    <cfRule type="expression" dxfId="339" priority="12" stopIfTrue="1">
      <formula>#REF!&lt;&gt;"Y"</formula>
    </cfRule>
  </conditionalFormatting>
  <conditionalFormatting sqref="S60">
    <cfRule type="expression" dxfId="338" priority="20" stopIfTrue="1">
      <formula>#REF!&lt;&gt;"Y"</formula>
    </cfRule>
  </conditionalFormatting>
  <conditionalFormatting sqref="S7:T29">
    <cfRule type="expression" dxfId="337" priority="19" stopIfTrue="1">
      <formula>#REF!&lt;&gt;"Y"</formula>
    </cfRule>
  </conditionalFormatting>
  <conditionalFormatting sqref="S58:T59 Y58:Y59">
    <cfRule type="expression" dxfId="336" priority="28" stopIfTrue="1">
      <formula>#REF!&lt;&gt;"Y"</formula>
    </cfRule>
  </conditionalFormatting>
  <conditionalFormatting sqref="T30:T54">
    <cfRule type="expression" dxfId="335" priority="11" stopIfTrue="1">
      <formula>#REF!&lt;&gt;"Y"</formula>
    </cfRule>
  </conditionalFormatting>
  <conditionalFormatting sqref="V4:X54">
    <cfRule type="expression" dxfId="334" priority="1" stopIfTrue="1">
      <formula>#REF!&lt;&gt;"Y"</formula>
    </cfRule>
  </conditionalFormatting>
  <printOptions horizontalCentered="1"/>
  <pageMargins left="0.78740157480314965" right="0.78740157480314965" top="0.78740157480314965" bottom="0.78740157480314965" header="0.39370078740157483" footer="0.39370078740157483"/>
  <pageSetup paperSize="8" scale="41" fitToWidth="0" fitToHeight="0" orientation="landscape" r:id="rId1"/>
  <headerFooter differentFirst="1" alignWithMargins="0">
    <oddFooter>&amp;C&amp;"맑은 고딕,보통"- &amp;P -&amp;R&amp;G</oddFooter>
    <firstFooter>&amp;C-3-</first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sheetPr>
  <dimension ref="A1:Y104"/>
  <sheetViews>
    <sheetView zoomScale="70" zoomScaleNormal="70" zoomScaleSheetLayoutView="85" workbookViewId="0">
      <pane xSplit="1" ySplit="6" topLeftCell="G101" activePane="bottomRight" state="frozen"/>
      <selection activeCell="E27" sqref="E27"/>
      <selection pane="topRight" activeCell="E27" sqref="E27"/>
      <selection pane="bottomLeft" activeCell="E27" sqref="E27"/>
      <selection pane="bottomRight" activeCell="P103" sqref="P103"/>
    </sheetView>
  </sheetViews>
  <sheetFormatPr defaultColWidth="9.140625" defaultRowHeight="13.5"/>
  <cols>
    <col min="1" max="1" width="5.42578125" style="5" customWidth="1"/>
    <col min="2" max="2" width="10.85546875" style="4" customWidth="1"/>
    <col min="3" max="3" width="24.42578125" style="4" bestFit="1" customWidth="1"/>
    <col min="4" max="4" width="35.7109375" style="22" customWidth="1"/>
    <col min="5" max="5" width="59.140625" style="16" customWidth="1"/>
    <col min="6" max="6" width="12" style="5" customWidth="1"/>
    <col min="7" max="7" width="7.7109375" style="5" customWidth="1"/>
    <col min="8" max="8" width="10" style="5" customWidth="1"/>
    <col min="9" max="10" width="15.42578125" style="5" customWidth="1"/>
    <col min="11" max="11" width="24.5703125" style="5" customWidth="1"/>
    <col min="12" max="12" width="17.85546875" style="3" customWidth="1"/>
    <col min="13" max="13" width="15.42578125" style="5" customWidth="1"/>
    <col min="14" max="14" width="25.7109375" style="3" customWidth="1"/>
    <col min="15" max="15" width="11.7109375" style="5" customWidth="1"/>
    <col min="16" max="16" width="55" style="10" customWidth="1"/>
    <col min="17" max="17" width="51.5703125" style="17" customWidth="1"/>
    <col min="18" max="19" width="8.28515625" style="17" customWidth="1"/>
    <col min="20" max="20" width="8.28515625" style="12" customWidth="1"/>
    <col min="21" max="21" width="12.85546875" style="17" customWidth="1"/>
    <col min="22" max="22" width="12.28515625" style="13" customWidth="1"/>
    <col min="23" max="23" width="21.28515625" style="13" customWidth="1"/>
    <col min="24" max="24" width="18.140625" style="13" customWidth="1"/>
    <col min="25" max="25" width="22.28515625" style="19" customWidth="1"/>
    <col min="26" max="16384" width="9.140625" style="3"/>
  </cols>
  <sheetData>
    <row r="1" spans="1:25" s="2" customFormat="1" ht="15" customHeight="1">
      <c r="A1" s="6"/>
      <c r="B1" s="18"/>
      <c r="C1" s="34"/>
      <c r="D1" s="24"/>
      <c r="E1" s="14"/>
      <c r="F1" s="25"/>
      <c r="G1" s="25"/>
      <c r="H1" s="25"/>
      <c r="I1" s="25"/>
      <c r="J1" s="25"/>
      <c r="K1" s="25"/>
      <c r="L1" s="52"/>
      <c r="M1" s="25"/>
      <c r="N1" s="52"/>
      <c r="O1" s="25"/>
      <c r="P1" s="24"/>
      <c r="Q1" s="6">
        <v>5</v>
      </c>
      <c r="R1" s="6"/>
      <c r="S1" s="6"/>
      <c r="T1" s="21"/>
      <c r="U1" s="6"/>
      <c r="Y1" s="7" t="str">
        <f>프로젝트명</f>
        <v>LX플랫폼 고도화 사업</v>
      </c>
    </row>
    <row r="2" spans="1:25" s="2" customFormat="1" ht="15" customHeight="1">
      <c r="A2" s="6"/>
      <c r="B2" s="18"/>
      <c r="C2" s="34"/>
      <c r="D2" s="24"/>
      <c r="E2" s="14"/>
      <c r="F2" s="25"/>
      <c r="G2" s="25"/>
      <c r="H2" s="25"/>
      <c r="I2" s="25"/>
      <c r="J2" s="25"/>
      <c r="K2" s="25"/>
      <c r="L2" s="52"/>
      <c r="M2" s="25"/>
      <c r="N2" s="52"/>
      <c r="O2" s="25"/>
      <c r="P2" s="24"/>
      <c r="Q2" s="6"/>
      <c r="R2" s="6"/>
      <c r="S2" s="6"/>
      <c r="T2" s="21"/>
      <c r="U2" s="6"/>
      <c r="Y2" s="7" t="s">
        <v>5423</v>
      </c>
    </row>
    <row r="3" spans="1:25" s="2" customFormat="1" ht="8.25" customHeight="1">
      <c r="A3" s="6"/>
      <c r="B3" s="18"/>
      <c r="C3" s="34"/>
      <c r="D3" s="24"/>
      <c r="E3" s="14"/>
      <c r="F3" s="25"/>
      <c r="G3" s="25"/>
      <c r="H3" s="25"/>
      <c r="I3" s="25"/>
      <c r="J3" s="25"/>
      <c r="K3" s="25"/>
      <c r="L3" s="52"/>
      <c r="M3" s="25"/>
      <c r="N3" s="52"/>
      <c r="O3" s="25"/>
      <c r="P3" s="24"/>
      <c r="Q3" s="6"/>
      <c r="R3" s="6"/>
      <c r="S3" s="6"/>
      <c r="T3" s="6"/>
      <c r="U3" s="6"/>
    </row>
    <row r="4" spans="1:25">
      <c r="E4" s="15"/>
      <c r="F4" s="26"/>
      <c r="G4" s="26"/>
      <c r="H4" s="26"/>
      <c r="I4" s="26"/>
      <c r="J4" s="26"/>
      <c r="K4" s="26"/>
      <c r="L4" s="53"/>
      <c r="M4" s="26"/>
      <c r="N4" s="53"/>
      <c r="O4" s="26"/>
      <c r="S4" s="20"/>
      <c r="T4" s="11"/>
    </row>
    <row r="5" spans="1:25" s="17" customFormat="1" ht="46.5" customHeight="1">
      <c r="B5" s="563" t="s">
        <v>13</v>
      </c>
      <c r="C5" s="563" t="s">
        <v>2</v>
      </c>
      <c r="D5" s="563" t="s">
        <v>15</v>
      </c>
      <c r="E5" s="564" t="s">
        <v>21</v>
      </c>
      <c r="F5" s="562" t="s">
        <v>14</v>
      </c>
      <c r="G5" s="562"/>
      <c r="H5" s="562"/>
      <c r="I5" s="562"/>
      <c r="J5" s="562"/>
      <c r="K5" s="562"/>
      <c r="L5" s="562"/>
      <c r="M5" s="562"/>
      <c r="N5" s="562"/>
      <c r="O5" s="562"/>
      <c r="P5" s="563" t="s">
        <v>548</v>
      </c>
      <c r="Q5" s="563" t="s">
        <v>6</v>
      </c>
      <c r="R5" s="563" t="s">
        <v>4</v>
      </c>
      <c r="S5" s="563" t="s">
        <v>18</v>
      </c>
      <c r="T5" s="563" t="s">
        <v>3</v>
      </c>
      <c r="U5" s="563" t="s">
        <v>7</v>
      </c>
      <c r="V5" s="563" t="s">
        <v>19</v>
      </c>
      <c r="W5" s="563"/>
      <c r="X5" s="563"/>
      <c r="Y5" s="563"/>
    </row>
    <row r="6" spans="1:25" s="27" customFormat="1" ht="28.5" customHeight="1">
      <c r="B6" s="563"/>
      <c r="C6" s="563"/>
      <c r="D6" s="563"/>
      <c r="E6" s="564"/>
      <c r="F6" s="28" t="s">
        <v>8</v>
      </c>
      <c r="G6" s="28" t="s">
        <v>11</v>
      </c>
      <c r="H6" s="28" t="s">
        <v>12</v>
      </c>
      <c r="I6" s="29" t="s">
        <v>17</v>
      </c>
      <c r="J6" s="29" t="s">
        <v>1132</v>
      </c>
      <c r="K6" s="29" t="s">
        <v>1133</v>
      </c>
      <c r="L6" s="29" t="s">
        <v>458</v>
      </c>
      <c r="M6" s="29" t="s">
        <v>457</v>
      </c>
      <c r="N6" s="29" t="s">
        <v>20</v>
      </c>
      <c r="O6" s="28" t="s">
        <v>457</v>
      </c>
      <c r="P6" s="563"/>
      <c r="Q6" s="563"/>
      <c r="R6" s="563"/>
      <c r="S6" s="563"/>
      <c r="T6" s="563"/>
      <c r="U6" s="563"/>
      <c r="V6" s="341" t="s">
        <v>1</v>
      </c>
      <c r="W6" s="341" t="s">
        <v>5249</v>
      </c>
      <c r="X6" s="341" t="s">
        <v>5248</v>
      </c>
      <c r="Y6" s="341" t="s">
        <v>9</v>
      </c>
    </row>
    <row r="7" spans="1:25" s="23" customFormat="1" ht="87" customHeight="1">
      <c r="A7" s="51">
        <v>1</v>
      </c>
      <c r="B7" s="320" t="s">
        <v>425</v>
      </c>
      <c r="C7" s="472" t="s">
        <v>5424</v>
      </c>
      <c r="D7" s="473" t="s">
        <v>5425</v>
      </c>
      <c r="E7" s="440" t="s">
        <v>5426</v>
      </c>
      <c r="F7" s="320" t="s">
        <v>425</v>
      </c>
      <c r="G7" s="438" t="s">
        <v>426</v>
      </c>
      <c r="H7" s="473"/>
      <c r="I7" s="474"/>
      <c r="J7" s="474" t="s">
        <v>5427</v>
      </c>
      <c r="K7" s="475" t="s">
        <v>4606</v>
      </c>
      <c r="L7" s="475" t="s">
        <v>5428</v>
      </c>
      <c r="M7" s="476" t="s">
        <v>5429</v>
      </c>
      <c r="N7" s="477" t="s">
        <v>5430</v>
      </c>
      <c r="O7" s="478">
        <v>64</v>
      </c>
      <c r="P7" s="479" t="s">
        <v>5431</v>
      </c>
      <c r="Q7" s="556" t="s">
        <v>5432</v>
      </c>
      <c r="R7" s="38" t="s">
        <v>622</v>
      </c>
      <c r="S7" s="38" t="s">
        <v>5433</v>
      </c>
      <c r="T7" s="38" t="s">
        <v>423</v>
      </c>
      <c r="U7" s="38" t="s">
        <v>4503</v>
      </c>
      <c r="V7" s="582" t="s">
        <v>5793</v>
      </c>
      <c r="W7" s="582" t="s">
        <v>5794</v>
      </c>
      <c r="X7" s="582" t="s">
        <v>5795</v>
      </c>
      <c r="Y7" s="582" t="s">
        <v>5796</v>
      </c>
    </row>
    <row r="8" spans="1:25" s="23" customFormat="1" ht="165">
      <c r="A8" s="51">
        <v>2</v>
      </c>
      <c r="B8" s="320" t="s">
        <v>425</v>
      </c>
      <c r="C8" s="472" t="s">
        <v>4424</v>
      </c>
      <c r="D8" s="473" t="s">
        <v>5434</v>
      </c>
      <c r="E8" s="440" t="s">
        <v>5435</v>
      </c>
      <c r="F8" s="320" t="s">
        <v>425</v>
      </c>
      <c r="G8" s="438" t="s">
        <v>426</v>
      </c>
      <c r="H8" s="473"/>
      <c r="I8" s="474"/>
      <c r="J8" s="474" t="s">
        <v>5427</v>
      </c>
      <c r="K8" s="475" t="s">
        <v>4606</v>
      </c>
      <c r="L8" s="475" t="s">
        <v>5428</v>
      </c>
      <c r="M8" s="476" t="s">
        <v>5429</v>
      </c>
      <c r="N8" s="477" t="s">
        <v>5430</v>
      </c>
      <c r="O8" s="478">
        <v>64</v>
      </c>
      <c r="P8" s="479" t="s">
        <v>615</v>
      </c>
      <c r="Q8" s="557"/>
      <c r="R8" s="38" t="s">
        <v>622</v>
      </c>
      <c r="S8" s="38" t="s">
        <v>5433</v>
      </c>
      <c r="T8" s="38" t="s">
        <v>423</v>
      </c>
      <c r="U8" s="38" t="s">
        <v>4503</v>
      </c>
      <c r="V8" s="583"/>
      <c r="W8" s="583"/>
      <c r="X8" s="583"/>
      <c r="Y8" s="583"/>
    </row>
    <row r="9" spans="1:25" s="23" customFormat="1" ht="165">
      <c r="A9" s="51">
        <v>3</v>
      </c>
      <c r="B9" s="320" t="s">
        <v>425</v>
      </c>
      <c r="C9" s="472" t="s">
        <v>4425</v>
      </c>
      <c r="D9" s="473" t="s">
        <v>5436</v>
      </c>
      <c r="E9" s="440" t="s">
        <v>5437</v>
      </c>
      <c r="F9" s="320" t="s">
        <v>425</v>
      </c>
      <c r="G9" s="438" t="s">
        <v>426</v>
      </c>
      <c r="H9" s="473"/>
      <c r="I9" s="474"/>
      <c r="J9" s="474" t="s">
        <v>5427</v>
      </c>
      <c r="K9" s="475" t="s">
        <v>4606</v>
      </c>
      <c r="L9" s="475" t="s">
        <v>5428</v>
      </c>
      <c r="M9" s="476" t="s">
        <v>5429</v>
      </c>
      <c r="N9" s="477" t="s">
        <v>5430</v>
      </c>
      <c r="O9" s="478">
        <v>64</v>
      </c>
      <c r="P9" s="479" t="s">
        <v>5438</v>
      </c>
      <c r="Q9" s="557"/>
      <c r="R9" s="38" t="s">
        <v>622</v>
      </c>
      <c r="S9" s="38" t="s">
        <v>5433</v>
      </c>
      <c r="T9" s="38" t="s">
        <v>423</v>
      </c>
      <c r="U9" s="38" t="s">
        <v>4503</v>
      </c>
      <c r="V9" s="583"/>
      <c r="W9" s="583"/>
      <c r="X9" s="583"/>
      <c r="Y9" s="583"/>
    </row>
    <row r="10" spans="1:25" s="23" customFormat="1" ht="165">
      <c r="A10" s="51">
        <v>4</v>
      </c>
      <c r="B10" s="320" t="s">
        <v>425</v>
      </c>
      <c r="C10" s="472" t="s">
        <v>4426</v>
      </c>
      <c r="D10" s="473" t="s">
        <v>5439</v>
      </c>
      <c r="E10" s="440" t="s">
        <v>5440</v>
      </c>
      <c r="F10" s="320" t="s">
        <v>425</v>
      </c>
      <c r="G10" s="438" t="s">
        <v>426</v>
      </c>
      <c r="H10" s="473"/>
      <c r="I10" s="474"/>
      <c r="J10" s="474" t="s">
        <v>5427</v>
      </c>
      <c r="K10" s="475" t="s">
        <v>4606</v>
      </c>
      <c r="L10" s="475" t="s">
        <v>5428</v>
      </c>
      <c r="M10" s="476" t="s">
        <v>5429</v>
      </c>
      <c r="N10" s="477" t="s">
        <v>5430</v>
      </c>
      <c r="O10" s="478">
        <v>64</v>
      </c>
      <c r="P10" s="479"/>
      <c r="Q10" s="557"/>
      <c r="R10" s="38" t="s">
        <v>622</v>
      </c>
      <c r="S10" s="38" t="s">
        <v>5433</v>
      </c>
      <c r="T10" s="38" t="s">
        <v>423</v>
      </c>
      <c r="U10" s="38" t="s">
        <v>4503</v>
      </c>
      <c r="V10" s="583"/>
      <c r="W10" s="583"/>
      <c r="X10" s="583"/>
      <c r="Y10" s="583"/>
    </row>
    <row r="11" spans="1:25" s="23" customFormat="1" ht="165">
      <c r="A11" s="51">
        <v>5</v>
      </c>
      <c r="B11" s="320" t="s">
        <v>425</v>
      </c>
      <c r="C11" s="472" t="s">
        <v>4427</v>
      </c>
      <c r="D11" s="473" t="s">
        <v>5441</v>
      </c>
      <c r="E11" s="440" t="s">
        <v>5442</v>
      </c>
      <c r="F11" s="320" t="s">
        <v>425</v>
      </c>
      <c r="G11" s="438" t="s">
        <v>426</v>
      </c>
      <c r="H11" s="473"/>
      <c r="I11" s="474"/>
      <c r="J11" s="474" t="s">
        <v>5427</v>
      </c>
      <c r="K11" s="475" t="s">
        <v>4606</v>
      </c>
      <c r="L11" s="475" t="s">
        <v>5428</v>
      </c>
      <c r="M11" s="476" t="s">
        <v>5429</v>
      </c>
      <c r="N11" s="477" t="s">
        <v>5430</v>
      </c>
      <c r="O11" s="478">
        <v>64</v>
      </c>
      <c r="P11" s="479"/>
      <c r="Q11" s="558"/>
      <c r="R11" s="38" t="s">
        <v>622</v>
      </c>
      <c r="S11" s="38" t="s">
        <v>5433</v>
      </c>
      <c r="T11" s="38" t="s">
        <v>423</v>
      </c>
      <c r="U11" s="38" t="s">
        <v>4503</v>
      </c>
      <c r="V11" s="584"/>
      <c r="W11" s="584"/>
      <c r="X11" s="584"/>
      <c r="Y11" s="584"/>
    </row>
    <row r="12" spans="1:25" s="23" customFormat="1" ht="346.5">
      <c r="A12" s="51">
        <v>6</v>
      </c>
      <c r="B12" s="38" t="s">
        <v>5443</v>
      </c>
      <c r="C12" s="298" t="s">
        <v>5444</v>
      </c>
      <c r="D12" s="295" t="s">
        <v>5445</v>
      </c>
      <c r="E12" s="37" t="s">
        <v>5446</v>
      </c>
      <c r="F12" s="38" t="s">
        <v>5443</v>
      </c>
      <c r="G12" s="296">
        <v>24</v>
      </c>
      <c r="H12" s="295"/>
      <c r="I12" s="39"/>
      <c r="J12" s="39" t="s">
        <v>5447</v>
      </c>
      <c r="K12" s="389" t="s">
        <v>5920</v>
      </c>
      <c r="L12" s="39" t="s">
        <v>5448</v>
      </c>
      <c r="M12" s="38" t="s">
        <v>5449</v>
      </c>
      <c r="N12" s="297" t="s">
        <v>5450</v>
      </c>
      <c r="O12" s="32" t="s">
        <v>626</v>
      </c>
      <c r="P12" s="480" t="s">
        <v>5451</v>
      </c>
      <c r="Q12" s="389" t="s">
        <v>5797</v>
      </c>
      <c r="R12" s="38" t="s">
        <v>622</v>
      </c>
      <c r="S12" s="38" t="s">
        <v>5433</v>
      </c>
      <c r="T12" s="38" t="s">
        <v>423</v>
      </c>
      <c r="U12" s="38"/>
      <c r="V12" s="481" t="s">
        <v>5848</v>
      </c>
      <c r="W12" s="482" t="s">
        <v>5846</v>
      </c>
      <c r="X12" s="482" t="s">
        <v>5847</v>
      </c>
      <c r="Y12" s="482" t="s">
        <v>5849</v>
      </c>
    </row>
    <row r="13" spans="1:25" s="23" customFormat="1" ht="132">
      <c r="A13" s="51">
        <v>7</v>
      </c>
      <c r="B13" s="38" t="s">
        <v>5443</v>
      </c>
      <c r="C13" s="298" t="s">
        <v>4428</v>
      </c>
      <c r="D13" s="295" t="s">
        <v>5452</v>
      </c>
      <c r="E13" s="37" t="s">
        <v>5453</v>
      </c>
      <c r="F13" s="38" t="s">
        <v>5443</v>
      </c>
      <c r="G13" s="296">
        <v>24</v>
      </c>
      <c r="H13" s="295"/>
      <c r="I13" s="39"/>
      <c r="J13" s="39" t="s">
        <v>5447</v>
      </c>
      <c r="K13" s="389" t="s">
        <v>5921</v>
      </c>
      <c r="L13" s="39" t="s">
        <v>5448</v>
      </c>
      <c r="M13" s="38" t="s">
        <v>5449</v>
      </c>
      <c r="N13" s="297" t="s">
        <v>5450</v>
      </c>
      <c r="O13" s="32" t="s">
        <v>626</v>
      </c>
      <c r="P13" s="480" t="s">
        <v>5454</v>
      </c>
      <c r="Q13" s="389" t="s">
        <v>5798</v>
      </c>
      <c r="R13" s="38" t="s">
        <v>622</v>
      </c>
      <c r="S13" s="38" t="s">
        <v>4504</v>
      </c>
      <c r="T13" s="38" t="s">
        <v>423</v>
      </c>
      <c r="U13" s="38"/>
      <c r="V13" s="43"/>
      <c r="W13" s="43"/>
      <c r="X13" s="43"/>
      <c r="Y13" s="54"/>
    </row>
    <row r="14" spans="1:25" s="23" customFormat="1" ht="396">
      <c r="A14" s="51">
        <v>8</v>
      </c>
      <c r="B14" s="38" t="s">
        <v>5443</v>
      </c>
      <c r="C14" s="298" t="s">
        <v>4429</v>
      </c>
      <c r="D14" s="295" t="s">
        <v>5455</v>
      </c>
      <c r="E14" s="483" t="s">
        <v>5456</v>
      </c>
      <c r="F14" s="38" t="s">
        <v>5443</v>
      </c>
      <c r="G14" s="296">
        <v>24</v>
      </c>
      <c r="H14" s="295"/>
      <c r="I14" s="39"/>
      <c r="J14" s="39" t="s">
        <v>5447</v>
      </c>
      <c r="K14" s="389" t="s">
        <v>5922</v>
      </c>
      <c r="L14" s="39" t="s">
        <v>5448</v>
      </c>
      <c r="M14" s="38" t="s">
        <v>5449</v>
      </c>
      <c r="N14" s="297" t="s">
        <v>5450</v>
      </c>
      <c r="O14" s="32" t="s">
        <v>626</v>
      </c>
      <c r="P14" s="480" t="s">
        <v>5457</v>
      </c>
      <c r="Q14" s="389" t="s">
        <v>5799</v>
      </c>
      <c r="R14" s="38" t="s">
        <v>622</v>
      </c>
      <c r="S14" s="38" t="s">
        <v>4504</v>
      </c>
      <c r="T14" s="38" t="s">
        <v>423</v>
      </c>
      <c r="U14" s="38"/>
      <c r="V14" s="43"/>
      <c r="W14" s="43"/>
      <c r="X14" s="43"/>
      <c r="Y14" s="43"/>
    </row>
    <row r="15" spans="1:25" s="23" customFormat="1" ht="99">
      <c r="A15" s="51">
        <v>9</v>
      </c>
      <c r="B15" s="38" t="s">
        <v>5443</v>
      </c>
      <c r="C15" s="298" t="s">
        <v>4430</v>
      </c>
      <c r="D15" s="295" t="s">
        <v>5458</v>
      </c>
      <c r="E15" s="37" t="s">
        <v>5459</v>
      </c>
      <c r="F15" s="38" t="s">
        <v>5443</v>
      </c>
      <c r="G15" s="296">
        <v>24</v>
      </c>
      <c r="H15" s="295"/>
      <c r="I15" s="39"/>
      <c r="J15" s="39" t="s">
        <v>5447</v>
      </c>
      <c r="K15" s="39" t="s">
        <v>5460</v>
      </c>
      <c r="L15" s="39" t="s">
        <v>5448</v>
      </c>
      <c r="M15" s="38" t="s">
        <v>5449</v>
      </c>
      <c r="N15" s="297" t="s">
        <v>5450</v>
      </c>
      <c r="O15" s="32" t="s">
        <v>626</v>
      </c>
      <c r="P15" s="480" t="s">
        <v>5461</v>
      </c>
      <c r="Q15" s="39"/>
      <c r="R15" s="38" t="s">
        <v>622</v>
      </c>
      <c r="S15" s="38" t="s">
        <v>4504</v>
      </c>
      <c r="T15" s="38" t="s">
        <v>423</v>
      </c>
      <c r="U15" s="38"/>
      <c r="V15" s="482" t="s">
        <v>5800</v>
      </c>
      <c r="W15" s="482" t="s">
        <v>5801</v>
      </c>
      <c r="X15" s="482" t="s">
        <v>5802</v>
      </c>
      <c r="Y15" s="482" t="s">
        <v>5870</v>
      </c>
    </row>
    <row r="16" spans="1:25" s="23" customFormat="1" ht="49.5">
      <c r="A16" s="51">
        <v>10</v>
      </c>
      <c r="B16" s="38" t="s">
        <v>5443</v>
      </c>
      <c r="C16" s="298" t="s">
        <v>4431</v>
      </c>
      <c r="D16" s="295" t="s">
        <v>5462</v>
      </c>
      <c r="E16" s="37" t="s">
        <v>5463</v>
      </c>
      <c r="F16" s="38" t="s">
        <v>5443</v>
      </c>
      <c r="G16" s="296">
        <v>24</v>
      </c>
      <c r="H16" s="295"/>
      <c r="I16" s="39"/>
      <c r="J16" s="39" t="s">
        <v>5447</v>
      </c>
      <c r="K16" s="39" t="s">
        <v>5464</v>
      </c>
      <c r="L16" s="39" t="s">
        <v>5448</v>
      </c>
      <c r="M16" s="38" t="s">
        <v>5449</v>
      </c>
      <c r="N16" s="297" t="s">
        <v>5450</v>
      </c>
      <c r="O16" s="32" t="s">
        <v>626</v>
      </c>
      <c r="P16" s="480" t="s">
        <v>5805</v>
      </c>
      <c r="Q16" s="39"/>
      <c r="R16" s="38" t="s">
        <v>622</v>
      </c>
      <c r="S16" s="38" t="s">
        <v>4504</v>
      </c>
      <c r="T16" s="38" t="s">
        <v>423</v>
      </c>
      <c r="U16" s="38"/>
      <c r="V16" s="482" t="s">
        <v>5839</v>
      </c>
      <c r="W16" s="482" t="s">
        <v>5803</v>
      </c>
      <c r="X16" s="482" t="s">
        <v>5804</v>
      </c>
      <c r="Y16" s="482" t="s">
        <v>5851</v>
      </c>
    </row>
    <row r="17" spans="1:25" s="23" customFormat="1" ht="66">
      <c r="A17" s="51">
        <v>11</v>
      </c>
      <c r="B17" s="38" t="s">
        <v>5443</v>
      </c>
      <c r="C17" s="298" t="s">
        <v>4432</v>
      </c>
      <c r="D17" s="295" t="s">
        <v>5465</v>
      </c>
      <c r="E17" s="37" t="s">
        <v>5466</v>
      </c>
      <c r="F17" s="38" t="s">
        <v>5443</v>
      </c>
      <c r="G17" s="296">
        <v>24</v>
      </c>
      <c r="H17" s="295"/>
      <c r="I17" s="39"/>
      <c r="J17" s="39" t="s">
        <v>5447</v>
      </c>
      <c r="K17" s="39" t="s">
        <v>5467</v>
      </c>
      <c r="L17" s="39" t="s">
        <v>5448</v>
      </c>
      <c r="M17" s="38" t="s">
        <v>5449</v>
      </c>
      <c r="N17" s="297" t="s">
        <v>5450</v>
      </c>
      <c r="O17" s="32" t="s">
        <v>626</v>
      </c>
      <c r="P17" s="351" t="s">
        <v>5468</v>
      </c>
      <c r="Q17" s="389" t="s">
        <v>5469</v>
      </c>
      <c r="R17" s="38" t="s">
        <v>622</v>
      </c>
      <c r="S17" s="38" t="s">
        <v>4504</v>
      </c>
      <c r="T17" s="38" t="s">
        <v>423</v>
      </c>
      <c r="U17" s="38"/>
      <c r="V17" s="43"/>
      <c r="W17" s="43"/>
      <c r="X17" s="43"/>
      <c r="Y17" s="54"/>
    </row>
    <row r="18" spans="1:25" s="23" customFormat="1" ht="82.5">
      <c r="A18" s="51">
        <v>12</v>
      </c>
      <c r="B18" s="38" t="s">
        <v>5443</v>
      </c>
      <c r="C18" s="298" t="s">
        <v>4433</v>
      </c>
      <c r="D18" s="295" t="s">
        <v>5470</v>
      </c>
      <c r="E18" s="37" t="s">
        <v>5471</v>
      </c>
      <c r="F18" s="38" t="s">
        <v>5443</v>
      </c>
      <c r="G18" s="296">
        <v>24</v>
      </c>
      <c r="H18" s="295"/>
      <c r="I18" s="39"/>
      <c r="J18" s="39" t="s">
        <v>5447</v>
      </c>
      <c r="K18" s="39" t="s">
        <v>5472</v>
      </c>
      <c r="L18" s="39" t="s">
        <v>5448</v>
      </c>
      <c r="M18" s="38" t="s">
        <v>5449</v>
      </c>
      <c r="N18" s="297" t="s">
        <v>5450</v>
      </c>
      <c r="O18" s="32" t="s">
        <v>626</v>
      </c>
      <c r="P18" s="480" t="s">
        <v>5473</v>
      </c>
      <c r="Q18" s="389"/>
      <c r="R18" s="38" t="s">
        <v>622</v>
      </c>
      <c r="S18" s="38" t="s">
        <v>4504</v>
      </c>
      <c r="T18" s="38" t="s">
        <v>423</v>
      </c>
      <c r="U18" s="38"/>
      <c r="V18" s="43"/>
      <c r="W18" s="43"/>
      <c r="X18" s="43"/>
      <c r="Y18" s="54"/>
    </row>
    <row r="19" spans="1:25" s="23" customFormat="1" ht="87.75" customHeight="1">
      <c r="A19" s="51">
        <v>13</v>
      </c>
      <c r="B19" s="38" t="s">
        <v>5443</v>
      </c>
      <c r="C19" s="298" t="s">
        <v>5474</v>
      </c>
      <c r="D19" s="295" t="s">
        <v>5475</v>
      </c>
      <c r="E19" s="37" t="s">
        <v>5476</v>
      </c>
      <c r="F19" s="38" t="s">
        <v>5443</v>
      </c>
      <c r="G19" s="296">
        <v>24</v>
      </c>
      <c r="H19" s="295"/>
      <c r="I19" s="39"/>
      <c r="J19" s="39" t="s">
        <v>5447</v>
      </c>
      <c r="K19" s="39" t="s">
        <v>5477</v>
      </c>
      <c r="L19" s="39" t="s">
        <v>5448</v>
      </c>
      <c r="M19" s="38" t="s">
        <v>5449</v>
      </c>
      <c r="N19" s="297" t="s">
        <v>5450</v>
      </c>
      <c r="O19" s="32" t="s">
        <v>626</v>
      </c>
      <c r="P19" s="480" t="s">
        <v>5478</v>
      </c>
      <c r="Q19" s="39" t="s">
        <v>5479</v>
      </c>
      <c r="R19" s="38" t="s">
        <v>561</v>
      </c>
      <c r="S19" s="38" t="s">
        <v>4504</v>
      </c>
      <c r="T19" s="38" t="s">
        <v>423</v>
      </c>
      <c r="U19" s="38" t="s">
        <v>4503</v>
      </c>
      <c r="V19" s="482" t="s">
        <v>5809</v>
      </c>
      <c r="W19" s="482" t="s">
        <v>5806</v>
      </c>
      <c r="X19" s="482" t="s">
        <v>5807</v>
      </c>
      <c r="Y19" s="482" t="s">
        <v>5808</v>
      </c>
    </row>
    <row r="20" spans="1:25" s="23" customFormat="1" ht="52.15" customHeight="1">
      <c r="A20" s="51">
        <v>14</v>
      </c>
      <c r="B20" s="320" t="s">
        <v>5443</v>
      </c>
      <c r="C20" s="472"/>
      <c r="D20" s="473" t="s">
        <v>5480</v>
      </c>
      <c r="E20" s="484" t="s">
        <v>5481</v>
      </c>
      <c r="F20" s="320" t="s">
        <v>5443</v>
      </c>
      <c r="G20" s="438">
        <v>24</v>
      </c>
      <c r="H20" s="473"/>
      <c r="I20" s="474"/>
      <c r="J20" s="39"/>
      <c r="K20" s="39"/>
      <c r="L20" s="474" t="s">
        <v>5448</v>
      </c>
      <c r="M20" s="320" t="s">
        <v>5449</v>
      </c>
      <c r="N20" s="485" t="s">
        <v>5482</v>
      </c>
      <c r="O20" s="439" t="s">
        <v>626</v>
      </c>
      <c r="P20" s="479" t="s">
        <v>5483</v>
      </c>
      <c r="Q20" s="585"/>
      <c r="R20" s="320"/>
      <c r="S20" s="38" t="s">
        <v>4504</v>
      </c>
      <c r="T20" s="320" t="s">
        <v>423</v>
      </c>
      <c r="U20" s="320"/>
      <c r="V20" s="43"/>
      <c r="W20" s="43"/>
      <c r="X20" s="43" t="s">
        <v>5344</v>
      </c>
      <c r="Y20" s="43" t="s">
        <v>5484</v>
      </c>
    </row>
    <row r="21" spans="1:25" s="23" customFormat="1" ht="66">
      <c r="A21" s="51">
        <v>15</v>
      </c>
      <c r="B21" s="320" t="s">
        <v>5443</v>
      </c>
      <c r="C21" s="472"/>
      <c r="D21" s="473" t="s">
        <v>5485</v>
      </c>
      <c r="E21" s="484" t="s">
        <v>5486</v>
      </c>
      <c r="F21" s="320" t="s">
        <v>5443</v>
      </c>
      <c r="G21" s="438">
        <v>24</v>
      </c>
      <c r="H21" s="473"/>
      <c r="I21" s="474"/>
      <c r="J21" s="39"/>
      <c r="K21" s="39"/>
      <c r="L21" s="474" t="s">
        <v>5448</v>
      </c>
      <c r="M21" s="320" t="s">
        <v>5449</v>
      </c>
      <c r="N21" s="485" t="s">
        <v>5482</v>
      </c>
      <c r="O21" s="439" t="s">
        <v>626</v>
      </c>
      <c r="P21" s="486"/>
      <c r="Q21" s="586"/>
      <c r="R21" s="320"/>
      <c r="S21" s="38" t="s">
        <v>4504</v>
      </c>
      <c r="T21" s="320" t="s">
        <v>423</v>
      </c>
      <c r="U21" s="320"/>
      <c r="V21" s="43"/>
      <c r="W21" s="43"/>
      <c r="X21" s="43" t="s">
        <v>5344</v>
      </c>
      <c r="Y21" s="43" t="s">
        <v>5484</v>
      </c>
    </row>
    <row r="22" spans="1:25" s="23" customFormat="1" ht="165">
      <c r="A22" s="51">
        <v>16</v>
      </c>
      <c r="B22" s="38" t="s">
        <v>5443</v>
      </c>
      <c r="C22" s="298" t="s">
        <v>5487</v>
      </c>
      <c r="D22" s="295" t="s">
        <v>5488</v>
      </c>
      <c r="E22" s="37" t="s">
        <v>5489</v>
      </c>
      <c r="F22" s="38" t="s">
        <v>5443</v>
      </c>
      <c r="G22" s="296">
        <v>24</v>
      </c>
      <c r="H22" s="295"/>
      <c r="I22" s="39"/>
      <c r="J22" s="39" t="s">
        <v>5447</v>
      </c>
      <c r="K22" s="39" t="s">
        <v>5490</v>
      </c>
      <c r="L22" s="39" t="s">
        <v>5448</v>
      </c>
      <c r="M22" s="38" t="s">
        <v>5449</v>
      </c>
      <c r="N22" s="297" t="s">
        <v>5450</v>
      </c>
      <c r="O22" s="32" t="s">
        <v>626</v>
      </c>
      <c r="P22" s="480" t="s">
        <v>5491</v>
      </c>
      <c r="Q22" s="389" t="s">
        <v>5810</v>
      </c>
      <c r="R22" s="38" t="s">
        <v>622</v>
      </c>
      <c r="S22" s="38" t="s">
        <v>4504</v>
      </c>
      <c r="T22" s="38" t="s">
        <v>423</v>
      </c>
      <c r="U22" s="38"/>
      <c r="V22" s="481" t="s">
        <v>5848</v>
      </c>
      <c r="W22" s="482" t="s">
        <v>5846</v>
      </c>
      <c r="X22" s="482" t="s">
        <v>5847</v>
      </c>
      <c r="Y22" s="482" t="s">
        <v>5849</v>
      </c>
    </row>
    <row r="23" spans="1:25" s="23" customFormat="1" ht="82.5">
      <c r="A23" s="51">
        <v>17</v>
      </c>
      <c r="B23" s="38" t="s">
        <v>5443</v>
      </c>
      <c r="C23" s="298" t="s">
        <v>4434</v>
      </c>
      <c r="D23" s="295" t="s">
        <v>5492</v>
      </c>
      <c r="E23" s="37" t="s">
        <v>5493</v>
      </c>
      <c r="F23" s="38" t="s">
        <v>5443</v>
      </c>
      <c r="G23" s="296">
        <v>24</v>
      </c>
      <c r="H23" s="295"/>
      <c r="I23" s="39"/>
      <c r="J23" s="39" t="s">
        <v>5447</v>
      </c>
      <c r="K23" s="39" t="s">
        <v>5494</v>
      </c>
      <c r="L23" s="39" t="s">
        <v>5448</v>
      </c>
      <c r="M23" s="38" t="s">
        <v>5449</v>
      </c>
      <c r="N23" s="297" t="s">
        <v>5450</v>
      </c>
      <c r="O23" s="32" t="s">
        <v>626</v>
      </c>
      <c r="P23" s="480" t="s">
        <v>5495</v>
      </c>
      <c r="Q23" s="389" t="s">
        <v>5496</v>
      </c>
      <c r="R23" s="38" t="s">
        <v>622</v>
      </c>
      <c r="S23" s="38" t="s">
        <v>4504</v>
      </c>
      <c r="T23" s="38" t="s">
        <v>423</v>
      </c>
      <c r="U23" s="38" t="s">
        <v>4503</v>
      </c>
      <c r="V23" s="43"/>
      <c r="W23" s="43"/>
      <c r="X23" s="43"/>
      <c r="Y23" s="54"/>
    </row>
    <row r="24" spans="1:25" ht="198">
      <c r="A24" s="51">
        <v>18</v>
      </c>
      <c r="B24" s="38" t="s">
        <v>440</v>
      </c>
      <c r="C24" s="298" t="s">
        <v>5497</v>
      </c>
      <c r="D24" s="332" t="s">
        <v>5498</v>
      </c>
      <c r="E24" s="37" t="s">
        <v>5499</v>
      </c>
      <c r="F24" s="38" t="s">
        <v>440</v>
      </c>
      <c r="G24" s="296" t="s">
        <v>593</v>
      </c>
      <c r="H24" s="295"/>
      <c r="I24" s="39"/>
      <c r="J24" s="39" t="s">
        <v>5500</v>
      </c>
      <c r="K24" s="389" t="s">
        <v>5923</v>
      </c>
      <c r="L24" s="39" t="s">
        <v>5501</v>
      </c>
      <c r="M24" s="38" t="s">
        <v>5502</v>
      </c>
      <c r="N24" s="297" t="s">
        <v>594</v>
      </c>
      <c r="O24" s="32">
        <v>83</v>
      </c>
      <c r="P24" s="480" t="s">
        <v>5811</v>
      </c>
      <c r="Q24" s="39" t="s">
        <v>5503</v>
      </c>
      <c r="R24" s="38" t="s">
        <v>622</v>
      </c>
      <c r="S24" s="38" t="s">
        <v>4504</v>
      </c>
      <c r="T24" s="38" t="s">
        <v>616</v>
      </c>
      <c r="U24" s="38" t="s">
        <v>5504</v>
      </c>
      <c r="V24" s="43"/>
      <c r="W24" s="43"/>
      <c r="X24" s="43"/>
      <c r="Y24" s="54"/>
    </row>
    <row r="25" spans="1:25" ht="115.5">
      <c r="A25" s="51">
        <v>19</v>
      </c>
      <c r="B25" s="38" t="s">
        <v>440</v>
      </c>
      <c r="C25" s="298" t="s">
        <v>4435</v>
      </c>
      <c r="D25" s="332" t="s">
        <v>5505</v>
      </c>
      <c r="E25" s="37" t="s">
        <v>5506</v>
      </c>
      <c r="F25" s="38" t="s">
        <v>440</v>
      </c>
      <c r="G25" s="296" t="s">
        <v>593</v>
      </c>
      <c r="H25" s="295"/>
      <c r="I25" s="39"/>
      <c r="J25" s="39" t="s">
        <v>5500</v>
      </c>
      <c r="K25" s="389" t="s">
        <v>5924</v>
      </c>
      <c r="L25" s="39" t="s">
        <v>5501</v>
      </c>
      <c r="M25" s="38" t="s">
        <v>5502</v>
      </c>
      <c r="N25" s="297" t="s">
        <v>594</v>
      </c>
      <c r="O25" s="32">
        <v>83</v>
      </c>
      <c r="P25" s="480" t="s">
        <v>5507</v>
      </c>
      <c r="Q25" s="389"/>
      <c r="R25" s="38" t="s">
        <v>622</v>
      </c>
      <c r="S25" s="38" t="s">
        <v>4504</v>
      </c>
      <c r="T25" s="38" t="s">
        <v>616</v>
      </c>
      <c r="U25" s="38"/>
      <c r="V25" s="43"/>
      <c r="W25" s="43"/>
      <c r="X25" s="43"/>
      <c r="Y25" s="54"/>
    </row>
    <row r="26" spans="1:25" ht="115.5">
      <c r="A26" s="51">
        <v>20</v>
      </c>
      <c r="B26" s="38" t="s">
        <v>440</v>
      </c>
      <c r="C26" s="298" t="s">
        <v>4436</v>
      </c>
      <c r="D26" s="332" t="s">
        <v>5508</v>
      </c>
      <c r="E26" s="37" t="s">
        <v>5509</v>
      </c>
      <c r="F26" s="38" t="s">
        <v>440</v>
      </c>
      <c r="G26" s="296" t="s">
        <v>593</v>
      </c>
      <c r="H26" s="295"/>
      <c r="I26" s="39"/>
      <c r="J26" s="39" t="s">
        <v>5500</v>
      </c>
      <c r="K26" s="389" t="s">
        <v>5925</v>
      </c>
      <c r="L26" s="39" t="s">
        <v>5501</v>
      </c>
      <c r="M26" s="38" t="s">
        <v>5502</v>
      </c>
      <c r="N26" s="297" t="s">
        <v>594</v>
      </c>
      <c r="O26" s="32">
        <v>83</v>
      </c>
      <c r="P26" s="480" t="s">
        <v>5510</v>
      </c>
      <c r="Q26" s="389"/>
      <c r="R26" s="38" t="s">
        <v>622</v>
      </c>
      <c r="S26" s="38" t="s">
        <v>4504</v>
      </c>
      <c r="T26" s="38" t="s">
        <v>616</v>
      </c>
      <c r="U26" s="38"/>
      <c r="V26" s="43"/>
      <c r="W26" s="43"/>
      <c r="X26" s="43"/>
      <c r="Y26" s="54"/>
    </row>
    <row r="27" spans="1:25" ht="115.5">
      <c r="A27" s="51">
        <v>21</v>
      </c>
      <c r="B27" s="38" t="s">
        <v>440</v>
      </c>
      <c r="C27" s="298" t="s">
        <v>4437</v>
      </c>
      <c r="D27" s="332" t="s">
        <v>5511</v>
      </c>
      <c r="E27" s="37" t="s">
        <v>5512</v>
      </c>
      <c r="F27" s="38" t="s">
        <v>440</v>
      </c>
      <c r="G27" s="296" t="s">
        <v>593</v>
      </c>
      <c r="H27" s="295"/>
      <c r="I27" s="39"/>
      <c r="J27" s="39" t="s">
        <v>5500</v>
      </c>
      <c r="K27" s="389" t="s">
        <v>5926</v>
      </c>
      <c r="L27" s="39" t="s">
        <v>5501</v>
      </c>
      <c r="M27" s="38" t="s">
        <v>5502</v>
      </c>
      <c r="N27" s="297" t="s">
        <v>594</v>
      </c>
      <c r="O27" s="32">
        <v>83</v>
      </c>
      <c r="P27" s="480" t="s">
        <v>5513</v>
      </c>
      <c r="Q27" s="389"/>
      <c r="R27" s="38" t="s">
        <v>622</v>
      </c>
      <c r="S27" s="38" t="s">
        <v>4504</v>
      </c>
      <c r="T27" s="38" t="s">
        <v>616</v>
      </c>
      <c r="U27" s="38"/>
      <c r="V27" s="43"/>
      <c r="W27" s="43"/>
      <c r="X27" s="43"/>
      <c r="Y27" s="54"/>
    </row>
    <row r="28" spans="1:25" ht="132">
      <c r="A28" s="51">
        <v>22</v>
      </c>
      <c r="B28" s="38" t="s">
        <v>5514</v>
      </c>
      <c r="C28" s="298" t="s">
        <v>4438</v>
      </c>
      <c r="D28" s="332" t="s">
        <v>5515</v>
      </c>
      <c r="E28" s="37" t="s">
        <v>5516</v>
      </c>
      <c r="F28" s="38" t="s">
        <v>440</v>
      </c>
      <c r="G28" s="296" t="s">
        <v>593</v>
      </c>
      <c r="H28" s="295"/>
      <c r="I28" s="39"/>
      <c r="J28" s="39" t="s">
        <v>5500</v>
      </c>
      <c r="K28" s="389" t="s">
        <v>5927</v>
      </c>
      <c r="L28" s="39" t="s">
        <v>5501</v>
      </c>
      <c r="M28" s="38" t="s">
        <v>5502</v>
      </c>
      <c r="N28" s="297" t="s">
        <v>594</v>
      </c>
      <c r="O28" s="32">
        <v>83</v>
      </c>
      <c r="P28" s="480" t="s">
        <v>5510</v>
      </c>
      <c r="Q28" s="389"/>
      <c r="R28" s="38" t="s">
        <v>622</v>
      </c>
      <c r="S28" s="38" t="s">
        <v>4504</v>
      </c>
      <c r="T28" s="38" t="s">
        <v>616</v>
      </c>
      <c r="U28" s="38"/>
      <c r="V28" s="43"/>
      <c r="W28" s="43"/>
      <c r="X28" s="43"/>
      <c r="Y28" s="54"/>
    </row>
    <row r="29" spans="1:25" ht="115.5">
      <c r="A29" s="51">
        <v>23</v>
      </c>
      <c r="B29" s="38" t="s">
        <v>440</v>
      </c>
      <c r="C29" s="298" t="s">
        <v>4439</v>
      </c>
      <c r="D29" s="332" t="s">
        <v>5517</v>
      </c>
      <c r="E29" s="37" t="s">
        <v>5518</v>
      </c>
      <c r="F29" s="38" t="s">
        <v>440</v>
      </c>
      <c r="G29" s="296" t="s">
        <v>593</v>
      </c>
      <c r="H29" s="295"/>
      <c r="I29" s="39"/>
      <c r="J29" s="39" t="s">
        <v>5500</v>
      </c>
      <c r="K29" s="389" t="s">
        <v>5928</v>
      </c>
      <c r="L29" s="39" t="s">
        <v>5501</v>
      </c>
      <c r="M29" s="38" t="s">
        <v>5502</v>
      </c>
      <c r="N29" s="297" t="s">
        <v>594</v>
      </c>
      <c r="O29" s="32">
        <v>83</v>
      </c>
      <c r="P29" s="480" t="s">
        <v>5510</v>
      </c>
      <c r="Q29" s="389"/>
      <c r="R29" s="38" t="s">
        <v>622</v>
      </c>
      <c r="S29" s="38" t="s">
        <v>4504</v>
      </c>
      <c r="T29" s="38" t="s">
        <v>616</v>
      </c>
      <c r="U29" s="38"/>
      <c r="V29" s="43"/>
      <c r="W29" s="43"/>
      <c r="X29" s="43"/>
      <c r="Y29" s="54"/>
    </row>
    <row r="30" spans="1:25" ht="115.5">
      <c r="A30" s="51">
        <v>24</v>
      </c>
      <c r="B30" s="38" t="s">
        <v>440</v>
      </c>
      <c r="C30" s="298" t="s">
        <v>4440</v>
      </c>
      <c r="D30" s="332" t="s">
        <v>5519</v>
      </c>
      <c r="E30" s="37" t="s">
        <v>5520</v>
      </c>
      <c r="F30" s="38" t="s">
        <v>440</v>
      </c>
      <c r="G30" s="296" t="s">
        <v>593</v>
      </c>
      <c r="H30" s="295"/>
      <c r="I30" s="39"/>
      <c r="J30" s="39" t="s">
        <v>5500</v>
      </c>
      <c r="K30" s="389" t="s">
        <v>5929</v>
      </c>
      <c r="L30" s="39" t="s">
        <v>5501</v>
      </c>
      <c r="M30" s="38" t="s">
        <v>5502</v>
      </c>
      <c r="N30" s="297" t="s">
        <v>594</v>
      </c>
      <c r="O30" s="32">
        <v>83</v>
      </c>
      <c r="P30" s="390" t="s">
        <v>5510</v>
      </c>
      <c r="Q30" s="389"/>
      <c r="R30" s="38" t="s">
        <v>622</v>
      </c>
      <c r="S30" s="38" t="s">
        <v>4504</v>
      </c>
      <c r="T30" s="38" t="s">
        <v>616</v>
      </c>
      <c r="U30" s="333"/>
      <c r="V30" s="333"/>
      <c r="W30" s="333"/>
      <c r="X30" s="333"/>
      <c r="Y30" s="55"/>
    </row>
    <row r="31" spans="1:25" ht="115.5">
      <c r="A31" s="51">
        <v>25</v>
      </c>
      <c r="B31" s="38" t="s">
        <v>440</v>
      </c>
      <c r="C31" s="298" t="s">
        <v>4441</v>
      </c>
      <c r="D31" s="332" t="s">
        <v>5521</v>
      </c>
      <c r="E31" s="37" t="s">
        <v>5522</v>
      </c>
      <c r="F31" s="38" t="s">
        <v>440</v>
      </c>
      <c r="G31" s="296" t="s">
        <v>593</v>
      </c>
      <c r="H31" s="295"/>
      <c r="I31" s="39"/>
      <c r="J31" s="39" t="s">
        <v>5500</v>
      </c>
      <c r="K31" s="389" t="s">
        <v>5930</v>
      </c>
      <c r="L31" s="39" t="s">
        <v>5501</v>
      </c>
      <c r="M31" s="38" t="s">
        <v>5502</v>
      </c>
      <c r="N31" s="297" t="s">
        <v>594</v>
      </c>
      <c r="O31" s="32">
        <v>83</v>
      </c>
      <c r="P31" s="390" t="s">
        <v>5510</v>
      </c>
      <c r="Q31" s="389"/>
      <c r="R31" s="38" t="s">
        <v>622</v>
      </c>
      <c r="S31" s="38" t="s">
        <v>4504</v>
      </c>
      <c r="T31" s="38" t="s">
        <v>616</v>
      </c>
      <c r="U31" s="333"/>
      <c r="V31" s="333"/>
      <c r="W31" s="333"/>
      <c r="X31" s="333"/>
      <c r="Y31" s="55"/>
    </row>
    <row r="32" spans="1:25" ht="115.5">
      <c r="A32" s="51">
        <v>26</v>
      </c>
      <c r="B32" s="38" t="s">
        <v>440</v>
      </c>
      <c r="C32" s="298" t="s">
        <v>4442</v>
      </c>
      <c r="D32" s="332" t="s">
        <v>5523</v>
      </c>
      <c r="E32" s="37" t="s">
        <v>5524</v>
      </c>
      <c r="F32" s="38" t="s">
        <v>440</v>
      </c>
      <c r="G32" s="296" t="s">
        <v>593</v>
      </c>
      <c r="H32" s="295"/>
      <c r="I32" s="39"/>
      <c r="J32" s="39" t="s">
        <v>5500</v>
      </c>
      <c r="K32" s="389" t="s">
        <v>5931</v>
      </c>
      <c r="L32" s="39" t="s">
        <v>5501</v>
      </c>
      <c r="M32" s="38" t="s">
        <v>5502</v>
      </c>
      <c r="N32" s="297" t="s">
        <v>594</v>
      </c>
      <c r="O32" s="32">
        <v>83</v>
      </c>
      <c r="P32" s="390" t="s">
        <v>5510</v>
      </c>
      <c r="Q32" s="389"/>
      <c r="R32" s="38" t="s">
        <v>622</v>
      </c>
      <c r="S32" s="38" t="s">
        <v>4504</v>
      </c>
      <c r="T32" s="38" t="s">
        <v>616</v>
      </c>
      <c r="U32" s="333"/>
      <c r="V32" s="333"/>
      <c r="W32" s="333"/>
      <c r="X32" s="333"/>
      <c r="Y32" s="55"/>
    </row>
    <row r="33" spans="1:25" ht="115.5">
      <c r="A33" s="51">
        <v>27</v>
      </c>
      <c r="B33" s="38" t="s">
        <v>440</v>
      </c>
      <c r="C33" s="298" t="s">
        <v>4443</v>
      </c>
      <c r="D33" s="332" t="s">
        <v>5525</v>
      </c>
      <c r="E33" s="37" t="s">
        <v>5526</v>
      </c>
      <c r="F33" s="38" t="s">
        <v>440</v>
      </c>
      <c r="G33" s="296" t="s">
        <v>593</v>
      </c>
      <c r="H33" s="295"/>
      <c r="I33" s="39"/>
      <c r="J33" s="39" t="s">
        <v>5500</v>
      </c>
      <c r="K33" s="389" t="s">
        <v>5932</v>
      </c>
      <c r="L33" s="39" t="s">
        <v>5501</v>
      </c>
      <c r="M33" s="38" t="s">
        <v>5502</v>
      </c>
      <c r="N33" s="297" t="s">
        <v>594</v>
      </c>
      <c r="O33" s="32">
        <v>83</v>
      </c>
      <c r="P33" s="390" t="s">
        <v>5510</v>
      </c>
      <c r="Q33" s="389"/>
      <c r="R33" s="38" t="s">
        <v>622</v>
      </c>
      <c r="S33" s="38" t="s">
        <v>4504</v>
      </c>
      <c r="T33" s="38" t="s">
        <v>616</v>
      </c>
      <c r="U33" s="333"/>
      <c r="V33" s="333"/>
      <c r="W33" s="333"/>
      <c r="X33" s="333"/>
      <c r="Y33" s="55"/>
    </row>
    <row r="34" spans="1:25" ht="115.5">
      <c r="A34" s="51">
        <v>28</v>
      </c>
      <c r="B34" s="38" t="s">
        <v>440</v>
      </c>
      <c r="C34" s="298" t="s">
        <v>4444</v>
      </c>
      <c r="D34" s="332" t="s">
        <v>5527</v>
      </c>
      <c r="E34" s="37" t="s">
        <v>5528</v>
      </c>
      <c r="F34" s="38" t="s">
        <v>440</v>
      </c>
      <c r="G34" s="296" t="s">
        <v>593</v>
      </c>
      <c r="H34" s="295"/>
      <c r="I34" s="39"/>
      <c r="J34" s="39" t="s">
        <v>5500</v>
      </c>
      <c r="K34" s="389" t="s">
        <v>5933</v>
      </c>
      <c r="L34" s="39" t="s">
        <v>5501</v>
      </c>
      <c r="M34" s="38" t="s">
        <v>5502</v>
      </c>
      <c r="N34" s="297" t="s">
        <v>594</v>
      </c>
      <c r="O34" s="32">
        <v>83</v>
      </c>
      <c r="P34" s="390" t="s">
        <v>5510</v>
      </c>
      <c r="Q34" s="389"/>
      <c r="R34" s="38" t="s">
        <v>622</v>
      </c>
      <c r="S34" s="38" t="s">
        <v>4504</v>
      </c>
      <c r="T34" s="38" t="s">
        <v>616</v>
      </c>
      <c r="U34" s="333"/>
      <c r="V34" s="333"/>
      <c r="W34" s="333"/>
      <c r="X34" s="333"/>
      <c r="Y34" s="55"/>
    </row>
    <row r="35" spans="1:25" ht="148.5">
      <c r="A35" s="51">
        <v>29</v>
      </c>
      <c r="B35" s="38" t="s">
        <v>440</v>
      </c>
      <c r="C35" s="298" t="s">
        <v>4445</v>
      </c>
      <c r="D35" s="332" t="s">
        <v>5529</v>
      </c>
      <c r="E35" s="37" t="s">
        <v>5530</v>
      </c>
      <c r="F35" s="38" t="s">
        <v>440</v>
      </c>
      <c r="G35" s="296" t="s">
        <v>593</v>
      </c>
      <c r="H35" s="295"/>
      <c r="I35" s="39"/>
      <c r="J35" s="39" t="s">
        <v>5500</v>
      </c>
      <c r="K35" s="389" t="s">
        <v>5934</v>
      </c>
      <c r="L35" s="39" t="s">
        <v>5501</v>
      </c>
      <c r="M35" s="38" t="s">
        <v>5502</v>
      </c>
      <c r="N35" s="297" t="s">
        <v>594</v>
      </c>
      <c r="O35" s="32">
        <v>83</v>
      </c>
      <c r="P35" s="390" t="s">
        <v>5531</v>
      </c>
      <c r="Q35" s="389" t="s">
        <v>5812</v>
      </c>
      <c r="R35" s="38" t="s">
        <v>622</v>
      </c>
      <c r="S35" s="38" t="s">
        <v>4504</v>
      </c>
      <c r="T35" s="38" t="s">
        <v>616</v>
      </c>
      <c r="U35" s="333"/>
      <c r="V35" s="487" t="s">
        <v>5839</v>
      </c>
      <c r="W35" s="487" t="s">
        <v>5852</v>
      </c>
      <c r="X35" s="487" t="s">
        <v>5853</v>
      </c>
      <c r="Y35" s="488" t="s">
        <v>5851</v>
      </c>
    </row>
    <row r="36" spans="1:25" ht="280.5">
      <c r="A36" s="51">
        <v>30</v>
      </c>
      <c r="B36" s="38" t="s">
        <v>440</v>
      </c>
      <c r="C36" s="298" t="s">
        <v>4446</v>
      </c>
      <c r="D36" s="332" t="s">
        <v>5532</v>
      </c>
      <c r="E36" s="37" t="s">
        <v>5533</v>
      </c>
      <c r="F36" s="38" t="s">
        <v>440</v>
      </c>
      <c r="G36" s="296" t="s">
        <v>593</v>
      </c>
      <c r="H36" s="295"/>
      <c r="I36" s="39"/>
      <c r="J36" s="39" t="s">
        <v>5500</v>
      </c>
      <c r="K36" s="389" t="s">
        <v>5935</v>
      </c>
      <c r="L36" s="39" t="s">
        <v>5501</v>
      </c>
      <c r="M36" s="38" t="s">
        <v>5502</v>
      </c>
      <c r="N36" s="297" t="s">
        <v>594</v>
      </c>
      <c r="O36" s="32">
        <v>83</v>
      </c>
      <c r="P36" s="390" t="s">
        <v>5813</v>
      </c>
      <c r="Q36" s="389" t="s">
        <v>5534</v>
      </c>
      <c r="R36" s="38" t="s">
        <v>622</v>
      </c>
      <c r="S36" s="38" t="s">
        <v>5433</v>
      </c>
      <c r="T36" s="38" t="s">
        <v>616</v>
      </c>
      <c r="U36" s="333"/>
      <c r="V36" s="333"/>
      <c r="W36" s="333"/>
      <c r="X36" s="333"/>
      <c r="Y36" s="55"/>
    </row>
    <row r="37" spans="1:25" ht="132">
      <c r="A37" s="51">
        <v>31</v>
      </c>
      <c r="B37" s="38" t="s">
        <v>440</v>
      </c>
      <c r="C37" s="298" t="s">
        <v>4447</v>
      </c>
      <c r="D37" s="332" t="s">
        <v>5535</v>
      </c>
      <c r="E37" s="37" t="s">
        <v>5536</v>
      </c>
      <c r="F37" s="38" t="s">
        <v>440</v>
      </c>
      <c r="G37" s="296" t="s">
        <v>593</v>
      </c>
      <c r="H37" s="295"/>
      <c r="I37" s="39"/>
      <c r="J37" s="39" t="s">
        <v>5500</v>
      </c>
      <c r="K37" s="389" t="s">
        <v>5814</v>
      </c>
      <c r="L37" s="389" t="s">
        <v>5501</v>
      </c>
      <c r="M37" s="489" t="s">
        <v>5502</v>
      </c>
      <c r="N37" s="490" t="s">
        <v>5815</v>
      </c>
      <c r="O37" s="491">
        <v>83</v>
      </c>
      <c r="P37" s="390" t="s">
        <v>5537</v>
      </c>
      <c r="Q37" s="39"/>
      <c r="R37" s="38" t="s">
        <v>622</v>
      </c>
      <c r="S37" s="38" t="s">
        <v>4504</v>
      </c>
      <c r="T37" s="38" t="s">
        <v>616</v>
      </c>
      <c r="U37" s="333"/>
      <c r="V37" s="333"/>
      <c r="W37" s="333"/>
      <c r="X37" s="333"/>
      <c r="Y37" s="55"/>
    </row>
    <row r="38" spans="1:25" ht="148.5">
      <c r="A38" s="51">
        <v>32</v>
      </c>
      <c r="B38" s="38" t="s">
        <v>440</v>
      </c>
      <c r="C38" s="298" t="s">
        <v>4448</v>
      </c>
      <c r="D38" s="332" t="s">
        <v>5538</v>
      </c>
      <c r="E38" s="37" t="s">
        <v>5539</v>
      </c>
      <c r="F38" s="38" t="s">
        <v>440</v>
      </c>
      <c r="G38" s="296" t="s">
        <v>593</v>
      </c>
      <c r="H38" s="295"/>
      <c r="I38" s="39"/>
      <c r="J38" s="39" t="s">
        <v>5500</v>
      </c>
      <c r="K38" s="389" t="s">
        <v>5816</v>
      </c>
      <c r="L38" s="389" t="s">
        <v>5501</v>
      </c>
      <c r="M38" s="489" t="s">
        <v>5502</v>
      </c>
      <c r="N38" s="490" t="s">
        <v>5815</v>
      </c>
      <c r="O38" s="491">
        <v>83</v>
      </c>
      <c r="P38" s="390" t="s">
        <v>5540</v>
      </c>
      <c r="Q38" s="39"/>
      <c r="R38" s="38" t="s">
        <v>622</v>
      </c>
      <c r="S38" s="38" t="s">
        <v>4504</v>
      </c>
      <c r="T38" s="38" t="s">
        <v>616</v>
      </c>
      <c r="U38" s="333"/>
      <c r="V38" s="333"/>
      <c r="W38" s="333"/>
      <c r="X38" s="333"/>
      <c r="Y38" s="55"/>
    </row>
    <row r="39" spans="1:25" ht="132">
      <c r="A39" s="51">
        <v>33</v>
      </c>
      <c r="B39" s="38" t="s">
        <v>440</v>
      </c>
      <c r="C39" s="298" t="s">
        <v>4449</v>
      </c>
      <c r="D39" s="332" t="s">
        <v>5541</v>
      </c>
      <c r="E39" s="37" t="s">
        <v>5542</v>
      </c>
      <c r="F39" s="38" t="s">
        <v>440</v>
      </c>
      <c r="G39" s="296" t="s">
        <v>593</v>
      </c>
      <c r="H39" s="295"/>
      <c r="I39" s="39"/>
      <c r="J39" s="39" t="s">
        <v>5500</v>
      </c>
      <c r="K39" s="389" t="s">
        <v>5936</v>
      </c>
      <c r="L39" s="389" t="s">
        <v>5501</v>
      </c>
      <c r="M39" s="489" t="s">
        <v>5502</v>
      </c>
      <c r="N39" s="490" t="s">
        <v>5815</v>
      </c>
      <c r="O39" s="491">
        <v>83</v>
      </c>
      <c r="P39" s="390" t="s">
        <v>5543</v>
      </c>
      <c r="Q39" s="39"/>
      <c r="R39" s="38" t="s">
        <v>622</v>
      </c>
      <c r="S39" s="38" t="s">
        <v>4504</v>
      </c>
      <c r="T39" s="38" t="s">
        <v>616</v>
      </c>
      <c r="U39" s="333"/>
      <c r="V39" s="333"/>
      <c r="W39" s="333"/>
      <c r="X39" s="333"/>
      <c r="Y39" s="55"/>
    </row>
    <row r="40" spans="1:25" ht="132">
      <c r="A40" s="51">
        <v>34</v>
      </c>
      <c r="B40" s="38" t="s">
        <v>440</v>
      </c>
      <c r="C40" s="298" t="s">
        <v>4450</v>
      </c>
      <c r="D40" s="332" t="s">
        <v>5544</v>
      </c>
      <c r="E40" s="37" t="s">
        <v>5545</v>
      </c>
      <c r="F40" s="38" t="s">
        <v>440</v>
      </c>
      <c r="G40" s="296" t="s">
        <v>593</v>
      </c>
      <c r="H40" s="295"/>
      <c r="I40" s="39"/>
      <c r="J40" s="39" t="s">
        <v>5500</v>
      </c>
      <c r="K40" s="389" t="s">
        <v>5817</v>
      </c>
      <c r="L40" s="389" t="s">
        <v>5501</v>
      </c>
      <c r="M40" s="489" t="s">
        <v>5502</v>
      </c>
      <c r="N40" s="490" t="s">
        <v>5815</v>
      </c>
      <c r="O40" s="491">
        <v>83</v>
      </c>
      <c r="P40" s="390" t="s">
        <v>5818</v>
      </c>
      <c r="Q40" s="39"/>
      <c r="R40" s="38" t="s">
        <v>622</v>
      </c>
      <c r="S40" s="38" t="s">
        <v>4504</v>
      </c>
      <c r="T40" s="38" t="s">
        <v>616</v>
      </c>
      <c r="U40" s="333"/>
      <c r="V40" s="333"/>
      <c r="W40" s="333"/>
      <c r="X40" s="333"/>
      <c r="Y40" s="55"/>
    </row>
    <row r="41" spans="1:25" ht="226.15" customHeight="1">
      <c r="A41" s="51">
        <v>35</v>
      </c>
      <c r="B41" s="38" t="s">
        <v>595</v>
      </c>
      <c r="C41" s="298" t="s">
        <v>5546</v>
      </c>
      <c r="D41" s="37" t="s">
        <v>5547</v>
      </c>
      <c r="E41" s="37" t="s">
        <v>5548</v>
      </c>
      <c r="F41" s="38" t="s">
        <v>595</v>
      </c>
      <c r="G41" s="296" t="s">
        <v>5549</v>
      </c>
      <c r="H41" s="295"/>
      <c r="I41" s="39"/>
      <c r="J41" s="39" t="s">
        <v>5550</v>
      </c>
      <c r="K41" s="39" t="s">
        <v>5937</v>
      </c>
      <c r="L41" s="39" t="s">
        <v>5551</v>
      </c>
      <c r="M41" s="38" t="s">
        <v>5552</v>
      </c>
      <c r="N41" s="297" t="s">
        <v>596</v>
      </c>
      <c r="O41" s="32" t="s">
        <v>627</v>
      </c>
      <c r="P41" s="390" t="s">
        <v>5553</v>
      </c>
      <c r="Q41" s="39" t="s">
        <v>5554</v>
      </c>
      <c r="R41" s="38" t="s">
        <v>622</v>
      </c>
      <c r="S41" s="38" t="s">
        <v>4504</v>
      </c>
      <c r="T41" s="46" t="s">
        <v>22</v>
      </c>
      <c r="U41" s="38" t="s">
        <v>5555</v>
      </c>
      <c r="V41" s="333"/>
      <c r="W41" s="333"/>
      <c r="X41" s="333"/>
      <c r="Y41" s="55"/>
    </row>
    <row r="42" spans="1:25" ht="213.75" customHeight="1">
      <c r="A42" s="51">
        <v>36</v>
      </c>
      <c r="B42" s="38" t="s">
        <v>595</v>
      </c>
      <c r="C42" s="298" t="s">
        <v>4451</v>
      </c>
      <c r="D42" s="37" t="s">
        <v>5556</v>
      </c>
      <c r="E42" s="37" t="s">
        <v>5557</v>
      </c>
      <c r="F42" s="38" t="s">
        <v>595</v>
      </c>
      <c r="G42" s="296" t="s">
        <v>5549</v>
      </c>
      <c r="H42" s="295"/>
      <c r="I42" s="39"/>
      <c r="J42" s="39" t="s">
        <v>5550</v>
      </c>
      <c r="K42" s="39" t="s">
        <v>5938</v>
      </c>
      <c r="L42" s="39" t="s">
        <v>5551</v>
      </c>
      <c r="M42" s="38" t="s">
        <v>5552</v>
      </c>
      <c r="N42" s="297" t="s">
        <v>596</v>
      </c>
      <c r="O42" s="32" t="s">
        <v>627</v>
      </c>
      <c r="P42" s="390" t="s">
        <v>5558</v>
      </c>
      <c r="Q42" s="39" t="s">
        <v>5559</v>
      </c>
      <c r="R42" s="38" t="s">
        <v>622</v>
      </c>
      <c r="S42" s="38" t="s">
        <v>4504</v>
      </c>
      <c r="T42" s="46" t="s">
        <v>22</v>
      </c>
      <c r="U42" s="38"/>
      <c r="V42" s="333"/>
      <c r="W42" s="333"/>
      <c r="X42" s="333"/>
      <c r="Y42" s="55"/>
    </row>
    <row r="43" spans="1:25" ht="198">
      <c r="A43" s="51">
        <v>37</v>
      </c>
      <c r="B43" s="38" t="s">
        <v>595</v>
      </c>
      <c r="C43" s="298" t="s">
        <v>4452</v>
      </c>
      <c r="D43" s="37" t="s">
        <v>5560</v>
      </c>
      <c r="E43" s="37" t="s">
        <v>5561</v>
      </c>
      <c r="F43" s="38" t="s">
        <v>595</v>
      </c>
      <c r="G43" s="296" t="s">
        <v>5549</v>
      </c>
      <c r="H43" s="295"/>
      <c r="I43" s="39"/>
      <c r="J43" s="39" t="s">
        <v>5550</v>
      </c>
      <c r="K43" s="39" t="s">
        <v>5562</v>
      </c>
      <c r="L43" s="39" t="s">
        <v>5551</v>
      </c>
      <c r="M43" s="38" t="s">
        <v>5552</v>
      </c>
      <c r="N43" s="297" t="s">
        <v>596</v>
      </c>
      <c r="O43" s="32" t="s">
        <v>627</v>
      </c>
      <c r="P43" s="390" t="s">
        <v>5563</v>
      </c>
      <c r="Q43" s="39" t="s">
        <v>5564</v>
      </c>
      <c r="R43" s="38" t="s">
        <v>622</v>
      </c>
      <c r="S43" s="38" t="s">
        <v>4504</v>
      </c>
      <c r="T43" s="46" t="s">
        <v>22</v>
      </c>
      <c r="U43" s="38"/>
      <c r="V43" s="333"/>
      <c r="W43" s="333"/>
      <c r="X43" s="333"/>
      <c r="Y43" s="55"/>
    </row>
    <row r="44" spans="1:25" ht="198">
      <c r="A44" s="51">
        <v>38</v>
      </c>
      <c r="B44" s="38" t="s">
        <v>595</v>
      </c>
      <c r="C44" s="298" t="s">
        <v>4453</v>
      </c>
      <c r="D44" s="37" t="s">
        <v>5565</v>
      </c>
      <c r="E44" s="37" t="s">
        <v>5566</v>
      </c>
      <c r="F44" s="38" t="s">
        <v>595</v>
      </c>
      <c r="G44" s="296" t="s">
        <v>5549</v>
      </c>
      <c r="H44" s="295"/>
      <c r="I44" s="39"/>
      <c r="J44" s="39" t="s">
        <v>5550</v>
      </c>
      <c r="K44" s="389" t="s">
        <v>5819</v>
      </c>
      <c r="L44" s="39" t="s">
        <v>5551</v>
      </c>
      <c r="M44" s="38" t="s">
        <v>5552</v>
      </c>
      <c r="N44" s="297" t="s">
        <v>596</v>
      </c>
      <c r="O44" s="32" t="s">
        <v>627</v>
      </c>
      <c r="P44" s="390" t="s">
        <v>5567</v>
      </c>
      <c r="Q44" s="39" t="s">
        <v>5568</v>
      </c>
      <c r="R44" s="38" t="s">
        <v>622</v>
      </c>
      <c r="S44" s="38" t="s">
        <v>4504</v>
      </c>
      <c r="T44" s="46" t="s">
        <v>22</v>
      </c>
      <c r="U44" s="38"/>
      <c r="V44" s="333"/>
      <c r="W44" s="333"/>
      <c r="X44" s="333"/>
      <c r="Y44" s="55"/>
    </row>
    <row r="45" spans="1:25" ht="115.5">
      <c r="A45" s="51">
        <v>39</v>
      </c>
      <c r="B45" s="38" t="s">
        <v>595</v>
      </c>
      <c r="C45" s="298" t="s">
        <v>4454</v>
      </c>
      <c r="D45" s="37" t="s">
        <v>5569</v>
      </c>
      <c r="E45" s="483" t="s">
        <v>5570</v>
      </c>
      <c r="F45" s="38" t="s">
        <v>595</v>
      </c>
      <c r="G45" s="296" t="s">
        <v>5549</v>
      </c>
      <c r="H45" s="295"/>
      <c r="I45" s="39"/>
      <c r="J45" s="39" t="s">
        <v>5550</v>
      </c>
      <c r="K45" s="389" t="s">
        <v>5571</v>
      </c>
      <c r="L45" s="39" t="s">
        <v>5551</v>
      </c>
      <c r="M45" s="38" t="s">
        <v>5552</v>
      </c>
      <c r="N45" s="297" t="s">
        <v>596</v>
      </c>
      <c r="O45" s="32" t="s">
        <v>627</v>
      </c>
      <c r="P45" s="492"/>
      <c r="Q45" s="39"/>
      <c r="R45" s="38" t="s">
        <v>622</v>
      </c>
      <c r="S45" s="38" t="s">
        <v>4504</v>
      </c>
      <c r="T45" s="46" t="s">
        <v>22</v>
      </c>
      <c r="U45" s="38"/>
      <c r="V45" s="493" t="s">
        <v>5939</v>
      </c>
      <c r="W45" s="494" t="s">
        <v>5940</v>
      </c>
      <c r="X45" s="494" t="s">
        <v>5941</v>
      </c>
      <c r="Y45" s="488" t="s">
        <v>5484</v>
      </c>
    </row>
    <row r="46" spans="1:25" ht="66">
      <c r="A46" s="51">
        <v>40</v>
      </c>
      <c r="B46" s="38" t="s">
        <v>595</v>
      </c>
      <c r="C46" s="298" t="s">
        <v>4455</v>
      </c>
      <c r="D46" s="37" t="s">
        <v>5572</v>
      </c>
      <c r="E46" s="495" t="s">
        <v>5573</v>
      </c>
      <c r="F46" s="38" t="s">
        <v>595</v>
      </c>
      <c r="G46" s="296" t="s">
        <v>5549</v>
      </c>
      <c r="H46" s="295"/>
      <c r="I46" s="39"/>
      <c r="J46" s="39" t="s">
        <v>5550</v>
      </c>
      <c r="K46" s="389" t="s">
        <v>5574</v>
      </c>
      <c r="L46" s="39" t="s">
        <v>5551</v>
      </c>
      <c r="M46" s="38" t="s">
        <v>5552</v>
      </c>
      <c r="N46" s="297" t="s">
        <v>596</v>
      </c>
      <c r="O46" s="32" t="s">
        <v>627</v>
      </c>
      <c r="P46" s="390" t="s">
        <v>5575</v>
      </c>
      <c r="Q46" s="39"/>
      <c r="R46" s="38" t="s">
        <v>622</v>
      </c>
      <c r="S46" s="38" t="s">
        <v>4504</v>
      </c>
      <c r="T46" s="46" t="s">
        <v>22</v>
      </c>
      <c r="U46" s="38"/>
      <c r="V46" s="38"/>
      <c r="W46" s="38"/>
      <c r="X46" s="38"/>
      <c r="Y46" s="55"/>
    </row>
    <row r="47" spans="1:25" ht="66">
      <c r="A47" s="51">
        <v>41</v>
      </c>
      <c r="B47" s="38" t="s">
        <v>595</v>
      </c>
      <c r="C47" s="298" t="s">
        <v>4456</v>
      </c>
      <c r="D47" s="37" t="s">
        <v>5576</v>
      </c>
      <c r="E47" s="496" t="s">
        <v>5577</v>
      </c>
      <c r="F47" s="38" t="s">
        <v>595</v>
      </c>
      <c r="G47" s="296" t="s">
        <v>5549</v>
      </c>
      <c r="H47" s="295"/>
      <c r="I47" s="39"/>
      <c r="J47" s="39" t="s">
        <v>5550</v>
      </c>
      <c r="K47" s="389" t="s">
        <v>5578</v>
      </c>
      <c r="L47" s="39" t="s">
        <v>5551</v>
      </c>
      <c r="M47" s="38" t="s">
        <v>5552</v>
      </c>
      <c r="N47" s="297" t="s">
        <v>596</v>
      </c>
      <c r="O47" s="32" t="s">
        <v>627</v>
      </c>
      <c r="P47" s="492"/>
      <c r="Q47" s="39"/>
      <c r="R47" s="38" t="s">
        <v>622</v>
      </c>
      <c r="S47" s="38" t="s">
        <v>4504</v>
      </c>
      <c r="T47" s="46" t="s">
        <v>22</v>
      </c>
      <c r="U47" s="38"/>
      <c r="V47" s="38"/>
      <c r="W47" s="38"/>
      <c r="X47" s="38"/>
      <c r="Y47" s="55"/>
    </row>
    <row r="48" spans="1:25" ht="148.5">
      <c r="A48" s="51">
        <v>42</v>
      </c>
      <c r="B48" s="38" t="s">
        <v>595</v>
      </c>
      <c r="C48" s="298" t="s">
        <v>4457</v>
      </c>
      <c r="D48" s="37" t="s">
        <v>5579</v>
      </c>
      <c r="E48" s="37" t="s">
        <v>5580</v>
      </c>
      <c r="F48" s="38" t="s">
        <v>595</v>
      </c>
      <c r="G48" s="296" t="s">
        <v>5549</v>
      </c>
      <c r="H48" s="295"/>
      <c r="I48" s="39"/>
      <c r="J48" s="39" t="s">
        <v>5550</v>
      </c>
      <c r="K48" s="389" t="s">
        <v>5942</v>
      </c>
      <c r="L48" s="39" t="s">
        <v>5551</v>
      </c>
      <c r="M48" s="38" t="s">
        <v>5552</v>
      </c>
      <c r="N48" s="297" t="s">
        <v>596</v>
      </c>
      <c r="O48" s="32" t="s">
        <v>627</v>
      </c>
      <c r="P48" s="492"/>
      <c r="Q48" s="39"/>
      <c r="R48" s="38" t="s">
        <v>622</v>
      </c>
      <c r="S48" s="38" t="s">
        <v>4504</v>
      </c>
      <c r="T48" s="46" t="s">
        <v>22</v>
      </c>
      <c r="U48" s="38"/>
      <c r="V48" s="487" t="s">
        <v>5939</v>
      </c>
      <c r="W48" s="494" t="s">
        <v>5943</v>
      </c>
      <c r="X48" s="494" t="s">
        <v>5944</v>
      </c>
      <c r="Y48" s="488" t="s">
        <v>5484</v>
      </c>
    </row>
    <row r="49" spans="1:25" ht="66">
      <c r="A49" s="51">
        <v>43</v>
      </c>
      <c r="B49" s="320" t="s">
        <v>595</v>
      </c>
      <c r="C49" s="472"/>
      <c r="D49" s="440" t="s">
        <v>5581</v>
      </c>
      <c r="E49" s="497" t="s">
        <v>5582</v>
      </c>
      <c r="F49" s="320" t="s">
        <v>595</v>
      </c>
      <c r="G49" s="438" t="s">
        <v>5549</v>
      </c>
      <c r="H49" s="473"/>
      <c r="I49" s="474"/>
      <c r="J49" s="39"/>
      <c r="K49" s="389"/>
      <c r="L49" s="474" t="s">
        <v>5551</v>
      </c>
      <c r="M49" s="320" t="s">
        <v>5552</v>
      </c>
      <c r="N49" s="485" t="s">
        <v>5583</v>
      </c>
      <c r="O49" s="439" t="s">
        <v>627</v>
      </c>
      <c r="P49" s="498" t="s">
        <v>5575</v>
      </c>
      <c r="Q49" s="474"/>
      <c r="R49" s="38" t="s">
        <v>622</v>
      </c>
      <c r="S49" s="38" t="s">
        <v>4504</v>
      </c>
      <c r="T49" s="499" t="s">
        <v>22</v>
      </c>
      <c r="U49" s="320"/>
      <c r="V49" s="38"/>
      <c r="W49" s="38"/>
      <c r="X49" s="38" t="s">
        <v>5345</v>
      </c>
      <c r="Y49" s="298" t="s">
        <v>5484</v>
      </c>
    </row>
    <row r="50" spans="1:25" ht="66">
      <c r="A50" s="51">
        <v>44</v>
      </c>
      <c r="B50" s="38" t="s">
        <v>595</v>
      </c>
      <c r="C50" s="298" t="s">
        <v>5584</v>
      </c>
      <c r="D50" s="37" t="s">
        <v>5585</v>
      </c>
      <c r="E50" s="37" t="s">
        <v>5586</v>
      </c>
      <c r="F50" s="38" t="s">
        <v>595</v>
      </c>
      <c r="G50" s="296" t="s">
        <v>5549</v>
      </c>
      <c r="H50" s="295"/>
      <c r="I50" s="39"/>
      <c r="J50" s="39" t="s">
        <v>5550</v>
      </c>
      <c r="K50" s="389" t="s">
        <v>5945</v>
      </c>
      <c r="L50" s="39" t="s">
        <v>5551</v>
      </c>
      <c r="M50" s="38" t="s">
        <v>5552</v>
      </c>
      <c r="N50" s="297" t="s">
        <v>596</v>
      </c>
      <c r="O50" s="32" t="s">
        <v>627</v>
      </c>
      <c r="P50" s="492"/>
      <c r="Q50" s="39"/>
      <c r="R50" s="38" t="s">
        <v>622</v>
      </c>
      <c r="S50" s="38" t="s">
        <v>4504</v>
      </c>
      <c r="T50" s="46" t="s">
        <v>22</v>
      </c>
      <c r="U50" s="38"/>
      <c r="V50" s="333"/>
      <c r="W50" s="333"/>
      <c r="X50" s="333"/>
      <c r="Y50" s="55"/>
    </row>
    <row r="51" spans="1:25" ht="66">
      <c r="A51" s="51">
        <v>45</v>
      </c>
      <c r="B51" s="38" t="s">
        <v>595</v>
      </c>
      <c r="C51" s="298" t="s">
        <v>4458</v>
      </c>
      <c r="D51" s="37" t="s">
        <v>5587</v>
      </c>
      <c r="E51" s="37" t="s">
        <v>5588</v>
      </c>
      <c r="F51" s="38" t="s">
        <v>595</v>
      </c>
      <c r="G51" s="296" t="s">
        <v>5549</v>
      </c>
      <c r="H51" s="295"/>
      <c r="I51" s="39"/>
      <c r="J51" s="39" t="s">
        <v>5550</v>
      </c>
      <c r="K51" s="389" t="s">
        <v>5589</v>
      </c>
      <c r="L51" s="39" t="s">
        <v>5551</v>
      </c>
      <c r="M51" s="38" t="s">
        <v>5552</v>
      </c>
      <c r="N51" s="297" t="s">
        <v>596</v>
      </c>
      <c r="O51" s="32" t="s">
        <v>627</v>
      </c>
      <c r="P51" s="492" t="s">
        <v>5820</v>
      </c>
      <c r="Q51" s="39"/>
      <c r="R51" s="38" t="s">
        <v>622</v>
      </c>
      <c r="S51" s="38" t="s">
        <v>4504</v>
      </c>
      <c r="T51" s="46" t="s">
        <v>22</v>
      </c>
      <c r="U51" s="38"/>
      <c r="V51" s="333"/>
      <c r="W51" s="333"/>
      <c r="X51" s="333"/>
      <c r="Y51" s="55"/>
    </row>
    <row r="52" spans="1:25" ht="99">
      <c r="A52" s="51">
        <v>46</v>
      </c>
      <c r="B52" s="38" t="s">
        <v>595</v>
      </c>
      <c r="C52" s="298" t="s">
        <v>4459</v>
      </c>
      <c r="D52" s="37" t="s">
        <v>5590</v>
      </c>
      <c r="E52" s="37" t="s">
        <v>5591</v>
      </c>
      <c r="F52" s="38" t="s">
        <v>595</v>
      </c>
      <c r="G52" s="296" t="s">
        <v>5549</v>
      </c>
      <c r="H52" s="295"/>
      <c r="I52" s="39"/>
      <c r="J52" s="39" t="s">
        <v>5550</v>
      </c>
      <c r="K52" s="500" t="s">
        <v>5946</v>
      </c>
      <c r="L52" s="39" t="s">
        <v>5551</v>
      </c>
      <c r="M52" s="38" t="s">
        <v>5552</v>
      </c>
      <c r="N52" s="297" t="s">
        <v>5821</v>
      </c>
      <c r="O52" s="32" t="s">
        <v>627</v>
      </c>
      <c r="P52" s="390" t="s">
        <v>5592</v>
      </c>
      <c r="Q52" s="39" t="s">
        <v>5593</v>
      </c>
      <c r="R52" s="38" t="s">
        <v>622</v>
      </c>
      <c r="S52" s="38" t="s">
        <v>4504</v>
      </c>
      <c r="T52" s="46" t="s">
        <v>22</v>
      </c>
      <c r="U52" s="38"/>
      <c r="V52" s="333"/>
      <c r="W52" s="333"/>
      <c r="X52" s="333"/>
      <c r="Y52" s="55"/>
    </row>
    <row r="53" spans="1:25" ht="214.5">
      <c r="A53" s="51">
        <v>47</v>
      </c>
      <c r="B53" s="38" t="s">
        <v>595</v>
      </c>
      <c r="C53" s="298" t="s">
        <v>4460</v>
      </c>
      <c r="D53" s="37" t="s">
        <v>5594</v>
      </c>
      <c r="E53" s="37" t="s">
        <v>5595</v>
      </c>
      <c r="F53" s="38" t="s">
        <v>595</v>
      </c>
      <c r="G53" s="296" t="s">
        <v>5549</v>
      </c>
      <c r="H53" s="295"/>
      <c r="I53" s="39"/>
      <c r="J53" s="39" t="s">
        <v>5550</v>
      </c>
      <c r="K53" s="389" t="s">
        <v>5947</v>
      </c>
      <c r="L53" s="39" t="s">
        <v>5551</v>
      </c>
      <c r="M53" s="38" t="s">
        <v>5552</v>
      </c>
      <c r="N53" s="297" t="s">
        <v>596</v>
      </c>
      <c r="O53" s="32" t="s">
        <v>627</v>
      </c>
      <c r="P53" s="390" t="s">
        <v>5596</v>
      </c>
      <c r="Q53" s="59" t="s">
        <v>5597</v>
      </c>
      <c r="R53" s="38" t="s">
        <v>622</v>
      </c>
      <c r="S53" s="38" t="s">
        <v>4504</v>
      </c>
      <c r="T53" s="46" t="s">
        <v>22</v>
      </c>
      <c r="U53" s="38" t="s">
        <v>5598</v>
      </c>
      <c r="V53" s="333"/>
      <c r="W53" s="333"/>
      <c r="X53" s="333"/>
      <c r="Y53" s="55"/>
    </row>
    <row r="54" spans="1:25" ht="201.75" customHeight="1">
      <c r="A54" s="51">
        <v>48</v>
      </c>
      <c r="B54" s="38" t="s">
        <v>595</v>
      </c>
      <c r="C54" s="298" t="s">
        <v>4461</v>
      </c>
      <c r="D54" s="37" t="s">
        <v>5599</v>
      </c>
      <c r="E54" s="495" t="s">
        <v>5600</v>
      </c>
      <c r="F54" s="38" t="s">
        <v>595</v>
      </c>
      <c r="G54" s="296" t="s">
        <v>5549</v>
      </c>
      <c r="H54" s="295"/>
      <c r="I54" s="39"/>
      <c r="J54" s="39" t="s">
        <v>5550</v>
      </c>
      <c r="K54" s="39" t="s">
        <v>5948</v>
      </c>
      <c r="L54" s="39" t="s">
        <v>5551</v>
      </c>
      <c r="M54" s="38" t="s">
        <v>5552</v>
      </c>
      <c r="N54" s="297" t="s">
        <v>596</v>
      </c>
      <c r="O54" s="32" t="s">
        <v>627</v>
      </c>
      <c r="P54" s="390" t="s">
        <v>5601</v>
      </c>
      <c r="Q54" s="39"/>
      <c r="R54" s="38" t="s">
        <v>622</v>
      </c>
      <c r="S54" s="38" t="s">
        <v>4504</v>
      </c>
      <c r="T54" s="46" t="s">
        <v>22</v>
      </c>
      <c r="U54" s="38"/>
      <c r="V54" s="333"/>
      <c r="W54" s="333"/>
      <c r="X54" s="333"/>
      <c r="Y54" s="55"/>
    </row>
    <row r="55" spans="1:25" ht="409.5">
      <c r="A55" s="51">
        <v>49</v>
      </c>
      <c r="B55" s="38" t="s">
        <v>595</v>
      </c>
      <c r="C55" s="298" t="s">
        <v>4462</v>
      </c>
      <c r="D55" s="37" t="s">
        <v>5602</v>
      </c>
      <c r="E55" s="37" t="s">
        <v>5603</v>
      </c>
      <c r="F55" s="38" t="s">
        <v>595</v>
      </c>
      <c r="G55" s="296" t="s">
        <v>5549</v>
      </c>
      <c r="H55" s="295"/>
      <c r="I55" s="39"/>
      <c r="J55" s="39" t="s">
        <v>5550</v>
      </c>
      <c r="K55" s="501" t="s">
        <v>5949</v>
      </c>
      <c r="L55" s="39" t="s">
        <v>5551</v>
      </c>
      <c r="M55" s="38" t="s">
        <v>5552</v>
      </c>
      <c r="N55" s="297" t="s">
        <v>596</v>
      </c>
      <c r="O55" s="32" t="s">
        <v>627</v>
      </c>
      <c r="P55" s="390" t="s">
        <v>5604</v>
      </c>
      <c r="Q55" s="39"/>
      <c r="R55" s="38" t="s">
        <v>622</v>
      </c>
      <c r="S55" s="38" t="s">
        <v>4504</v>
      </c>
      <c r="T55" s="46" t="s">
        <v>22</v>
      </c>
      <c r="U55" s="38"/>
      <c r="V55" s="333"/>
      <c r="W55" s="333"/>
      <c r="X55" s="333"/>
      <c r="Y55" s="55"/>
    </row>
    <row r="56" spans="1:25" ht="115.5">
      <c r="A56" s="51">
        <v>50</v>
      </c>
      <c r="B56" s="38" t="s">
        <v>595</v>
      </c>
      <c r="C56" s="298" t="s">
        <v>4463</v>
      </c>
      <c r="D56" s="37" t="s">
        <v>5605</v>
      </c>
      <c r="E56" s="37" t="s">
        <v>5606</v>
      </c>
      <c r="F56" s="38" t="s">
        <v>595</v>
      </c>
      <c r="G56" s="296" t="s">
        <v>5549</v>
      </c>
      <c r="H56" s="295"/>
      <c r="I56" s="39"/>
      <c r="J56" s="39" t="s">
        <v>5550</v>
      </c>
      <c r="K56" s="39" t="s">
        <v>5950</v>
      </c>
      <c r="L56" s="39" t="s">
        <v>5551</v>
      </c>
      <c r="M56" s="38" t="s">
        <v>5552</v>
      </c>
      <c r="N56" s="297" t="s">
        <v>596</v>
      </c>
      <c r="O56" s="32" t="s">
        <v>627</v>
      </c>
      <c r="P56" s="390" t="s">
        <v>5822</v>
      </c>
      <c r="Q56" s="39"/>
      <c r="R56" s="38" t="s">
        <v>622</v>
      </c>
      <c r="S56" s="38" t="s">
        <v>4504</v>
      </c>
      <c r="T56" s="46" t="s">
        <v>22</v>
      </c>
      <c r="U56" s="333"/>
      <c r="V56" s="333"/>
      <c r="W56" s="333"/>
      <c r="X56" s="333"/>
      <c r="Y56" s="55"/>
    </row>
    <row r="57" spans="1:25" ht="82.5">
      <c r="A57" s="51">
        <v>51</v>
      </c>
      <c r="B57" s="38" t="s">
        <v>595</v>
      </c>
      <c r="C57" s="298" t="s">
        <v>4464</v>
      </c>
      <c r="D57" s="37" t="s">
        <v>5607</v>
      </c>
      <c r="E57" s="37" t="s">
        <v>5608</v>
      </c>
      <c r="F57" s="38" t="s">
        <v>595</v>
      </c>
      <c r="G57" s="296" t="s">
        <v>5549</v>
      </c>
      <c r="H57" s="295"/>
      <c r="I57" s="39"/>
      <c r="J57" s="39" t="s">
        <v>5550</v>
      </c>
      <c r="K57" s="500" t="s">
        <v>5951</v>
      </c>
      <c r="L57" s="39" t="s">
        <v>5551</v>
      </c>
      <c r="M57" s="38" t="s">
        <v>5552</v>
      </c>
      <c r="N57" s="297" t="s">
        <v>596</v>
      </c>
      <c r="O57" s="32" t="s">
        <v>627</v>
      </c>
      <c r="P57" s="390" t="s">
        <v>5609</v>
      </c>
      <c r="Q57" s="39" t="s">
        <v>5610</v>
      </c>
      <c r="R57" s="38" t="s">
        <v>622</v>
      </c>
      <c r="S57" s="38" t="s">
        <v>4504</v>
      </c>
      <c r="T57" s="46" t="s">
        <v>22</v>
      </c>
      <c r="U57" s="333"/>
      <c r="V57" s="333"/>
      <c r="W57" s="333"/>
      <c r="X57" s="333"/>
      <c r="Y57" s="55"/>
    </row>
    <row r="58" spans="1:25" ht="82.5">
      <c r="A58" s="51">
        <v>52</v>
      </c>
      <c r="B58" s="38" t="s">
        <v>595</v>
      </c>
      <c r="C58" s="298" t="s">
        <v>4465</v>
      </c>
      <c r="D58" s="37" t="s">
        <v>5611</v>
      </c>
      <c r="E58" s="37" t="s">
        <v>5612</v>
      </c>
      <c r="F58" s="38" t="s">
        <v>595</v>
      </c>
      <c r="G58" s="296" t="s">
        <v>5549</v>
      </c>
      <c r="H58" s="295"/>
      <c r="I58" s="39"/>
      <c r="J58" s="39" t="s">
        <v>5550</v>
      </c>
      <c r="K58" s="500" t="s">
        <v>5952</v>
      </c>
      <c r="L58" s="39" t="s">
        <v>5551</v>
      </c>
      <c r="M58" s="38" t="s">
        <v>5552</v>
      </c>
      <c r="N58" s="297" t="s">
        <v>596</v>
      </c>
      <c r="O58" s="32" t="s">
        <v>627</v>
      </c>
      <c r="P58" s="390" t="s">
        <v>5613</v>
      </c>
      <c r="Q58" s="39"/>
      <c r="R58" s="38" t="s">
        <v>622</v>
      </c>
      <c r="S58" s="38" t="s">
        <v>4504</v>
      </c>
      <c r="T58" s="46" t="s">
        <v>22</v>
      </c>
      <c r="U58" s="333"/>
      <c r="V58" s="333"/>
      <c r="W58" s="333"/>
      <c r="X58" s="333"/>
      <c r="Y58" s="55"/>
    </row>
    <row r="59" spans="1:25" ht="66">
      <c r="A59" s="51">
        <v>53</v>
      </c>
      <c r="B59" s="38" t="s">
        <v>597</v>
      </c>
      <c r="C59" s="298" t="s">
        <v>5614</v>
      </c>
      <c r="D59" s="43" t="s">
        <v>5615</v>
      </c>
      <c r="E59" s="502" t="s">
        <v>5616</v>
      </c>
      <c r="F59" s="38" t="s">
        <v>597</v>
      </c>
      <c r="G59" s="296">
        <v>28</v>
      </c>
      <c r="H59" s="295"/>
      <c r="I59" s="39"/>
      <c r="J59" s="39" t="s">
        <v>4607</v>
      </c>
      <c r="K59" s="39" t="s">
        <v>5617</v>
      </c>
      <c r="L59" s="39" t="s">
        <v>598</v>
      </c>
      <c r="M59" s="38" t="s">
        <v>599</v>
      </c>
      <c r="N59" s="297" t="s">
        <v>600</v>
      </c>
      <c r="O59" s="32" t="s">
        <v>628</v>
      </c>
      <c r="P59" s="390" t="s">
        <v>5618</v>
      </c>
      <c r="Q59" s="36"/>
      <c r="R59" s="38" t="s">
        <v>16</v>
      </c>
      <c r="S59" s="38" t="s">
        <v>617</v>
      </c>
      <c r="T59" s="46" t="s">
        <v>22</v>
      </c>
      <c r="U59" s="333"/>
      <c r="V59" s="333"/>
      <c r="W59" s="333"/>
      <c r="X59" s="333"/>
      <c r="Y59" s="55"/>
    </row>
    <row r="60" spans="1:25" ht="66">
      <c r="A60" s="51">
        <v>54</v>
      </c>
      <c r="B60" s="38" t="s">
        <v>597</v>
      </c>
      <c r="C60" s="298" t="s">
        <v>4466</v>
      </c>
      <c r="D60" s="43" t="s">
        <v>5619</v>
      </c>
      <c r="E60" s="502" t="s">
        <v>601</v>
      </c>
      <c r="F60" s="38" t="s">
        <v>597</v>
      </c>
      <c r="G60" s="296">
        <v>28</v>
      </c>
      <c r="H60" s="295"/>
      <c r="I60" s="39"/>
      <c r="J60" s="39" t="s">
        <v>4607</v>
      </c>
      <c r="K60" s="500" t="s">
        <v>5953</v>
      </c>
      <c r="L60" s="39" t="s">
        <v>598</v>
      </c>
      <c r="M60" s="38" t="s">
        <v>599</v>
      </c>
      <c r="N60" s="297" t="s">
        <v>600</v>
      </c>
      <c r="O60" s="32" t="s">
        <v>628</v>
      </c>
      <c r="P60" s="390" t="s">
        <v>5620</v>
      </c>
      <c r="Q60" s="36"/>
      <c r="R60" s="38" t="s">
        <v>16</v>
      </c>
      <c r="S60" s="38" t="s">
        <v>617</v>
      </c>
      <c r="T60" s="46" t="s">
        <v>22</v>
      </c>
      <c r="U60" s="333"/>
      <c r="V60" s="333"/>
      <c r="W60" s="333"/>
      <c r="X60" s="333"/>
      <c r="Y60" s="55"/>
    </row>
    <row r="61" spans="1:25" ht="132">
      <c r="A61" s="51">
        <v>55</v>
      </c>
      <c r="B61" s="38" t="s">
        <v>597</v>
      </c>
      <c r="C61" s="298" t="s">
        <v>4467</v>
      </c>
      <c r="D61" s="43" t="s">
        <v>5621</v>
      </c>
      <c r="E61" s="502" t="s">
        <v>602</v>
      </c>
      <c r="F61" s="38" t="s">
        <v>597</v>
      </c>
      <c r="G61" s="296">
        <v>28</v>
      </c>
      <c r="H61" s="295"/>
      <c r="I61" s="39"/>
      <c r="J61" s="39" t="s">
        <v>4607</v>
      </c>
      <c r="K61" s="500" t="s">
        <v>5954</v>
      </c>
      <c r="L61" s="39" t="s">
        <v>598</v>
      </c>
      <c r="M61" s="38" t="s">
        <v>599</v>
      </c>
      <c r="N61" s="297" t="s">
        <v>600</v>
      </c>
      <c r="O61" s="32" t="s">
        <v>628</v>
      </c>
      <c r="P61" s="390" t="s">
        <v>5622</v>
      </c>
      <c r="Q61" s="36"/>
      <c r="R61" s="38" t="s">
        <v>16</v>
      </c>
      <c r="S61" s="38" t="s">
        <v>617</v>
      </c>
      <c r="T61" s="46" t="s">
        <v>22</v>
      </c>
      <c r="U61" s="333"/>
      <c r="V61" s="333"/>
      <c r="W61" s="333"/>
      <c r="X61" s="333"/>
      <c r="Y61" s="55"/>
    </row>
    <row r="62" spans="1:25" ht="214.5">
      <c r="A62" s="51">
        <v>56</v>
      </c>
      <c r="B62" s="38" t="s">
        <v>597</v>
      </c>
      <c r="C62" s="298" t="s">
        <v>4468</v>
      </c>
      <c r="D62" s="43" t="s">
        <v>5623</v>
      </c>
      <c r="E62" s="502" t="s">
        <v>5624</v>
      </c>
      <c r="F62" s="38" t="s">
        <v>597</v>
      </c>
      <c r="G62" s="296">
        <v>28</v>
      </c>
      <c r="H62" s="295"/>
      <c r="I62" s="39"/>
      <c r="J62" s="39" t="s">
        <v>4607</v>
      </c>
      <c r="K62" s="500" t="s">
        <v>5955</v>
      </c>
      <c r="L62" s="39" t="s">
        <v>598</v>
      </c>
      <c r="M62" s="38" t="s">
        <v>599</v>
      </c>
      <c r="N62" s="297" t="s">
        <v>600</v>
      </c>
      <c r="O62" s="32" t="s">
        <v>628</v>
      </c>
      <c r="P62" s="390" t="s">
        <v>618</v>
      </c>
      <c r="Q62" s="36"/>
      <c r="R62" s="38" t="s">
        <v>16</v>
      </c>
      <c r="S62" s="38" t="s">
        <v>617</v>
      </c>
      <c r="T62" s="46" t="s">
        <v>22</v>
      </c>
      <c r="U62" s="333"/>
      <c r="V62" s="333"/>
      <c r="W62" s="333"/>
      <c r="X62" s="333"/>
      <c r="Y62" s="55"/>
    </row>
    <row r="63" spans="1:25" ht="297">
      <c r="A63" s="51">
        <v>57</v>
      </c>
      <c r="B63" s="38" t="s">
        <v>597</v>
      </c>
      <c r="C63" s="298" t="s">
        <v>4469</v>
      </c>
      <c r="D63" s="43" t="s">
        <v>5625</v>
      </c>
      <c r="E63" s="502" t="s">
        <v>5626</v>
      </c>
      <c r="F63" s="38" t="s">
        <v>597</v>
      </c>
      <c r="G63" s="296">
        <v>28</v>
      </c>
      <c r="H63" s="295"/>
      <c r="I63" s="39"/>
      <c r="J63" s="39" t="s">
        <v>4607</v>
      </c>
      <c r="K63" s="500" t="s">
        <v>5956</v>
      </c>
      <c r="L63" s="39" t="s">
        <v>598</v>
      </c>
      <c r="M63" s="38" t="s">
        <v>599</v>
      </c>
      <c r="N63" s="297" t="s">
        <v>600</v>
      </c>
      <c r="O63" s="32" t="s">
        <v>628</v>
      </c>
      <c r="P63" s="390" t="s">
        <v>5627</v>
      </c>
      <c r="Q63" s="36"/>
      <c r="R63" s="38" t="s">
        <v>16</v>
      </c>
      <c r="S63" s="38" t="s">
        <v>617</v>
      </c>
      <c r="T63" s="46" t="s">
        <v>22</v>
      </c>
      <c r="U63" s="333"/>
      <c r="V63" s="333"/>
      <c r="W63" s="333"/>
      <c r="X63" s="333"/>
      <c r="Y63" s="55"/>
    </row>
    <row r="64" spans="1:25" ht="66">
      <c r="A64" s="51">
        <v>58</v>
      </c>
      <c r="B64" s="38" t="s">
        <v>597</v>
      </c>
      <c r="C64" s="298" t="s">
        <v>4470</v>
      </c>
      <c r="D64" s="43" t="s">
        <v>5628</v>
      </c>
      <c r="E64" s="502" t="s">
        <v>603</v>
      </c>
      <c r="F64" s="38" t="s">
        <v>597</v>
      </c>
      <c r="G64" s="296">
        <v>28</v>
      </c>
      <c r="H64" s="295"/>
      <c r="I64" s="39"/>
      <c r="J64" s="39" t="s">
        <v>4607</v>
      </c>
      <c r="K64" s="500" t="s">
        <v>5957</v>
      </c>
      <c r="L64" s="39" t="s">
        <v>598</v>
      </c>
      <c r="M64" s="38" t="s">
        <v>599</v>
      </c>
      <c r="N64" s="297" t="s">
        <v>600</v>
      </c>
      <c r="O64" s="32" t="s">
        <v>628</v>
      </c>
      <c r="P64" s="390" t="s">
        <v>619</v>
      </c>
      <c r="Q64" s="36"/>
      <c r="R64" s="38" t="s">
        <v>16</v>
      </c>
      <c r="S64" s="38" t="s">
        <v>617</v>
      </c>
      <c r="T64" s="46" t="s">
        <v>22</v>
      </c>
      <c r="U64" s="333"/>
      <c r="V64" s="333"/>
      <c r="W64" s="333"/>
      <c r="X64" s="333"/>
      <c r="Y64" s="55"/>
    </row>
    <row r="65" spans="1:25" ht="115.5">
      <c r="A65" s="51">
        <v>59</v>
      </c>
      <c r="B65" s="38" t="s">
        <v>597</v>
      </c>
      <c r="C65" s="298" t="s">
        <v>4471</v>
      </c>
      <c r="D65" s="43" t="s">
        <v>5629</v>
      </c>
      <c r="E65" s="502" t="s">
        <v>5630</v>
      </c>
      <c r="F65" s="38" t="s">
        <v>597</v>
      </c>
      <c r="G65" s="296">
        <v>28</v>
      </c>
      <c r="H65" s="295"/>
      <c r="I65" s="39"/>
      <c r="J65" s="39" t="s">
        <v>4607</v>
      </c>
      <c r="K65" s="39" t="s">
        <v>5631</v>
      </c>
      <c r="L65" s="39" t="s">
        <v>598</v>
      </c>
      <c r="M65" s="38" t="s">
        <v>599</v>
      </c>
      <c r="N65" s="297" t="s">
        <v>604</v>
      </c>
      <c r="O65" s="32" t="s">
        <v>628</v>
      </c>
      <c r="P65" s="390" t="s">
        <v>5632</v>
      </c>
      <c r="Q65" s="389" t="s">
        <v>5831</v>
      </c>
      <c r="R65" s="38" t="s">
        <v>16</v>
      </c>
      <c r="S65" s="38" t="s">
        <v>617</v>
      </c>
      <c r="T65" s="46" t="s">
        <v>22</v>
      </c>
      <c r="U65" s="333"/>
      <c r="V65" s="333"/>
      <c r="W65" s="333"/>
      <c r="X65" s="333"/>
      <c r="Y65" s="55"/>
    </row>
    <row r="66" spans="1:25" ht="115.5">
      <c r="A66" s="51">
        <v>60</v>
      </c>
      <c r="B66" s="38" t="s">
        <v>597</v>
      </c>
      <c r="C66" s="298" t="s">
        <v>4472</v>
      </c>
      <c r="D66" s="43" t="s">
        <v>5633</v>
      </c>
      <c r="E66" s="502" t="s">
        <v>5634</v>
      </c>
      <c r="F66" s="38" t="s">
        <v>597</v>
      </c>
      <c r="G66" s="296">
        <v>28</v>
      </c>
      <c r="H66" s="295"/>
      <c r="I66" s="39"/>
      <c r="J66" s="39" t="s">
        <v>4607</v>
      </c>
      <c r="K66" s="39" t="s">
        <v>5635</v>
      </c>
      <c r="L66" s="39" t="s">
        <v>598</v>
      </c>
      <c r="M66" s="38" t="s">
        <v>599</v>
      </c>
      <c r="N66" s="297" t="s">
        <v>604</v>
      </c>
      <c r="O66" s="32" t="s">
        <v>628</v>
      </c>
      <c r="P66" s="390" t="s">
        <v>5636</v>
      </c>
      <c r="Q66" s="389"/>
      <c r="R66" s="38" t="s">
        <v>16</v>
      </c>
      <c r="S66" s="38" t="s">
        <v>617</v>
      </c>
      <c r="T66" s="46" t="s">
        <v>22</v>
      </c>
      <c r="U66" s="333"/>
      <c r="V66" s="333"/>
      <c r="W66" s="333"/>
      <c r="X66" s="333"/>
      <c r="Y66" s="55"/>
    </row>
    <row r="67" spans="1:25" ht="115.5">
      <c r="A67" s="51">
        <v>61</v>
      </c>
      <c r="B67" s="38" t="s">
        <v>597</v>
      </c>
      <c r="C67" s="298" t="s">
        <v>4473</v>
      </c>
      <c r="D67" s="43" t="s">
        <v>5637</v>
      </c>
      <c r="E67" s="502" t="s">
        <v>5638</v>
      </c>
      <c r="F67" s="38" t="s">
        <v>597</v>
      </c>
      <c r="G67" s="296">
        <v>28</v>
      </c>
      <c r="H67" s="295"/>
      <c r="I67" s="39"/>
      <c r="J67" s="39" t="s">
        <v>4607</v>
      </c>
      <c r="K67" s="39" t="s">
        <v>4608</v>
      </c>
      <c r="L67" s="39" t="s">
        <v>598</v>
      </c>
      <c r="M67" s="38" t="s">
        <v>599</v>
      </c>
      <c r="N67" s="297" t="s">
        <v>604</v>
      </c>
      <c r="O67" s="32" t="s">
        <v>628</v>
      </c>
      <c r="P67" s="390" t="s">
        <v>5639</v>
      </c>
      <c r="Q67" s="389" t="s">
        <v>5832</v>
      </c>
      <c r="R67" s="38" t="s">
        <v>16</v>
      </c>
      <c r="S67" s="38" t="s">
        <v>617</v>
      </c>
      <c r="T67" s="46" t="s">
        <v>22</v>
      </c>
      <c r="U67" s="333"/>
      <c r="V67" s="333"/>
      <c r="W67" s="333"/>
      <c r="X67" s="333"/>
      <c r="Y67" s="55"/>
    </row>
    <row r="68" spans="1:25" ht="132">
      <c r="A68" s="51">
        <v>62</v>
      </c>
      <c r="B68" s="38" t="s">
        <v>605</v>
      </c>
      <c r="C68" s="298" t="s">
        <v>5640</v>
      </c>
      <c r="D68" s="43" t="s">
        <v>5641</v>
      </c>
      <c r="E68" s="37" t="s">
        <v>606</v>
      </c>
      <c r="F68" s="38" t="s">
        <v>605</v>
      </c>
      <c r="G68" s="296">
        <v>29</v>
      </c>
      <c r="H68" s="295"/>
      <c r="I68" s="39"/>
      <c r="J68" s="39" t="s">
        <v>5642</v>
      </c>
      <c r="K68" s="500" t="s">
        <v>5958</v>
      </c>
      <c r="L68" s="39" t="s">
        <v>607</v>
      </c>
      <c r="M68" s="38" t="s">
        <v>5643</v>
      </c>
      <c r="N68" s="297" t="s">
        <v>608</v>
      </c>
      <c r="O68" s="32" t="s">
        <v>629</v>
      </c>
      <c r="P68" s="390" t="s">
        <v>5833</v>
      </c>
      <c r="Q68" s="592" t="s">
        <v>5644</v>
      </c>
      <c r="R68" s="38" t="s">
        <v>16</v>
      </c>
      <c r="S68" s="38" t="s">
        <v>620</v>
      </c>
      <c r="T68" s="46" t="s">
        <v>22</v>
      </c>
      <c r="U68" s="333"/>
      <c r="V68" s="333"/>
      <c r="W68" s="333"/>
      <c r="X68" s="333"/>
      <c r="Y68" s="55"/>
    </row>
    <row r="69" spans="1:25" ht="231">
      <c r="A69" s="51">
        <v>63</v>
      </c>
      <c r="B69" s="38" t="s">
        <v>605</v>
      </c>
      <c r="C69" s="298" t="s">
        <v>4474</v>
      </c>
      <c r="D69" s="43" t="s">
        <v>5645</v>
      </c>
      <c r="E69" s="37" t="s">
        <v>5646</v>
      </c>
      <c r="F69" s="38" t="s">
        <v>605</v>
      </c>
      <c r="G69" s="296">
        <v>29</v>
      </c>
      <c r="H69" s="295"/>
      <c r="I69" s="39"/>
      <c r="J69" s="39" t="s">
        <v>5642</v>
      </c>
      <c r="K69" s="500" t="s">
        <v>5959</v>
      </c>
      <c r="L69" s="39" t="s">
        <v>607</v>
      </c>
      <c r="M69" s="38" t="s">
        <v>5643</v>
      </c>
      <c r="N69" s="297" t="s">
        <v>608</v>
      </c>
      <c r="O69" s="32" t="s">
        <v>629</v>
      </c>
      <c r="P69" s="390" t="s">
        <v>5647</v>
      </c>
      <c r="Q69" s="593"/>
      <c r="R69" s="38" t="s">
        <v>16</v>
      </c>
      <c r="S69" s="38" t="s">
        <v>620</v>
      </c>
      <c r="T69" s="46" t="s">
        <v>22</v>
      </c>
      <c r="U69" s="333"/>
      <c r="V69" s="487" t="s">
        <v>5828</v>
      </c>
      <c r="W69" s="487" t="s">
        <v>5829</v>
      </c>
      <c r="X69" s="487" t="s">
        <v>5830</v>
      </c>
      <c r="Y69" s="488" t="s">
        <v>5865</v>
      </c>
    </row>
    <row r="70" spans="1:25" ht="66">
      <c r="A70" s="51">
        <v>64</v>
      </c>
      <c r="B70" s="38" t="s">
        <v>605</v>
      </c>
      <c r="C70" s="298" t="s">
        <v>4475</v>
      </c>
      <c r="D70" s="43" t="s">
        <v>5648</v>
      </c>
      <c r="E70" s="37" t="s">
        <v>5649</v>
      </c>
      <c r="F70" s="38" t="s">
        <v>605</v>
      </c>
      <c r="G70" s="296">
        <v>29</v>
      </c>
      <c r="H70" s="295"/>
      <c r="I70" s="39"/>
      <c r="J70" s="39" t="s">
        <v>5642</v>
      </c>
      <c r="K70" s="500" t="s">
        <v>5960</v>
      </c>
      <c r="L70" s="39" t="s">
        <v>607</v>
      </c>
      <c r="M70" s="38" t="s">
        <v>5643</v>
      </c>
      <c r="N70" s="297" t="s">
        <v>608</v>
      </c>
      <c r="O70" s="32" t="s">
        <v>629</v>
      </c>
      <c r="P70" s="390"/>
      <c r="Q70" s="593"/>
      <c r="R70" s="38" t="s">
        <v>16</v>
      </c>
      <c r="S70" s="38" t="s">
        <v>620</v>
      </c>
      <c r="T70" s="46" t="s">
        <v>22</v>
      </c>
      <c r="U70" s="333"/>
      <c r="V70" s="333"/>
      <c r="W70" s="333"/>
      <c r="X70" s="333"/>
      <c r="Y70" s="55"/>
    </row>
    <row r="71" spans="1:25" ht="66">
      <c r="A71" s="51">
        <v>65</v>
      </c>
      <c r="B71" s="38" t="s">
        <v>605</v>
      </c>
      <c r="C71" s="298" t="s">
        <v>4476</v>
      </c>
      <c r="D71" s="43" t="s">
        <v>5650</v>
      </c>
      <c r="E71" s="37" t="s">
        <v>5651</v>
      </c>
      <c r="F71" s="38" t="s">
        <v>605</v>
      </c>
      <c r="G71" s="296">
        <v>29</v>
      </c>
      <c r="H71" s="295"/>
      <c r="I71" s="39"/>
      <c r="J71" s="39" t="s">
        <v>5642</v>
      </c>
      <c r="K71" s="500" t="s">
        <v>5961</v>
      </c>
      <c r="L71" s="39" t="s">
        <v>607</v>
      </c>
      <c r="M71" s="38" t="s">
        <v>5643</v>
      </c>
      <c r="N71" s="297" t="s">
        <v>608</v>
      </c>
      <c r="O71" s="32" t="s">
        <v>629</v>
      </c>
      <c r="P71" s="390"/>
      <c r="Q71" s="593"/>
      <c r="R71" s="38" t="s">
        <v>16</v>
      </c>
      <c r="S71" s="38" t="s">
        <v>620</v>
      </c>
      <c r="T71" s="46" t="s">
        <v>22</v>
      </c>
      <c r="U71" s="333"/>
      <c r="V71" s="333"/>
      <c r="W71" s="333"/>
      <c r="X71" s="333"/>
      <c r="Y71" s="55"/>
    </row>
    <row r="72" spans="1:25" ht="66">
      <c r="A72" s="51">
        <v>66</v>
      </c>
      <c r="B72" s="38" t="s">
        <v>605</v>
      </c>
      <c r="C72" s="298" t="s">
        <v>4477</v>
      </c>
      <c r="D72" s="43" t="s">
        <v>5652</v>
      </c>
      <c r="E72" s="37" t="s">
        <v>609</v>
      </c>
      <c r="F72" s="38" t="s">
        <v>605</v>
      </c>
      <c r="G72" s="296">
        <v>29</v>
      </c>
      <c r="H72" s="295"/>
      <c r="I72" s="39"/>
      <c r="J72" s="39" t="s">
        <v>5642</v>
      </c>
      <c r="K72" s="39" t="s">
        <v>5653</v>
      </c>
      <c r="L72" s="39" t="s">
        <v>607</v>
      </c>
      <c r="M72" s="38" t="s">
        <v>5643</v>
      </c>
      <c r="N72" s="297" t="s">
        <v>608</v>
      </c>
      <c r="O72" s="32" t="s">
        <v>629</v>
      </c>
      <c r="P72" s="390"/>
      <c r="Q72" s="593"/>
      <c r="R72" s="38" t="s">
        <v>16</v>
      </c>
      <c r="S72" s="38" t="s">
        <v>620</v>
      </c>
      <c r="T72" s="46" t="s">
        <v>22</v>
      </c>
      <c r="U72" s="333"/>
      <c r="V72" s="333"/>
      <c r="W72" s="333"/>
      <c r="X72" s="333"/>
      <c r="Y72" s="55"/>
    </row>
    <row r="73" spans="1:25" ht="66">
      <c r="A73" s="51">
        <v>67</v>
      </c>
      <c r="B73" s="38" t="s">
        <v>605</v>
      </c>
      <c r="C73" s="298" t="s">
        <v>4478</v>
      </c>
      <c r="D73" s="43" t="s">
        <v>5654</v>
      </c>
      <c r="E73" s="37" t="s">
        <v>5655</v>
      </c>
      <c r="F73" s="38" t="s">
        <v>605</v>
      </c>
      <c r="G73" s="296">
        <v>29</v>
      </c>
      <c r="H73" s="295"/>
      <c r="I73" s="39"/>
      <c r="J73" s="39" t="s">
        <v>5642</v>
      </c>
      <c r="K73" s="500" t="s">
        <v>5962</v>
      </c>
      <c r="L73" s="39" t="s">
        <v>607</v>
      </c>
      <c r="M73" s="38" t="s">
        <v>5643</v>
      </c>
      <c r="N73" s="297" t="s">
        <v>608</v>
      </c>
      <c r="O73" s="32" t="s">
        <v>629</v>
      </c>
      <c r="P73" s="390"/>
      <c r="Q73" s="593"/>
      <c r="R73" s="38" t="s">
        <v>16</v>
      </c>
      <c r="S73" s="38" t="s">
        <v>620</v>
      </c>
      <c r="T73" s="46" t="s">
        <v>22</v>
      </c>
      <c r="U73" s="333"/>
      <c r="V73" s="333"/>
      <c r="W73" s="333"/>
      <c r="X73" s="333"/>
      <c r="Y73" s="55"/>
    </row>
    <row r="74" spans="1:25" ht="82.5">
      <c r="A74" s="51">
        <v>68</v>
      </c>
      <c r="B74" s="38" t="s">
        <v>605</v>
      </c>
      <c r="C74" s="298" t="s">
        <v>4479</v>
      </c>
      <c r="D74" s="43" t="s">
        <v>5656</v>
      </c>
      <c r="E74" s="37" t="s">
        <v>5657</v>
      </c>
      <c r="F74" s="38" t="s">
        <v>605</v>
      </c>
      <c r="G74" s="296">
        <v>29</v>
      </c>
      <c r="H74" s="295"/>
      <c r="I74" s="39"/>
      <c r="J74" s="39" t="s">
        <v>5642</v>
      </c>
      <c r="K74" s="500" t="s">
        <v>5963</v>
      </c>
      <c r="L74" s="39" t="s">
        <v>607</v>
      </c>
      <c r="M74" s="38" t="s">
        <v>5643</v>
      </c>
      <c r="N74" s="297" t="s">
        <v>608</v>
      </c>
      <c r="O74" s="32" t="s">
        <v>629</v>
      </c>
      <c r="P74" s="390"/>
      <c r="Q74" s="594"/>
      <c r="R74" s="38" t="s">
        <v>16</v>
      </c>
      <c r="S74" s="38" t="s">
        <v>620</v>
      </c>
      <c r="T74" s="46" t="s">
        <v>22</v>
      </c>
      <c r="U74" s="333"/>
      <c r="V74" s="333"/>
      <c r="W74" s="333"/>
      <c r="X74" s="333"/>
      <c r="Y74" s="55"/>
    </row>
    <row r="75" spans="1:25" ht="198">
      <c r="A75" s="51">
        <v>69</v>
      </c>
      <c r="B75" s="38" t="s">
        <v>441</v>
      </c>
      <c r="C75" s="298" t="s">
        <v>5658</v>
      </c>
      <c r="D75" s="43" t="s">
        <v>5659</v>
      </c>
      <c r="E75" s="37" t="s">
        <v>5660</v>
      </c>
      <c r="F75" s="38" t="s">
        <v>441</v>
      </c>
      <c r="G75" s="296" t="s">
        <v>5661</v>
      </c>
      <c r="H75" s="295"/>
      <c r="I75" s="39"/>
      <c r="J75" s="39" t="s">
        <v>5662</v>
      </c>
      <c r="K75" s="39" t="s">
        <v>5663</v>
      </c>
      <c r="L75" s="39" t="s">
        <v>5664</v>
      </c>
      <c r="M75" s="38" t="s">
        <v>5665</v>
      </c>
      <c r="N75" s="297" t="s">
        <v>5666</v>
      </c>
      <c r="O75" s="32">
        <v>105</v>
      </c>
      <c r="P75" s="390" t="s">
        <v>5834</v>
      </c>
      <c r="Q75" s="39" t="s">
        <v>5667</v>
      </c>
      <c r="R75" s="38" t="s">
        <v>16</v>
      </c>
      <c r="S75" s="38" t="s">
        <v>621</v>
      </c>
      <c r="T75" s="46" t="s">
        <v>423</v>
      </c>
      <c r="U75" s="333"/>
      <c r="V75" s="333"/>
      <c r="W75" s="333"/>
      <c r="X75" s="333"/>
      <c r="Y75" s="55"/>
    </row>
    <row r="76" spans="1:25" ht="132">
      <c r="A76" s="51">
        <v>70</v>
      </c>
      <c r="B76" s="38" t="s">
        <v>441</v>
      </c>
      <c r="C76" s="298" t="s">
        <v>4480</v>
      </c>
      <c r="D76" s="43" t="s">
        <v>5668</v>
      </c>
      <c r="E76" s="37" t="s">
        <v>5669</v>
      </c>
      <c r="F76" s="38" t="s">
        <v>441</v>
      </c>
      <c r="G76" s="296" t="s">
        <v>5661</v>
      </c>
      <c r="H76" s="295"/>
      <c r="I76" s="39"/>
      <c r="J76" s="39" t="s">
        <v>5662</v>
      </c>
      <c r="K76" s="39" t="s">
        <v>5670</v>
      </c>
      <c r="L76" s="39" t="s">
        <v>5664</v>
      </c>
      <c r="M76" s="38" t="s">
        <v>5665</v>
      </c>
      <c r="N76" s="297" t="s">
        <v>5666</v>
      </c>
      <c r="O76" s="32">
        <v>105</v>
      </c>
      <c r="P76" s="492" t="s">
        <v>5837</v>
      </c>
      <c r="Q76" s="389" t="s">
        <v>5836</v>
      </c>
      <c r="R76" s="38" t="s">
        <v>16</v>
      </c>
      <c r="S76" s="38" t="s">
        <v>617</v>
      </c>
      <c r="T76" s="46" t="s">
        <v>423</v>
      </c>
      <c r="U76" s="333"/>
      <c r="V76" s="333"/>
      <c r="W76" s="333"/>
      <c r="X76" s="333"/>
      <c r="Y76" s="55"/>
    </row>
    <row r="77" spans="1:25" ht="82.5">
      <c r="A77" s="51">
        <v>71</v>
      </c>
      <c r="B77" s="38" t="s">
        <v>441</v>
      </c>
      <c r="C77" s="298" t="s">
        <v>4481</v>
      </c>
      <c r="D77" s="43" t="s">
        <v>5671</v>
      </c>
      <c r="E77" s="37" t="s">
        <v>5672</v>
      </c>
      <c r="F77" s="38" t="s">
        <v>441</v>
      </c>
      <c r="G77" s="296" t="s">
        <v>5661</v>
      </c>
      <c r="H77" s="295"/>
      <c r="I77" s="39"/>
      <c r="J77" s="39" t="s">
        <v>5662</v>
      </c>
      <c r="K77" s="500" t="s">
        <v>5964</v>
      </c>
      <c r="L77" s="39" t="s">
        <v>5664</v>
      </c>
      <c r="M77" s="38" t="s">
        <v>5665</v>
      </c>
      <c r="N77" s="297" t="s">
        <v>5666</v>
      </c>
      <c r="O77" s="32">
        <v>105</v>
      </c>
      <c r="P77" s="503" t="s">
        <v>5835</v>
      </c>
      <c r="Q77" s="39"/>
      <c r="R77" s="38" t="s">
        <v>16</v>
      </c>
      <c r="S77" s="38" t="s">
        <v>617</v>
      </c>
      <c r="T77" s="46" t="s">
        <v>423</v>
      </c>
      <c r="U77" s="333"/>
      <c r="V77" s="333"/>
      <c r="W77" s="333"/>
      <c r="X77" s="333"/>
      <c r="Y77" s="55"/>
    </row>
    <row r="78" spans="1:25" ht="165">
      <c r="A78" s="51">
        <v>72</v>
      </c>
      <c r="B78" s="38" t="s">
        <v>441</v>
      </c>
      <c r="C78" s="298" t="s">
        <v>5673</v>
      </c>
      <c r="D78" s="43" t="s">
        <v>5674</v>
      </c>
      <c r="E78" s="37" t="s">
        <v>5675</v>
      </c>
      <c r="F78" s="38" t="s">
        <v>441</v>
      </c>
      <c r="G78" s="296" t="s">
        <v>5661</v>
      </c>
      <c r="H78" s="295"/>
      <c r="I78" s="39"/>
      <c r="J78" s="39" t="s">
        <v>5662</v>
      </c>
      <c r="K78" s="39" t="s">
        <v>5676</v>
      </c>
      <c r="L78" s="39" t="s">
        <v>5664</v>
      </c>
      <c r="M78" s="38" t="s">
        <v>5665</v>
      </c>
      <c r="N78" s="297" t="s">
        <v>5666</v>
      </c>
      <c r="O78" s="32">
        <v>105</v>
      </c>
      <c r="P78" s="390" t="s">
        <v>5677</v>
      </c>
      <c r="Q78" s="39"/>
      <c r="R78" s="38" t="s">
        <v>16</v>
      </c>
      <c r="S78" s="38" t="s">
        <v>617</v>
      </c>
      <c r="T78" s="46" t="s">
        <v>423</v>
      </c>
      <c r="U78" s="333"/>
      <c r="V78" s="333"/>
      <c r="W78" s="333"/>
      <c r="X78" s="333"/>
      <c r="Y78" s="55"/>
    </row>
    <row r="79" spans="1:25" ht="66">
      <c r="A79" s="51">
        <v>73</v>
      </c>
      <c r="B79" s="320" t="s">
        <v>5678</v>
      </c>
      <c r="C79" s="472"/>
      <c r="D79" s="504" t="s">
        <v>5679</v>
      </c>
      <c r="E79" s="440" t="s">
        <v>5680</v>
      </c>
      <c r="F79" s="320" t="s">
        <v>441</v>
      </c>
      <c r="G79" s="438" t="s">
        <v>5661</v>
      </c>
      <c r="H79" s="473"/>
      <c r="I79" s="474"/>
      <c r="J79" s="39"/>
      <c r="K79" s="39"/>
      <c r="L79" s="474" t="s">
        <v>5664</v>
      </c>
      <c r="M79" s="320" t="s">
        <v>5665</v>
      </c>
      <c r="N79" s="485" t="s">
        <v>5681</v>
      </c>
      <c r="O79" s="439">
        <v>105</v>
      </c>
      <c r="P79" s="505"/>
      <c r="Q79" s="474"/>
      <c r="R79" s="320"/>
      <c r="S79" s="320"/>
      <c r="T79" s="499"/>
      <c r="U79" s="506"/>
      <c r="W79" s="43"/>
      <c r="X79" s="43" t="s">
        <v>5346</v>
      </c>
      <c r="Y79" s="43" t="s">
        <v>5484</v>
      </c>
    </row>
    <row r="80" spans="1:25" ht="148.5">
      <c r="A80" s="51">
        <v>74</v>
      </c>
      <c r="B80" s="38" t="s">
        <v>441</v>
      </c>
      <c r="C80" s="298" t="s">
        <v>5682</v>
      </c>
      <c r="D80" s="43" t="s">
        <v>5683</v>
      </c>
      <c r="E80" s="37" t="s">
        <v>5684</v>
      </c>
      <c r="F80" s="38" t="s">
        <v>441</v>
      </c>
      <c r="G80" s="296" t="s">
        <v>5661</v>
      </c>
      <c r="H80" s="295"/>
      <c r="I80" s="39"/>
      <c r="J80" s="39" t="s">
        <v>5662</v>
      </c>
      <c r="K80" s="39" t="s">
        <v>5685</v>
      </c>
      <c r="L80" s="39" t="s">
        <v>5664</v>
      </c>
      <c r="M80" s="38" t="s">
        <v>5665</v>
      </c>
      <c r="N80" s="297" t="s">
        <v>5666</v>
      </c>
      <c r="O80" s="32">
        <v>105</v>
      </c>
      <c r="P80" s="390" t="s">
        <v>5686</v>
      </c>
      <c r="Q80" s="39" t="s">
        <v>5687</v>
      </c>
      <c r="R80" s="38" t="s">
        <v>16</v>
      </c>
      <c r="S80" s="38" t="s">
        <v>617</v>
      </c>
      <c r="T80" s="46" t="s">
        <v>423</v>
      </c>
      <c r="U80" s="333"/>
      <c r="V80" s="333"/>
      <c r="W80" s="333"/>
      <c r="X80" s="333"/>
      <c r="Y80" s="55"/>
    </row>
    <row r="81" spans="1:25" ht="66">
      <c r="A81" s="51">
        <v>75</v>
      </c>
      <c r="B81" s="38" t="s">
        <v>5688</v>
      </c>
      <c r="C81" s="298" t="s">
        <v>5689</v>
      </c>
      <c r="D81" s="332" t="s">
        <v>5690</v>
      </c>
      <c r="E81" s="37" t="s">
        <v>5691</v>
      </c>
      <c r="F81" s="38" t="s">
        <v>5688</v>
      </c>
      <c r="G81" s="296">
        <v>33</v>
      </c>
      <c r="H81" s="295"/>
      <c r="I81" s="39"/>
      <c r="J81" s="39" t="s">
        <v>4609</v>
      </c>
      <c r="K81" s="39" t="s">
        <v>5692</v>
      </c>
      <c r="L81" s="39" t="s">
        <v>5693</v>
      </c>
      <c r="M81" s="38">
        <v>71</v>
      </c>
      <c r="N81" s="297" t="s">
        <v>5694</v>
      </c>
      <c r="O81" s="32">
        <v>114</v>
      </c>
      <c r="P81" s="503" t="s">
        <v>5854</v>
      </c>
      <c r="Q81" s="595" t="s">
        <v>5824</v>
      </c>
      <c r="R81" s="38" t="s">
        <v>16</v>
      </c>
      <c r="S81" s="487" t="s">
        <v>5433</v>
      </c>
      <c r="T81" s="46" t="s">
        <v>423</v>
      </c>
      <c r="U81" s="333"/>
      <c r="V81" s="596" t="s">
        <v>5823</v>
      </c>
      <c r="W81" s="576" t="s">
        <v>5862</v>
      </c>
      <c r="X81" s="576" t="s">
        <v>5861</v>
      </c>
      <c r="Y81" s="579" t="s">
        <v>5871</v>
      </c>
    </row>
    <row r="82" spans="1:25" ht="66">
      <c r="A82" s="51">
        <v>76</v>
      </c>
      <c r="B82" s="38" t="s">
        <v>5688</v>
      </c>
      <c r="C82" s="298" t="s">
        <v>4482</v>
      </c>
      <c r="D82" s="332" t="s">
        <v>5695</v>
      </c>
      <c r="E82" s="35" t="s">
        <v>5696</v>
      </c>
      <c r="F82" s="38" t="s">
        <v>5688</v>
      </c>
      <c r="G82" s="296">
        <v>33</v>
      </c>
      <c r="H82" s="295"/>
      <c r="I82" s="39"/>
      <c r="J82" s="39" t="s">
        <v>4609</v>
      </c>
      <c r="K82" s="389" t="s">
        <v>5697</v>
      </c>
      <c r="L82" s="39" t="s">
        <v>5693</v>
      </c>
      <c r="M82" s="38">
        <v>71</v>
      </c>
      <c r="N82" s="297" t="s">
        <v>5694</v>
      </c>
      <c r="O82" s="32">
        <v>114</v>
      </c>
      <c r="P82" s="492"/>
      <c r="Q82" s="593"/>
      <c r="R82" s="38" t="s">
        <v>16</v>
      </c>
      <c r="S82" s="487" t="s">
        <v>5433</v>
      </c>
      <c r="T82" s="46" t="s">
        <v>423</v>
      </c>
      <c r="U82" s="333"/>
      <c r="V82" s="597"/>
      <c r="W82" s="577"/>
      <c r="X82" s="577"/>
      <c r="Y82" s="580"/>
    </row>
    <row r="83" spans="1:25" ht="66">
      <c r="A83" s="51">
        <v>77</v>
      </c>
      <c r="B83" s="38" t="s">
        <v>5688</v>
      </c>
      <c r="C83" s="298" t="s">
        <v>4483</v>
      </c>
      <c r="D83" s="332" t="s">
        <v>5698</v>
      </c>
      <c r="E83" s="37" t="s">
        <v>610</v>
      </c>
      <c r="F83" s="38" t="s">
        <v>5688</v>
      </c>
      <c r="G83" s="296">
        <v>33</v>
      </c>
      <c r="H83" s="295"/>
      <c r="I83" s="39"/>
      <c r="J83" s="39" t="s">
        <v>4609</v>
      </c>
      <c r="K83" s="389" t="s">
        <v>5699</v>
      </c>
      <c r="L83" s="39" t="s">
        <v>5693</v>
      </c>
      <c r="M83" s="38">
        <v>71</v>
      </c>
      <c r="N83" s="297" t="s">
        <v>5694</v>
      </c>
      <c r="O83" s="32">
        <v>114</v>
      </c>
      <c r="P83" s="503" t="s">
        <v>5855</v>
      </c>
      <c r="Q83" s="593"/>
      <c r="R83" s="38" t="s">
        <v>16</v>
      </c>
      <c r="S83" s="487" t="s">
        <v>5433</v>
      </c>
      <c r="T83" s="46" t="s">
        <v>423</v>
      </c>
      <c r="U83" s="333"/>
      <c r="V83" s="597"/>
      <c r="W83" s="577"/>
      <c r="X83" s="577"/>
      <c r="Y83" s="580"/>
    </row>
    <row r="84" spans="1:25" ht="132">
      <c r="A84" s="51">
        <v>78</v>
      </c>
      <c r="B84" s="38" t="s">
        <v>5688</v>
      </c>
      <c r="C84" s="298" t="s">
        <v>4484</v>
      </c>
      <c r="D84" s="332" t="s">
        <v>5700</v>
      </c>
      <c r="E84" s="37" t="s">
        <v>5701</v>
      </c>
      <c r="F84" s="38" t="s">
        <v>5688</v>
      </c>
      <c r="G84" s="296">
        <v>33</v>
      </c>
      <c r="H84" s="295"/>
      <c r="I84" s="39"/>
      <c r="J84" s="39" t="s">
        <v>4609</v>
      </c>
      <c r="K84" s="39" t="s">
        <v>5702</v>
      </c>
      <c r="L84" s="39" t="s">
        <v>5693</v>
      </c>
      <c r="M84" s="38">
        <v>71</v>
      </c>
      <c r="N84" s="297" t="s">
        <v>5694</v>
      </c>
      <c r="O84" s="32">
        <v>114</v>
      </c>
      <c r="P84" s="503" t="s">
        <v>5857</v>
      </c>
      <c r="Q84" s="593"/>
      <c r="R84" s="38" t="s">
        <v>16</v>
      </c>
      <c r="S84" s="487" t="s">
        <v>5433</v>
      </c>
      <c r="T84" s="46" t="s">
        <v>423</v>
      </c>
      <c r="U84" s="333"/>
      <c r="V84" s="597"/>
      <c r="W84" s="577"/>
      <c r="X84" s="577"/>
      <c r="Y84" s="580"/>
    </row>
    <row r="85" spans="1:25" ht="363">
      <c r="A85" s="51">
        <v>79</v>
      </c>
      <c r="B85" s="38" t="s">
        <v>5688</v>
      </c>
      <c r="C85" s="298" t="s">
        <v>4485</v>
      </c>
      <c r="D85" s="332" t="s">
        <v>5703</v>
      </c>
      <c r="E85" s="37" t="s">
        <v>5704</v>
      </c>
      <c r="F85" s="38" t="s">
        <v>5688</v>
      </c>
      <c r="G85" s="296">
        <v>33</v>
      </c>
      <c r="H85" s="295"/>
      <c r="I85" s="39"/>
      <c r="J85" s="39" t="s">
        <v>4609</v>
      </c>
      <c r="K85" s="39" t="s">
        <v>5705</v>
      </c>
      <c r="L85" s="39" t="s">
        <v>5693</v>
      </c>
      <c r="M85" s="38">
        <v>71</v>
      </c>
      <c r="N85" s="297" t="s">
        <v>5694</v>
      </c>
      <c r="O85" s="32">
        <v>114</v>
      </c>
      <c r="P85" s="503" t="s">
        <v>5856</v>
      </c>
      <c r="Q85" s="593"/>
      <c r="R85" s="38" t="s">
        <v>16</v>
      </c>
      <c r="S85" s="487" t="s">
        <v>5433</v>
      </c>
      <c r="T85" s="46" t="s">
        <v>423</v>
      </c>
      <c r="U85" s="333"/>
      <c r="V85" s="597"/>
      <c r="W85" s="577"/>
      <c r="X85" s="577"/>
      <c r="Y85" s="580"/>
    </row>
    <row r="86" spans="1:25" ht="132">
      <c r="A86" s="51">
        <v>80</v>
      </c>
      <c r="B86" s="38" t="s">
        <v>5688</v>
      </c>
      <c r="C86" s="298" t="s">
        <v>4486</v>
      </c>
      <c r="D86" s="332" t="s">
        <v>5706</v>
      </c>
      <c r="E86" s="37" t="s">
        <v>5707</v>
      </c>
      <c r="F86" s="38" t="s">
        <v>5688</v>
      </c>
      <c r="G86" s="296">
        <v>33</v>
      </c>
      <c r="H86" s="295"/>
      <c r="I86" s="39"/>
      <c r="J86" s="39" t="s">
        <v>4609</v>
      </c>
      <c r="K86" s="389" t="s">
        <v>5708</v>
      </c>
      <c r="L86" s="39" t="s">
        <v>5693</v>
      </c>
      <c r="M86" s="38">
        <v>71</v>
      </c>
      <c r="N86" s="297" t="s">
        <v>5694</v>
      </c>
      <c r="O86" s="32">
        <v>114</v>
      </c>
      <c r="P86" s="503" t="s">
        <v>5858</v>
      </c>
      <c r="Q86" s="593"/>
      <c r="R86" s="38" t="s">
        <v>16</v>
      </c>
      <c r="S86" s="487" t="s">
        <v>5433</v>
      </c>
      <c r="T86" s="46" t="s">
        <v>423</v>
      </c>
      <c r="U86" s="333"/>
      <c r="V86" s="597"/>
      <c r="W86" s="577"/>
      <c r="X86" s="577"/>
      <c r="Y86" s="580"/>
    </row>
    <row r="87" spans="1:25" ht="66">
      <c r="A87" s="51">
        <v>81</v>
      </c>
      <c r="B87" s="38" t="s">
        <v>5688</v>
      </c>
      <c r="C87" s="298" t="s">
        <v>4487</v>
      </c>
      <c r="D87" s="332" t="s">
        <v>5709</v>
      </c>
      <c r="E87" s="37" t="s">
        <v>5710</v>
      </c>
      <c r="F87" s="38" t="s">
        <v>5688</v>
      </c>
      <c r="G87" s="296">
        <v>33</v>
      </c>
      <c r="H87" s="295"/>
      <c r="I87" s="39"/>
      <c r="J87" s="39" t="s">
        <v>4609</v>
      </c>
      <c r="K87" s="500" t="s">
        <v>5965</v>
      </c>
      <c r="L87" s="39" t="s">
        <v>5693</v>
      </c>
      <c r="M87" s="38">
        <v>71</v>
      </c>
      <c r="N87" s="297" t="s">
        <v>5694</v>
      </c>
      <c r="O87" s="32">
        <v>114</v>
      </c>
      <c r="P87" s="492"/>
      <c r="Q87" s="593"/>
      <c r="R87" s="38" t="s">
        <v>16</v>
      </c>
      <c r="S87" s="487" t="s">
        <v>5433</v>
      </c>
      <c r="T87" s="46" t="s">
        <v>423</v>
      </c>
      <c r="U87" s="333"/>
      <c r="V87" s="597"/>
      <c r="W87" s="577"/>
      <c r="X87" s="577"/>
      <c r="Y87" s="580"/>
    </row>
    <row r="88" spans="1:25" ht="148.5">
      <c r="A88" s="51">
        <v>82</v>
      </c>
      <c r="B88" s="38" t="s">
        <v>5688</v>
      </c>
      <c r="C88" s="298" t="s">
        <v>4488</v>
      </c>
      <c r="D88" s="332" t="s">
        <v>5711</v>
      </c>
      <c r="E88" s="37" t="s">
        <v>5712</v>
      </c>
      <c r="F88" s="38" t="s">
        <v>5688</v>
      </c>
      <c r="G88" s="296">
        <v>33</v>
      </c>
      <c r="H88" s="295"/>
      <c r="I88" s="39"/>
      <c r="J88" s="39" t="s">
        <v>4609</v>
      </c>
      <c r="K88" s="39" t="s">
        <v>5713</v>
      </c>
      <c r="L88" s="39" t="s">
        <v>5693</v>
      </c>
      <c r="M88" s="38">
        <v>71</v>
      </c>
      <c r="N88" s="297" t="s">
        <v>5694</v>
      </c>
      <c r="O88" s="32">
        <v>114</v>
      </c>
      <c r="P88" s="503" t="s">
        <v>5850</v>
      </c>
      <c r="Q88" s="594"/>
      <c r="R88" s="38" t="s">
        <v>16</v>
      </c>
      <c r="S88" s="487" t="s">
        <v>5433</v>
      </c>
      <c r="T88" s="46" t="s">
        <v>423</v>
      </c>
      <c r="U88" s="333"/>
      <c r="V88" s="598"/>
      <c r="W88" s="578"/>
      <c r="X88" s="578"/>
      <c r="Y88" s="581"/>
    </row>
    <row r="89" spans="1:25" ht="165">
      <c r="A89" s="51">
        <v>83</v>
      </c>
      <c r="B89" s="38" t="s">
        <v>611</v>
      </c>
      <c r="C89" s="298" t="s">
        <v>5714</v>
      </c>
      <c r="D89" s="43" t="s">
        <v>5715</v>
      </c>
      <c r="E89" s="37" t="s">
        <v>5716</v>
      </c>
      <c r="F89" s="38" t="s">
        <v>611</v>
      </c>
      <c r="G89" s="296">
        <v>34</v>
      </c>
      <c r="H89" s="295"/>
      <c r="I89" s="39"/>
      <c r="J89" s="39" t="s">
        <v>5717</v>
      </c>
      <c r="K89" s="39" t="s">
        <v>5966</v>
      </c>
      <c r="L89" s="39" t="s">
        <v>612</v>
      </c>
      <c r="M89" s="38" t="s">
        <v>5718</v>
      </c>
      <c r="N89" s="297" t="s">
        <v>5719</v>
      </c>
      <c r="O89" s="32" t="s">
        <v>630</v>
      </c>
      <c r="P89" s="390" t="s">
        <v>5720</v>
      </c>
      <c r="Q89" s="508" t="s">
        <v>5721</v>
      </c>
      <c r="R89" s="38" t="s">
        <v>16</v>
      </c>
      <c r="S89" s="487" t="s">
        <v>5433</v>
      </c>
      <c r="T89" s="46" t="s">
        <v>423</v>
      </c>
      <c r="U89" s="333"/>
      <c r="V89" s="487" t="s">
        <v>5825</v>
      </c>
      <c r="W89" s="487" t="s">
        <v>5826</v>
      </c>
      <c r="X89" s="487" t="s">
        <v>5827</v>
      </c>
      <c r="Y89" s="507" t="s">
        <v>5872</v>
      </c>
    </row>
    <row r="90" spans="1:25" ht="115.5">
      <c r="A90" s="51">
        <v>84</v>
      </c>
      <c r="B90" s="38" t="s">
        <v>611</v>
      </c>
      <c r="C90" s="298" t="s">
        <v>4489</v>
      </c>
      <c r="D90" s="43" t="s">
        <v>5722</v>
      </c>
      <c r="E90" s="37" t="s">
        <v>5723</v>
      </c>
      <c r="F90" s="38" t="s">
        <v>611</v>
      </c>
      <c r="G90" s="296">
        <v>34</v>
      </c>
      <c r="H90" s="295"/>
      <c r="I90" s="39"/>
      <c r="J90" s="39" t="s">
        <v>5717</v>
      </c>
      <c r="K90" s="39" t="s">
        <v>5724</v>
      </c>
      <c r="L90" s="39" t="s">
        <v>612</v>
      </c>
      <c r="M90" s="38" t="s">
        <v>5718</v>
      </c>
      <c r="N90" s="297" t="s">
        <v>5719</v>
      </c>
      <c r="O90" s="32" t="s">
        <v>630</v>
      </c>
      <c r="P90" s="390" t="s">
        <v>5725</v>
      </c>
      <c r="Q90" s="587" t="s">
        <v>5726</v>
      </c>
      <c r="R90" s="38" t="s">
        <v>16</v>
      </c>
      <c r="S90" s="487" t="s">
        <v>5433</v>
      </c>
      <c r="T90" s="46" t="s">
        <v>423</v>
      </c>
      <c r="U90" s="333"/>
      <c r="V90" s="487" t="s">
        <v>5825</v>
      </c>
      <c r="W90" s="487" t="s">
        <v>5826</v>
      </c>
      <c r="X90" s="487" t="s">
        <v>5827</v>
      </c>
      <c r="Y90" s="507" t="s">
        <v>5872</v>
      </c>
    </row>
    <row r="91" spans="1:25" ht="165">
      <c r="A91" s="51">
        <v>85</v>
      </c>
      <c r="B91" s="38" t="s">
        <v>611</v>
      </c>
      <c r="C91" s="298" t="s">
        <v>4490</v>
      </c>
      <c r="D91" s="43" t="s">
        <v>5727</v>
      </c>
      <c r="E91" s="37" t="s">
        <v>5728</v>
      </c>
      <c r="F91" s="38" t="s">
        <v>611</v>
      </c>
      <c r="G91" s="296">
        <v>34</v>
      </c>
      <c r="H91" s="295"/>
      <c r="I91" s="39"/>
      <c r="J91" s="39" t="s">
        <v>5717</v>
      </c>
      <c r="K91" s="39" t="s">
        <v>5729</v>
      </c>
      <c r="L91" s="39" t="s">
        <v>612</v>
      </c>
      <c r="M91" s="38" t="s">
        <v>5718</v>
      </c>
      <c r="N91" s="297" t="s">
        <v>5719</v>
      </c>
      <c r="O91" s="32" t="s">
        <v>630</v>
      </c>
      <c r="P91" s="390" t="s">
        <v>5730</v>
      </c>
      <c r="Q91" s="588"/>
      <c r="R91" s="38" t="s">
        <v>16</v>
      </c>
      <c r="S91" s="487" t="s">
        <v>5433</v>
      </c>
      <c r="T91" s="46" t="s">
        <v>423</v>
      </c>
      <c r="U91" s="333"/>
      <c r="V91" s="487" t="s">
        <v>5825</v>
      </c>
      <c r="W91" s="487" t="s">
        <v>5826</v>
      </c>
      <c r="X91" s="487" t="s">
        <v>5827</v>
      </c>
      <c r="Y91" s="507" t="s">
        <v>5872</v>
      </c>
    </row>
    <row r="92" spans="1:25" ht="198">
      <c r="A92" s="51">
        <v>86</v>
      </c>
      <c r="B92" s="38" t="s">
        <v>611</v>
      </c>
      <c r="C92" s="298" t="s">
        <v>4491</v>
      </c>
      <c r="D92" s="43" t="s">
        <v>5731</v>
      </c>
      <c r="E92" s="37" t="s">
        <v>5732</v>
      </c>
      <c r="F92" s="38" t="s">
        <v>611</v>
      </c>
      <c r="G92" s="296">
        <v>34</v>
      </c>
      <c r="H92" s="295"/>
      <c r="I92" s="39"/>
      <c r="J92" s="39" t="s">
        <v>5717</v>
      </c>
      <c r="K92" s="500" t="s">
        <v>5967</v>
      </c>
      <c r="L92" s="39" t="s">
        <v>612</v>
      </c>
      <c r="M92" s="38" t="s">
        <v>5718</v>
      </c>
      <c r="N92" s="297" t="s">
        <v>5719</v>
      </c>
      <c r="O92" s="32" t="s">
        <v>630</v>
      </c>
      <c r="P92" s="390" t="s">
        <v>5733</v>
      </c>
      <c r="Q92" s="588"/>
      <c r="R92" s="38" t="s">
        <v>16</v>
      </c>
      <c r="S92" s="487" t="s">
        <v>5433</v>
      </c>
      <c r="T92" s="46" t="s">
        <v>423</v>
      </c>
      <c r="U92" s="333"/>
      <c r="V92" s="487" t="s">
        <v>5825</v>
      </c>
      <c r="W92" s="487" t="s">
        <v>5826</v>
      </c>
      <c r="X92" s="487" t="s">
        <v>5827</v>
      </c>
      <c r="Y92" s="507" t="s">
        <v>5872</v>
      </c>
    </row>
    <row r="93" spans="1:25" ht="66">
      <c r="A93" s="51">
        <v>87</v>
      </c>
      <c r="B93" s="38" t="s">
        <v>611</v>
      </c>
      <c r="C93" s="298" t="s">
        <v>4492</v>
      </c>
      <c r="D93" s="43" t="s">
        <v>5734</v>
      </c>
      <c r="E93" s="37" t="s">
        <v>5735</v>
      </c>
      <c r="F93" s="38" t="s">
        <v>611</v>
      </c>
      <c r="G93" s="296">
        <v>34</v>
      </c>
      <c r="H93" s="295"/>
      <c r="I93" s="39"/>
      <c r="J93" s="39" t="s">
        <v>5717</v>
      </c>
      <c r="K93" s="500" t="s">
        <v>5968</v>
      </c>
      <c r="L93" s="39" t="s">
        <v>612</v>
      </c>
      <c r="M93" s="38" t="s">
        <v>5718</v>
      </c>
      <c r="N93" s="297" t="s">
        <v>5719</v>
      </c>
      <c r="O93" s="32" t="s">
        <v>630</v>
      </c>
      <c r="P93" s="390" t="s">
        <v>5736</v>
      </c>
      <c r="Q93" s="588"/>
      <c r="R93" s="38" t="s">
        <v>16</v>
      </c>
      <c r="S93" s="487" t="s">
        <v>5433</v>
      </c>
      <c r="T93" s="46" t="s">
        <v>423</v>
      </c>
      <c r="U93" s="333"/>
      <c r="V93" s="487" t="s">
        <v>5825</v>
      </c>
      <c r="W93" s="487" t="s">
        <v>5826</v>
      </c>
      <c r="X93" s="487" t="s">
        <v>5827</v>
      </c>
      <c r="Y93" s="507" t="s">
        <v>5872</v>
      </c>
    </row>
    <row r="94" spans="1:25" ht="313.5">
      <c r="A94" s="51">
        <v>88</v>
      </c>
      <c r="B94" s="38" t="s">
        <v>611</v>
      </c>
      <c r="C94" s="298" t="s">
        <v>4493</v>
      </c>
      <c r="D94" s="43" t="s">
        <v>4494</v>
      </c>
      <c r="E94" s="37" t="s">
        <v>5737</v>
      </c>
      <c r="F94" s="38" t="s">
        <v>611</v>
      </c>
      <c r="G94" s="296">
        <v>34</v>
      </c>
      <c r="H94" s="295"/>
      <c r="I94" s="39"/>
      <c r="J94" s="39" t="s">
        <v>5717</v>
      </c>
      <c r="K94" s="39" t="s">
        <v>5969</v>
      </c>
      <c r="L94" s="39" t="s">
        <v>612</v>
      </c>
      <c r="M94" s="38" t="s">
        <v>5718</v>
      </c>
      <c r="N94" s="297" t="s">
        <v>5719</v>
      </c>
      <c r="O94" s="32" t="s">
        <v>630</v>
      </c>
      <c r="P94" s="390" t="s">
        <v>5860</v>
      </c>
      <c r="Q94" s="588"/>
      <c r="R94" s="38" t="s">
        <v>16</v>
      </c>
      <c r="S94" s="487" t="s">
        <v>5433</v>
      </c>
      <c r="T94" s="46" t="s">
        <v>423</v>
      </c>
      <c r="U94" s="333"/>
      <c r="V94" s="487" t="s">
        <v>5825</v>
      </c>
      <c r="W94" s="500" t="s">
        <v>5864</v>
      </c>
      <c r="X94" s="500" t="s">
        <v>5863</v>
      </c>
      <c r="Y94" s="488" t="s">
        <v>5873</v>
      </c>
    </row>
    <row r="95" spans="1:25" ht="297">
      <c r="A95" s="51">
        <v>89</v>
      </c>
      <c r="B95" s="38" t="s">
        <v>611</v>
      </c>
      <c r="C95" s="298" t="s">
        <v>4495</v>
      </c>
      <c r="D95" s="43" t="s">
        <v>5738</v>
      </c>
      <c r="E95" s="37" t="s">
        <v>5739</v>
      </c>
      <c r="F95" s="38" t="s">
        <v>611</v>
      </c>
      <c r="G95" s="296">
        <v>34</v>
      </c>
      <c r="H95" s="295"/>
      <c r="I95" s="39"/>
      <c r="J95" s="39" t="s">
        <v>5717</v>
      </c>
      <c r="K95" s="500" t="s">
        <v>5970</v>
      </c>
      <c r="L95" s="39" t="s">
        <v>612</v>
      </c>
      <c r="M95" s="38" t="s">
        <v>5718</v>
      </c>
      <c r="N95" s="297" t="s">
        <v>5719</v>
      </c>
      <c r="O95" s="32" t="s">
        <v>630</v>
      </c>
      <c r="P95" s="390" t="s">
        <v>5859</v>
      </c>
      <c r="Q95" s="589"/>
      <c r="R95" s="38" t="s">
        <v>16</v>
      </c>
      <c r="S95" s="487" t="s">
        <v>5433</v>
      </c>
      <c r="T95" s="46" t="s">
        <v>423</v>
      </c>
      <c r="U95" s="333"/>
      <c r="V95" s="487" t="s">
        <v>5825</v>
      </c>
      <c r="W95" s="487" t="s">
        <v>5826</v>
      </c>
      <c r="X95" s="487" t="s">
        <v>5827</v>
      </c>
      <c r="Y95" s="507" t="s">
        <v>5872</v>
      </c>
    </row>
    <row r="96" spans="1:25" ht="115.5">
      <c r="A96" s="51">
        <v>90</v>
      </c>
      <c r="B96" s="38" t="s">
        <v>611</v>
      </c>
      <c r="C96" s="298" t="s">
        <v>4496</v>
      </c>
      <c r="D96" s="43" t="s">
        <v>5740</v>
      </c>
      <c r="E96" s="37" t="s">
        <v>5741</v>
      </c>
      <c r="F96" s="38" t="s">
        <v>611</v>
      </c>
      <c r="G96" s="296">
        <v>34</v>
      </c>
      <c r="H96" s="295"/>
      <c r="I96" s="39"/>
      <c r="J96" s="39" t="s">
        <v>5717</v>
      </c>
      <c r="K96" s="39" t="s">
        <v>5971</v>
      </c>
      <c r="L96" s="39" t="s">
        <v>612</v>
      </c>
      <c r="M96" s="38" t="s">
        <v>5718</v>
      </c>
      <c r="N96" s="297" t="s">
        <v>5719</v>
      </c>
      <c r="O96" s="32" t="s">
        <v>630</v>
      </c>
      <c r="P96" s="390" t="s">
        <v>5742</v>
      </c>
      <c r="Q96" s="590" t="s">
        <v>5743</v>
      </c>
      <c r="R96" s="38" t="s">
        <v>16</v>
      </c>
      <c r="S96" s="487" t="s">
        <v>5433</v>
      </c>
      <c r="T96" s="46" t="s">
        <v>423</v>
      </c>
      <c r="U96" s="333"/>
      <c r="V96" s="487" t="s">
        <v>5825</v>
      </c>
      <c r="W96" s="487" t="s">
        <v>5826</v>
      </c>
      <c r="X96" s="487" t="s">
        <v>5827</v>
      </c>
      <c r="Y96" s="507" t="s">
        <v>5872</v>
      </c>
    </row>
    <row r="97" spans="1:25" ht="132">
      <c r="A97" s="51">
        <v>91</v>
      </c>
      <c r="B97" s="38" t="s">
        <v>611</v>
      </c>
      <c r="C97" s="298" t="s">
        <v>4497</v>
      </c>
      <c r="D97" s="43" t="s">
        <v>5744</v>
      </c>
      <c r="E97" s="37" t="s">
        <v>5745</v>
      </c>
      <c r="F97" s="38" t="s">
        <v>611</v>
      </c>
      <c r="G97" s="296">
        <v>34</v>
      </c>
      <c r="H97" s="295"/>
      <c r="I97" s="39"/>
      <c r="J97" s="39" t="s">
        <v>5717</v>
      </c>
      <c r="K97" s="39" t="s">
        <v>5972</v>
      </c>
      <c r="L97" s="39" t="s">
        <v>612</v>
      </c>
      <c r="M97" s="38" t="s">
        <v>5718</v>
      </c>
      <c r="N97" s="297" t="s">
        <v>5719</v>
      </c>
      <c r="O97" s="32" t="s">
        <v>630</v>
      </c>
      <c r="P97" s="390" t="s">
        <v>5746</v>
      </c>
      <c r="Q97" s="591"/>
      <c r="R97" s="38" t="s">
        <v>16</v>
      </c>
      <c r="S97" s="487" t="s">
        <v>5433</v>
      </c>
      <c r="T97" s="46" t="s">
        <v>423</v>
      </c>
      <c r="U97" s="333"/>
      <c r="V97" s="487" t="s">
        <v>5825</v>
      </c>
      <c r="W97" s="487" t="s">
        <v>5826</v>
      </c>
      <c r="X97" s="487" t="s">
        <v>5827</v>
      </c>
      <c r="Y97" s="507" t="s">
        <v>5872</v>
      </c>
    </row>
    <row r="98" spans="1:25" ht="140.44999999999999" customHeight="1">
      <c r="A98" s="51">
        <v>92</v>
      </c>
      <c r="B98" s="38" t="s">
        <v>611</v>
      </c>
      <c r="C98" s="298" t="s">
        <v>5747</v>
      </c>
      <c r="D98" s="43" t="s">
        <v>5748</v>
      </c>
      <c r="E98" s="37" t="s">
        <v>5749</v>
      </c>
      <c r="F98" s="38" t="s">
        <v>611</v>
      </c>
      <c r="G98" s="296">
        <v>34</v>
      </c>
      <c r="H98" s="295"/>
      <c r="I98" s="39"/>
      <c r="J98" s="39" t="s">
        <v>5717</v>
      </c>
      <c r="K98" s="332" t="s">
        <v>5973</v>
      </c>
      <c r="L98" s="39" t="s">
        <v>612</v>
      </c>
      <c r="M98" s="38" t="s">
        <v>5718</v>
      </c>
      <c r="N98" s="297" t="s">
        <v>5719</v>
      </c>
      <c r="O98" s="32" t="s">
        <v>630</v>
      </c>
      <c r="P98" s="390" t="s">
        <v>5750</v>
      </c>
      <c r="Q98" s="509"/>
      <c r="R98" s="38" t="s">
        <v>16</v>
      </c>
      <c r="S98" s="487" t="s">
        <v>5433</v>
      </c>
      <c r="T98" s="46" t="s">
        <v>423</v>
      </c>
      <c r="U98" s="333"/>
      <c r="V98" s="487" t="s">
        <v>5825</v>
      </c>
      <c r="W98" s="487" t="s">
        <v>5826</v>
      </c>
      <c r="X98" s="487" t="s">
        <v>5827</v>
      </c>
      <c r="Y98" s="507" t="s">
        <v>5872</v>
      </c>
    </row>
    <row r="99" spans="1:25" ht="409.5">
      <c r="A99" s="51">
        <v>93</v>
      </c>
      <c r="B99" s="38" t="s">
        <v>443</v>
      </c>
      <c r="C99" s="298" t="s">
        <v>5751</v>
      </c>
      <c r="D99" s="43" t="s">
        <v>5752</v>
      </c>
      <c r="E99" s="37" t="s">
        <v>5753</v>
      </c>
      <c r="F99" s="38" t="s">
        <v>443</v>
      </c>
      <c r="G99" s="296" t="s">
        <v>5754</v>
      </c>
      <c r="H99" s="295"/>
      <c r="I99" s="346"/>
      <c r="J99" s="39" t="s">
        <v>5755</v>
      </c>
      <c r="K99" s="510" t="s">
        <v>5974</v>
      </c>
      <c r="L99" s="39" t="s">
        <v>613</v>
      </c>
      <c r="M99" s="38" t="s">
        <v>614</v>
      </c>
      <c r="N99" s="39" t="s">
        <v>5756</v>
      </c>
      <c r="O99" s="32" t="s">
        <v>631</v>
      </c>
      <c r="P99" s="390" t="s">
        <v>5866</v>
      </c>
      <c r="Q99" s="511" t="s">
        <v>5757</v>
      </c>
      <c r="R99" s="38" t="s">
        <v>622</v>
      </c>
      <c r="S99" s="38" t="s">
        <v>5758</v>
      </c>
      <c r="T99" s="46" t="s">
        <v>22</v>
      </c>
      <c r="U99" s="333"/>
      <c r="V99" s="487" t="s">
        <v>5867</v>
      </c>
      <c r="W99" s="487" t="s">
        <v>5869</v>
      </c>
      <c r="X99" s="487" t="s">
        <v>5868</v>
      </c>
      <c r="Y99" s="487" t="s">
        <v>5874</v>
      </c>
    </row>
    <row r="100" spans="1:25" ht="115.5">
      <c r="A100" s="51">
        <v>94</v>
      </c>
      <c r="B100" s="329" t="s">
        <v>443</v>
      </c>
      <c r="C100" s="298" t="s">
        <v>4498</v>
      </c>
      <c r="D100" s="355" t="s">
        <v>5759</v>
      </c>
      <c r="E100" s="37" t="s">
        <v>5760</v>
      </c>
      <c r="F100" s="38" t="s">
        <v>443</v>
      </c>
      <c r="G100" s="296" t="s">
        <v>5754</v>
      </c>
      <c r="H100" s="296"/>
      <c r="I100" s="44"/>
      <c r="J100" s="44" t="s">
        <v>5755</v>
      </c>
      <c r="K100" s="44"/>
      <c r="L100" s="39" t="s">
        <v>613</v>
      </c>
      <c r="M100" s="38" t="s">
        <v>614</v>
      </c>
      <c r="N100" s="512" t="s">
        <v>5756</v>
      </c>
      <c r="O100" s="32" t="s">
        <v>631</v>
      </c>
      <c r="P100" s="390" t="s">
        <v>5761</v>
      </c>
      <c r="Q100" s="509"/>
      <c r="R100" s="38" t="s">
        <v>622</v>
      </c>
      <c r="S100" s="38" t="s">
        <v>5762</v>
      </c>
      <c r="T100" s="47" t="s">
        <v>22</v>
      </c>
      <c r="U100" s="333"/>
      <c r="V100" s="487" t="s">
        <v>6731</v>
      </c>
      <c r="W100" s="487" t="s">
        <v>6732</v>
      </c>
      <c r="X100" s="487" t="s">
        <v>6733</v>
      </c>
      <c r="Y100" s="487" t="s">
        <v>6734</v>
      </c>
    </row>
    <row r="101" spans="1:25" ht="409.5">
      <c r="A101" s="51">
        <v>95</v>
      </c>
      <c r="B101" s="329" t="s">
        <v>445</v>
      </c>
      <c r="C101" s="298" t="s">
        <v>5763</v>
      </c>
      <c r="D101" s="355" t="s">
        <v>5764</v>
      </c>
      <c r="E101" s="37" t="s">
        <v>5765</v>
      </c>
      <c r="F101" s="329" t="s">
        <v>445</v>
      </c>
      <c r="G101" s="327">
        <v>35</v>
      </c>
      <c r="H101" s="45"/>
      <c r="I101" s="44"/>
      <c r="J101" s="44" t="s">
        <v>5766</v>
      </c>
      <c r="K101" s="517" t="s">
        <v>5975</v>
      </c>
      <c r="L101" s="44" t="s">
        <v>5767</v>
      </c>
      <c r="M101" s="38">
        <v>77</v>
      </c>
      <c r="N101" s="512" t="s">
        <v>5768</v>
      </c>
      <c r="O101" s="45">
        <v>120</v>
      </c>
      <c r="P101" s="390" t="s">
        <v>5769</v>
      </c>
      <c r="Q101" s="389"/>
      <c r="R101" s="38" t="s">
        <v>622</v>
      </c>
      <c r="S101" s="38" t="s">
        <v>620</v>
      </c>
      <c r="T101" s="47" t="s">
        <v>22</v>
      </c>
      <c r="U101" s="30"/>
      <c r="V101" s="30"/>
      <c r="W101" s="30"/>
      <c r="X101" s="30"/>
      <c r="Y101" s="55"/>
    </row>
    <row r="102" spans="1:25" ht="280.5">
      <c r="A102" s="51">
        <v>96</v>
      </c>
      <c r="B102" s="329" t="s">
        <v>445</v>
      </c>
      <c r="C102" s="298" t="s">
        <v>4499</v>
      </c>
      <c r="D102" s="355" t="s">
        <v>5770</v>
      </c>
      <c r="E102" s="37" t="s">
        <v>5771</v>
      </c>
      <c r="F102" s="329" t="s">
        <v>445</v>
      </c>
      <c r="G102" s="327">
        <v>35</v>
      </c>
      <c r="H102" s="45"/>
      <c r="I102" s="44"/>
      <c r="J102" s="44" t="s">
        <v>5766</v>
      </c>
      <c r="K102" s="517" t="s">
        <v>5976</v>
      </c>
      <c r="L102" s="44" t="s">
        <v>5767</v>
      </c>
      <c r="M102" s="38">
        <v>77</v>
      </c>
      <c r="N102" s="512" t="s">
        <v>5768</v>
      </c>
      <c r="O102" s="45">
        <v>120</v>
      </c>
      <c r="P102" s="390" t="s">
        <v>5772</v>
      </c>
      <c r="Q102" s="389" t="s">
        <v>5773</v>
      </c>
      <c r="R102" s="38" t="s">
        <v>622</v>
      </c>
      <c r="S102" s="38" t="s">
        <v>620</v>
      </c>
      <c r="T102" s="47" t="s">
        <v>22</v>
      </c>
      <c r="U102" s="30"/>
      <c r="V102" s="30"/>
      <c r="W102" s="30"/>
      <c r="X102" s="30"/>
      <c r="Y102" s="55"/>
    </row>
    <row r="103" spans="1:25" ht="132">
      <c r="A103" s="51">
        <v>97</v>
      </c>
      <c r="B103" s="513" t="s">
        <v>445</v>
      </c>
      <c r="C103" s="380" t="s">
        <v>4500</v>
      </c>
      <c r="D103" s="514" t="s">
        <v>5774</v>
      </c>
      <c r="E103" s="515" t="s">
        <v>5775</v>
      </c>
      <c r="F103" s="437" t="s">
        <v>445</v>
      </c>
      <c r="G103" s="453">
        <v>35</v>
      </c>
      <c r="H103" s="454"/>
      <c r="I103" s="455"/>
      <c r="J103" s="455" t="s">
        <v>5766</v>
      </c>
      <c r="K103" s="455"/>
      <c r="L103" s="455" t="s">
        <v>5767</v>
      </c>
      <c r="M103" s="308">
        <v>77</v>
      </c>
      <c r="N103" s="456" t="s">
        <v>5768</v>
      </c>
      <c r="O103" s="454">
        <v>120</v>
      </c>
      <c r="P103" s="391" t="s">
        <v>4501</v>
      </c>
      <c r="Q103" s="516"/>
      <c r="R103" s="308" t="s">
        <v>622</v>
      </c>
      <c r="S103" s="308" t="s">
        <v>620</v>
      </c>
      <c r="T103" s="464" t="s">
        <v>22</v>
      </c>
      <c r="U103" s="465"/>
      <c r="V103" s="308" t="s">
        <v>6736</v>
      </c>
      <c r="W103" s="308" t="s">
        <v>6735</v>
      </c>
      <c r="X103" s="308" t="s">
        <v>4501</v>
      </c>
      <c r="Y103" s="468"/>
    </row>
    <row r="104" spans="1:25" ht="148.5">
      <c r="A104" s="51">
        <v>98</v>
      </c>
      <c r="B104" s="513" t="s">
        <v>445</v>
      </c>
      <c r="C104" s="380" t="s">
        <v>4502</v>
      </c>
      <c r="D104" s="514" t="s">
        <v>5776</v>
      </c>
      <c r="E104" s="515" t="s">
        <v>5777</v>
      </c>
      <c r="F104" s="437" t="s">
        <v>445</v>
      </c>
      <c r="G104" s="453">
        <v>35</v>
      </c>
      <c r="H104" s="454"/>
      <c r="I104" s="455"/>
      <c r="J104" s="455" t="s">
        <v>5766</v>
      </c>
      <c r="K104" s="455"/>
      <c r="L104" s="455" t="s">
        <v>5767</v>
      </c>
      <c r="M104" s="308">
        <v>77</v>
      </c>
      <c r="N104" s="456" t="s">
        <v>5768</v>
      </c>
      <c r="O104" s="454">
        <v>120</v>
      </c>
      <c r="P104" s="391" t="s">
        <v>5778</v>
      </c>
      <c r="Q104" s="516" t="s">
        <v>5838</v>
      </c>
      <c r="R104" s="308" t="s">
        <v>622</v>
      </c>
      <c r="S104" s="308" t="s">
        <v>620</v>
      </c>
      <c r="T104" s="464" t="s">
        <v>22</v>
      </c>
      <c r="U104" s="465"/>
      <c r="V104" s="545" t="s">
        <v>6756</v>
      </c>
      <c r="W104" s="543"/>
      <c r="X104" s="391" t="s">
        <v>6754</v>
      </c>
      <c r="Y104" s="544" t="s">
        <v>6755</v>
      </c>
    </row>
  </sheetData>
  <mergeCells count="26">
    <mergeCell ref="Q90:Q95"/>
    <mergeCell ref="Q96:Q97"/>
    <mergeCell ref="Q68:Q74"/>
    <mergeCell ref="Q81:Q88"/>
    <mergeCell ref="V81:V88"/>
    <mergeCell ref="W81:W88"/>
    <mergeCell ref="X81:X88"/>
    <mergeCell ref="Y81:Y88"/>
    <mergeCell ref="Q7:Q11"/>
    <mergeCell ref="V7:V11"/>
    <mergeCell ref="W7:W11"/>
    <mergeCell ref="X7:X11"/>
    <mergeCell ref="Y7:Y11"/>
    <mergeCell ref="Q20:Q21"/>
    <mergeCell ref="V5:Y5"/>
    <mergeCell ref="B5:B6"/>
    <mergeCell ref="C5:C6"/>
    <mergeCell ref="D5:D6"/>
    <mergeCell ref="E5:E6"/>
    <mergeCell ref="F5:O5"/>
    <mergeCell ref="P5:P6"/>
    <mergeCell ref="Q5:Q6"/>
    <mergeCell ref="R5:R6"/>
    <mergeCell ref="S5:S6"/>
    <mergeCell ref="T5:T6"/>
    <mergeCell ref="U5:U6"/>
  </mergeCells>
  <phoneticPr fontId="15" type="noConversion"/>
  <conditionalFormatting sqref="A4:A104">
    <cfRule type="cellIs" dxfId="333" priority="42" stopIfTrue="1" operator="equal">
      <formula>#REF!=N</formula>
    </cfRule>
  </conditionalFormatting>
  <conditionalFormatting sqref="B4:D5 S4:T5">
    <cfRule type="expression" dxfId="332" priority="41" stopIfTrue="1">
      <formula>#REF!&lt;&gt;"Y"</formula>
    </cfRule>
  </conditionalFormatting>
  <conditionalFormatting sqref="B89:D104">
    <cfRule type="expression" dxfId="331" priority="25" stopIfTrue="1">
      <formula>#REF!&lt;&gt;"Y"</formula>
    </cfRule>
  </conditionalFormatting>
  <conditionalFormatting sqref="B7:I11 B12:C88 G24:I88 E45:E81">
    <cfRule type="expression" dxfId="330" priority="29" stopIfTrue="1">
      <formula>#REF!&lt;&gt;"Y"</formula>
    </cfRule>
  </conditionalFormatting>
  <conditionalFormatting sqref="D12:D23">
    <cfRule type="expression" dxfId="329" priority="35" stopIfTrue="1">
      <formula>#REF!&lt;&gt;"Y"</formula>
    </cfRule>
  </conditionalFormatting>
  <conditionalFormatting sqref="D41:D80">
    <cfRule type="expression" dxfId="328" priority="33" stopIfTrue="1">
      <formula>#REF!&lt;&gt;"Y"</formula>
    </cfRule>
  </conditionalFormatting>
  <conditionalFormatting sqref="E12:E43">
    <cfRule type="expression" dxfId="327" priority="30" stopIfTrue="1">
      <formula>#REF!&lt;&gt;"Y"</formula>
    </cfRule>
  </conditionalFormatting>
  <conditionalFormatting sqref="E83:E104">
    <cfRule type="expression" dxfId="326" priority="26" stopIfTrue="1">
      <formula>#REF!&lt;&gt;"Y"</formula>
    </cfRule>
  </conditionalFormatting>
  <conditionalFormatting sqref="E4:O4 E5:F5">
    <cfRule type="expression" dxfId="325" priority="39" stopIfTrue="1">
      <formula>#REF!&lt;&gt;"Y"</formula>
    </cfRule>
  </conditionalFormatting>
  <conditionalFormatting sqref="F24:F104">
    <cfRule type="expression" dxfId="324" priority="24" stopIfTrue="1">
      <formula>#REF!&lt;&gt;"Y"</formula>
    </cfRule>
  </conditionalFormatting>
  <conditionalFormatting sqref="F12:I23">
    <cfRule type="expression" dxfId="323" priority="34" stopIfTrue="1">
      <formula>#REF!&lt;&gt;"Y"</formula>
    </cfRule>
  </conditionalFormatting>
  <conditionalFormatting sqref="F6:O6">
    <cfRule type="expression" dxfId="322" priority="38" stopIfTrue="1">
      <formula>#REF!&lt;&gt;"Y"</formula>
    </cfRule>
  </conditionalFormatting>
  <conditionalFormatting sqref="G89:G100">
    <cfRule type="expression" dxfId="321" priority="23" stopIfTrue="1">
      <formula>#REF!&lt;&gt;"Y"</formula>
    </cfRule>
  </conditionalFormatting>
  <conditionalFormatting sqref="H99">
    <cfRule type="expression" dxfId="320" priority="32" stopIfTrue="1">
      <formula>#REF!&lt;&gt;"Y"</formula>
    </cfRule>
  </conditionalFormatting>
  <conditionalFormatting sqref="H101:H104">
    <cfRule type="expression" dxfId="319" priority="31" stopIfTrue="1">
      <formula>#REF!&lt;&gt;"Y"</formula>
    </cfRule>
  </conditionalFormatting>
  <conditionalFormatting sqref="H89:I98">
    <cfRule type="expression" dxfId="318" priority="28" stopIfTrue="1">
      <formula>#REF!&lt;&gt;"Y"</formula>
    </cfRule>
  </conditionalFormatting>
  <conditionalFormatting sqref="H100:K104">
    <cfRule type="expression" dxfId="317" priority="1" stopIfTrue="1">
      <formula>#REF!&lt;&gt;"Y"</formula>
    </cfRule>
  </conditionalFormatting>
  <conditionalFormatting sqref="I22:I34">
    <cfRule type="expression" dxfId="316" priority="36" stopIfTrue="1">
      <formula>#REF!&lt;&gt;"Y"</formula>
    </cfRule>
  </conditionalFormatting>
  <conditionalFormatting sqref="I81:I98">
    <cfRule type="expression" dxfId="315" priority="27" stopIfTrue="1">
      <formula>#REF!&lt;&gt;"Y"</formula>
    </cfRule>
  </conditionalFormatting>
  <conditionalFormatting sqref="J90:J99">
    <cfRule type="expression" dxfId="314" priority="8" stopIfTrue="1">
      <formula>#REF!&lt;&gt;"Y"</formula>
    </cfRule>
  </conditionalFormatting>
  <conditionalFormatting sqref="J7:K89">
    <cfRule type="expression" dxfId="313" priority="2" stopIfTrue="1">
      <formula>#REF!&lt;&gt;"Y"</formula>
    </cfRule>
  </conditionalFormatting>
  <conditionalFormatting sqref="K90:K97">
    <cfRule type="expression" dxfId="312" priority="37" stopIfTrue="1">
      <formula>#REF!&lt;&gt;"Y"</formula>
    </cfRule>
  </conditionalFormatting>
  <conditionalFormatting sqref="L81:M98">
    <cfRule type="expression" dxfId="311" priority="14" stopIfTrue="1">
      <formula>#REF!&lt;&gt;"Y"</formula>
    </cfRule>
  </conditionalFormatting>
  <conditionalFormatting sqref="L30:N34">
    <cfRule type="expression" dxfId="310" priority="22" stopIfTrue="1">
      <formula>#REF!&lt;&gt;"Y"</formula>
    </cfRule>
  </conditionalFormatting>
  <conditionalFormatting sqref="L99:N104">
    <cfRule type="expression" dxfId="309" priority="17" stopIfTrue="1">
      <formula>#REF!&lt;&gt;"Y"</formula>
    </cfRule>
  </conditionalFormatting>
  <conditionalFormatting sqref="L7:O80">
    <cfRule type="expression" dxfId="308" priority="20" stopIfTrue="1">
      <formula>#REF!&lt;&gt;"Y"</formula>
    </cfRule>
  </conditionalFormatting>
  <conditionalFormatting sqref="L89:O98">
    <cfRule type="expression" dxfId="307" priority="15" stopIfTrue="1">
      <formula>#REF!&lt;&gt;"Y"</formula>
    </cfRule>
  </conditionalFormatting>
  <conditionalFormatting sqref="N35:N40">
    <cfRule type="expression" dxfId="306" priority="21" stopIfTrue="1">
      <formula>#REF!&lt;&gt;"Y"</formula>
    </cfRule>
  </conditionalFormatting>
  <conditionalFormatting sqref="N75:N88">
    <cfRule type="expression" dxfId="305" priority="16" stopIfTrue="1">
      <formula>#REF!&lt;&gt;"Y"</formula>
    </cfRule>
  </conditionalFormatting>
  <conditionalFormatting sqref="N99:O99">
    <cfRule type="expression" dxfId="304" priority="19" stopIfTrue="1">
      <formula>#REF!&lt;&gt;"Y"</formula>
    </cfRule>
  </conditionalFormatting>
  <conditionalFormatting sqref="N101:O104">
    <cfRule type="expression" dxfId="303" priority="18" stopIfTrue="1">
      <formula>#REF!&lt;&gt;"Y"</formula>
    </cfRule>
  </conditionalFormatting>
  <conditionalFormatting sqref="O31:O100">
    <cfRule type="expression" dxfId="302" priority="13" stopIfTrue="1">
      <formula>#REF!&lt;&gt;"Y"</formula>
    </cfRule>
  </conditionalFormatting>
  <conditionalFormatting sqref="P17">
    <cfRule type="expression" dxfId="301" priority="6" stopIfTrue="1">
      <formula>#REF!&lt;&gt;"Y"</formula>
    </cfRule>
  </conditionalFormatting>
  <conditionalFormatting sqref="R79">
    <cfRule type="expression" dxfId="300" priority="11" stopIfTrue="1">
      <formula>#REF!&lt;&gt;"Y"</formula>
    </cfRule>
  </conditionalFormatting>
  <conditionalFormatting sqref="S7:T104">
    <cfRule type="expression" dxfId="299" priority="9" stopIfTrue="1">
      <formula>#REF!&lt;&gt;"Y"</formula>
    </cfRule>
  </conditionalFormatting>
  <conditionalFormatting sqref="V4:X7 V12:X34">
    <cfRule type="expression" dxfId="298" priority="7" stopIfTrue="1">
      <formula>#REF!&lt;&gt;"Y"</formula>
    </cfRule>
  </conditionalFormatting>
  <conditionalFormatting sqref="V35:Y44 W45:Y45 V80:Y81 V89:Y89 V90:X98 V99:Y103 V104:W104 Y104">
    <cfRule type="expression" dxfId="297" priority="10" stopIfTrue="1">
      <formula>#REF!&lt;&gt;"Y"</formula>
    </cfRule>
  </conditionalFormatting>
  <conditionalFormatting sqref="V46:Y78">
    <cfRule type="expression" dxfId="296" priority="5" stopIfTrue="1">
      <formula>#REF!&lt;&gt;"Y"</formula>
    </cfRule>
  </conditionalFormatting>
  <conditionalFormatting sqref="W79:X79">
    <cfRule type="expression" dxfId="295" priority="40" stopIfTrue="1">
      <formula>#REF!&lt;&gt;"Y"</formula>
    </cfRule>
  </conditionalFormatting>
  <conditionalFormatting sqref="Y30:Y34">
    <cfRule type="expression" dxfId="294" priority="12" stopIfTrue="1">
      <formula>#REF!&lt;&gt;"Y"</formula>
    </cfRule>
  </conditionalFormatting>
  <conditionalFormatting sqref="Y90:Y93">
    <cfRule type="expression" dxfId="293" priority="4" stopIfTrue="1">
      <formula>#REF!&lt;&gt;"Y"</formula>
    </cfRule>
  </conditionalFormatting>
  <conditionalFormatting sqref="Y95:Y98">
    <cfRule type="expression" dxfId="292" priority="3" stopIfTrue="1">
      <formula>#REF!&lt;&gt;"Y"</formula>
    </cfRule>
  </conditionalFormatting>
  <dataValidations disablePrompts="1" count="6">
    <dataValidation type="list" allowBlank="1" showInputMessage="1" showErrorMessage="1" sqref="T1:T1048576">
      <formula1>"상,중,하"</formula1>
    </dataValidation>
    <dataValidation type="list" allowBlank="1" showInputMessage="1" showErrorMessage="1" sqref="F1:F6 F105:F1048576">
      <formula1>"SFR-007, SFR-008, SFR-009, CNR-001, CNR-002, SIR-003, PMR-001"</formula1>
    </dataValidation>
    <dataValidation type="list" allowBlank="1" showInputMessage="1" showErrorMessage="1" sqref="B1:B6 B105:B1048576">
      <formula1>"SFR-007, SFR-008, SFR-009, CNR-001, CNR-002, SIR-003, PMR-001, 기타"</formula1>
    </dataValidation>
    <dataValidation type="list" allowBlank="1" showInputMessage="1" showErrorMessage="1" sqref="R7:R104">
      <formula1>"수용,미수용,보류"</formula1>
    </dataValidation>
    <dataValidation type="list" allowBlank="1" showInputMessage="1" showErrorMessage="1" sqref="V4:X4">
      <formula1>"Y, N"</formula1>
    </dataValidation>
    <dataValidation type="list" allowBlank="1" showInputMessage="1" showErrorMessage="1" sqref="S4">
      <formula1>"미작성,작성중,작성완료,N/A"</formula1>
    </dataValidation>
  </dataValidations>
  <printOptions horizontalCentered="1"/>
  <pageMargins left="0.78740157480314965" right="0.78740157480314965" top="0.78740157480314965" bottom="0.78740157480314965" header="0.39370078740157483" footer="0.39370078740157483"/>
  <pageSetup paperSize="8" scale="41" fitToWidth="0" fitToHeight="0" orientation="landscape" r:id="rId1"/>
  <headerFooter differentFirst="1" alignWithMargins="0">
    <oddFooter>&amp;C&amp;"맑은 고딕,보통"- &amp;P -&amp;R&amp;G</oddFooter>
    <firstFooter>&amp;C-3-</firstFooter>
  </headerFooter>
  <drawing r:id="rId2"/>
  <legacyDrawing r:id="rId3"/>
  <legacyDrawingHF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sheetPr>
  <dimension ref="A1:Y80"/>
  <sheetViews>
    <sheetView zoomScale="70" zoomScaleNormal="70" zoomScaleSheetLayoutView="85" workbookViewId="0">
      <pane xSplit="1" ySplit="6" topLeftCell="B57" activePane="bottomRight" state="frozen"/>
      <selection activeCell="E27" sqref="E27"/>
      <selection pane="topRight" activeCell="E27" sqref="E27"/>
      <selection pane="bottomLeft" activeCell="E27" sqref="E27"/>
      <selection pane="bottomRight" activeCell="E61" sqref="E61"/>
    </sheetView>
  </sheetViews>
  <sheetFormatPr defaultColWidth="9.140625" defaultRowHeight="13.5"/>
  <cols>
    <col min="1" max="1" width="5.42578125" style="5" customWidth="1"/>
    <col min="2" max="2" width="10.85546875" style="13" customWidth="1"/>
    <col min="3" max="3" width="29.85546875" style="13" customWidth="1"/>
    <col min="4" max="4" width="35.7109375" style="60" customWidth="1"/>
    <col min="5" max="5" width="59.140625" style="121" customWidth="1"/>
    <col min="6" max="6" width="12" style="17" customWidth="1"/>
    <col min="7" max="7" width="7.28515625" style="17" bestFit="1" customWidth="1"/>
    <col min="8" max="8" width="21" style="13" bestFit="1" customWidth="1"/>
    <col min="9" max="9" width="6.7109375" style="17" bestFit="1" customWidth="1"/>
    <col min="10" max="10" width="29.42578125" style="17" bestFit="1" customWidth="1"/>
    <col min="11" max="11" width="20.28515625" style="17" customWidth="1"/>
    <col min="12" max="12" width="17.85546875" style="17" customWidth="1"/>
    <col min="13" max="13" width="15.42578125" style="17" customWidth="1"/>
    <col min="14" max="14" width="25.7109375" style="17" customWidth="1"/>
    <col min="15" max="15" width="11.7109375" style="17" customWidth="1"/>
    <col min="16" max="16" width="68.85546875" style="60" customWidth="1"/>
    <col min="17" max="17" width="61.5703125" style="17" customWidth="1"/>
    <col min="18" max="19" width="8.28515625" style="17" customWidth="1"/>
    <col min="20" max="20" width="8.28515625" style="12" customWidth="1"/>
    <col min="21" max="21" width="12.85546875" style="17" customWidth="1"/>
    <col min="22" max="23" width="12.28515625" style="13" customWidth="1"/>
    <col min="24" max="24" width="18.42578125" style="13" bestFit="1" customWidth="1"/>
    <col min="25" max="25" width="22.28515625" style="19" customWidth="1"/>
    <col min="26" max="16384" width="9.140625" style="3"/>
  </cols>
  <sheetData>
    <row r="1" spans="1:25" s="2" customFormat="1" ht="15" customHeight="1">
      <c r="A1" s="6"/>
      <c r="B1" s="6"/>
      <c r="C1" s="63"/>
      <c r="D1" s="1"/>
      <c r="E1" s="64"/>
      <c r="F1" s="65"/>
      <c r="G1" s="65"/>
      <c r="H1" s="66"/>
      <c r="I1" s="65"/>
      <c r="J1" s="65"/>
      <c r="K1" s="65"/>
      <c r="L1" s="65"/>
      <c r="M1" s="65"/>
      <c r="N1" s="65"/>
      <c r="O1" s="65"/>
      <c r="P1" s="67"/>
      <c r="Q1" s="6"/>
      <c r="R1" s="6"/>
      <c r="S1" s="6"/>
      <c r="T1" s="21"/>
      <c r="U1" s="6"/>
      <c r="Y1" s="7" t="str">
        <f>프로젝트명</f>
        <v>LX플랫폼 고도화 사업</v>
      </c>
    </row>
    <row r="2" spans="1:25" s="2" customFormat="1" ht="15" customHeight="1">
      <c r="A2" s="6"/>
      <c r="B2" s="6"/>
      <c r="C2" s="63"/>
      <c r="D2" s="1"/>
      <c r="E2" s="64"/>
      <c r="F2" s="65"/>
      <c r="G2" s="65"/>
      <c r="H2" s="66"/>
      <c r="I2" s="65"/>
      <c r="J2" s="65"/>
      <c r="K2" s="65"/>
      <c r="L2" s="65"/>
      <c r="M2" s="65"/>
      <c r="N2" s="65"/>
      <c r="O2" s="65"/>
      <c r="P2" s="67"/>
      <c r="Q2" s="6"/>
      <c r="R2" s="6"/>
      <c r="S2" s="6"/>
      <c r="T2" s="21"/>
      <c r="U2" s="6"/>
      <c r="Y2" s="7" t="s">
        <v>564</v>
      </c>
    </row>
    <row r="3" spans="1:25" s="2" customFormat="1" ht="8.25" customHeight="1">
      <c r="A3" s="6"/>
      <c r="B3" s="6"/>
      <c r="C3" s="63"/>
      <c r="D3" s="1"/>
      <c r="E3" s="64"/>
      <c r="F3" s="65"/>
      <c r="G3" s="65"/>
      <c r="H3" s="66"/>
      <c r="I3" s="65"/>
      <c r="J3" s="65"/>
      <c r="K3" s="65"/>
      <c r="L3" s="65"/>
      <c r="M3" s="65"/>
      <c r="N3" s="65"/>
      <c r="O3" s="65"/>
      <c r="P3" s="67"/>
      <c r="Q3" s="6"/>
      <c r="R3" s="6"/>
      <c r="S3" s="6"/>
      <c r="T3" s="6"/>
      <c r="U3" s="6"/>
    </row>
    <row r="4" spans="1:25">
      <c r="E4" s="68"/>
      <c r="F4" s="69"/>
      <c r="G4" s="69"/>
      <c r="H4" s="69"/>
      <c r="I4" s="69"/>
      <c r="J4" s="69"/>
      <c r="K4" s="69"/>
      <c r="L4" s="69"/>
      <c r="M4" s="69"/>
      <c r="N4" s="69"/>
      <c r="O4" s="69"/>
      <c r="S4" s="20"/>
      <c r="T4" s="11"/>
    </row>
    <row r="5" spans="1:25" s="17" customFormat="1" ht="46.5" customHeight="1">
      <c r="B5" s="563" t="s">
        <v>13</v>
      </c>
      <c r="C5" s="563" t="s">
        <v>2</v>
      </c>
      <c r="D5" s="563" t="s">
        <v>15</v>
      </c>
      <c r="E5" s="564" t="s">
        <v>21</v>
      </c>
      <c r="F5" s="562" t="s">
        <v>14</v>
      </c>
      <c r="G5" s="562"/>
      <c r="H5" s="562"/>
      <c r="I5" s="562"/>
      <c r="J5" s="562"/>
      <c r="K5" s="562"/>
      <c r="L5" s="562"/>
      <c r="M5" s="562"/>
      <c r="N5" s="562"/>
      <c r="O5" s="562"/>
      <c r="P5" s="563" t="s">
        <v>548</v>
      </c>
      <c r="Q5" s="563" t="s">
        <v>6</v>
      </c>
      <c r="R5" s="563" t="s">
        <v>4</v>
      </c>
      <c r="S5" s="563" t="s">
        <v>18</v>
      </c>
      <c r="T5" s="563" t="s">
        <v>3</v>
      </c>
      <c r="U5" s="563" t="s">
        <v>7</v>
      </c>
      <c r="V5" s="563" t="s">
        <v>19</v>
      </c>
      <c r="W5" s="563"/>
      <c r="X5" s="563"/>
      <c r="Y5" s="563"/>
    </row>
    <row r="6" spans="1:25" s="27" customFormat="1" ht="28.5" customHeight="1">
      <c r="B6" s="563"/>
      <c r="C6" s="563"/>
      <c r="D6" s="563"/>
      <c r="E6" s="564"/>
      <c r="F6" s="28" t="s">
        <v>8</v>
      </c>
      <c r="G6" s="28" t="s">
        <v>11</v>
      </c>
      <c r="H6" s="28" t="s">
        <v>12</v>
      </c>
      <c r="I6" s="29" t="s">
        <v>17</v>
      </c>
      <c r="J6" s="29" t="s">
        <v>1132</v>
      </c>
      <c r="K6" s="29" t="s">
        <v>1133</v>
      </c>
      <c r="L6" s="29" t="s">
        <v>458</v>
      </c>
      <c r="M6" s="29" t="s">
        <v>457</v>
      </c>
      <c r="N6" s="29" t="s">
        <v>20</v>
      </c>
      <c r="O6" s="28" t="s">
        <v>457</v>
      </c>
      <c r="P6" s="563"/>
      <c r="Q6" s="563"/>
      <c r="R6" s="563"/>
      <c r="S6" s="563"/>
      <c r="T6" s="563"/>
      <c r="U6" s="563"/>
      <c r="V6" s="341" t="s">
        <v>1</v>
      </c>
      <c r="W6" s="341" t="s">
        <v>5249</v>
      </c>
      <c r="X6" s="341" t="s">
        <v>5248</v>
      </c>
      <c r="Y6" s="341" t="s">
        <v>9</v>
      </c>
    </row>
    <row r="7" spans="1:25" s="27" customFormat="1" ht="94.5">
      <c r="A7" s="51">
        <v>1</v>
      </c>
      <c r="B7" s="78" t="s">
        <v>565</v>
      </c>
      <c r="C7" s="70" t="s">
        <v>5270</v>
      </c>
      <c r="D7" s="71" t="s">
        <v>494</v>
      </c>
      <c r="E7" s="72" t="s">
        <v>653</v>
      </c>
      <c r="F7" s="73" t="s">
        <v>8</v>
      </c>
      <c r="G7" s="74">
        <v>18</v>
      </c>
      <c r="H7" s="74" t="s">
        <v>841</v>
      </c>
      <c r="I7" s="73"/>
      <c r="J7" s="73" t="s">
        <v>4610</v>
      </c>
      <c r="K7" s="362" t="s">
        <v>5109</v>
      </c>
      <c r="L7" s="73" t="s">
        <v>654</v>
      </c>
      <c r="M7" s="73" t="s">
        <v>655</v>
      </c>
      <c r="N7" s="75" t="s">
        <v>656</v>
      </c>
      <c r="O7" s="76" t="s">
        <v>657</v>
      </c>
      <c r="P7" s="77" t="s">
        <v>658</v>
      </c>
      <c r="Q7" s="599" t="s">
        <v>659</v>
      </c>
      <c r="R7" s="322" t="s">
        <v>841</v>
      </c>
      <c r="S7" s="78" t="s">
        <v>660</v>
      </c>
      <c r="T7" s="79" t="s">
        <v>10</v>
      </c>
      <c r="U7" s="78" t="s">
        <v>4510</v>
      </c>
      <c r="V7" s="39"/>
      <c r="W7" s="39"/>
      <c r="X7" s="39"/>
      <c r="Y7" s="39"/>
    </row>
    <row r="8" spans="1:25" s="23" customFormat="1" ht="82.5">
      <c r="A8" s="51">
        <v>2</v>
      </c>
      <c r="B8" s="78" t="s">
        <v>565</v>
      </c>
      <c r="C8" s="70" t="s">
        <v>5271</v>
      </c>
      <c r="D8" s="71" t="s">
        <v>495</v>
      </c>
      <c r="E8" s="72" t="s">
        <v>661</v>
      </c>
      <c r="F8" s="73" t="s">
        <v>8</v>
      </c>
      <c r="G8" s="74">
        <v>18</v>
      </c>
      <c r="H8" s="74"/>
      <c r="I8" s="73"/>
      <c r="J8" s="73" t="s">
        <v>4610</v>
      </c>
      <c r="K8" s="362" t="s">
        <v>5118</v>
      </c>
      <c r="L8" s="73" t="s">
        <v>654</v>
      </c>
      <c r="M8" s="73" t="s">
        <v>655</v>
      </c>
      <c r="N8" s="75" t="s">
        <v>656</v>
      </c>
      <c r="O8" s="76" t="s">
        <v>657</v>
      </c>
      <c r="P8" s="77" t="s">
        <v>662</v>
      </c>
      <c r="Q8" s="600"/>
      <c r="R8" s="322" t="s">
        <v>841</v>
      </c>
      <c r="S8" s="78" t="s">
        <v>660</v>
      </c>
      <c r="T8" s="79" t="s">
        <v>10</v>
      </c>
      <c r="U8" s="78" t="s">
        <v>4510</v>
      </c>
      <c r="V8" s="39"/>
      <c r="W8" s="39"/>
      <c r="X8" s="39"/>
      <c r="Y8" s="39"/>
    </row>
    <row r="9" spans="1:25" s="23" customFormat="1" ht="82.5">
      <c r="A9" s="51">
        <v>3</v>
      </c>
      <c r="B9" s="78" t="s">
        <v>565</v>
      </c>
      <c r="C9" s="70" t="s">
        <v>5272</v>
      </c>
      <c r="D9" s="71" t="s">
        <v>496</v>
      </c>
      <c r="E9" s="72" t="s">
        <v>4505</v>
      </c>
      <c r="F9" s="73" t="s">
        <v>8</v>
      </c>
      <c r="G9" s="74">
        <v>18</v>
      </c>
      <c r="H9" s="74"/>
      <c r="I9" s="73"/>
      <c r="J9" s="73" t="s">
        <v>4610</v>
      </c>
      <c r="K9" s="362" t="s">
        <v>5119</v>
      </c>
      <c r="L9" s="73" t="s">
        <v>654</v>
      </c>
      <c r="M9" s="73" t="s">
        <v>655</v>
      </c>
      <c r="N9" s="75" t="s">
        <v>656</v>
      </c>
      <c r="O9" s="76" t="s">
        <v>657</v>
      </c>
      <c r="P9" s="77" t="s">
        <v>663</v>
      </c>
      <c r="Q9" s="600"/>
      <c r="R9" s="322" t="s">
        <v>841</v>
      </c>
      <c r="S9" s="78" t="s">
        <v>660</v>
      </c>
      <c r="T9" s="79" t="s">
        <v>10</v>
      </c>
      <c r="U9" s="78" t="s">
        <v>4510</v>
      </c>
      <c r="V9" s="39"/>
      <c r="W9" s="39"/>
      <c r="X9" s="39"/>
      <c r="Y9" s="39"/>
    </row>
    <row r="10" spans="1:25" s="23" customFormat="1" ht="82.5">
      <c r="A10" s="51">
        <v>4</v>
      </c>
      <c r="B10" s="78" t="s">
        <v>565</v>
      </c>
      <c r="C10" s="70" t="s">
        <v>5273</v>
      </c>
      <c r="D10" s="71" t="s">
        <v>497</v>
      </c>
      <c r="E10" s="72" t="s">
        <v>664</v>
      </c>
      <c r="F10" s="73" t="s">
        <v>8</v>
      </c>
      <c r="G10" s="74">
        <v>18</v>
      </c>
      <c r="H10" s="74"/>
      <c r="I10" s="73"/>
      <c r="J10" s="73" t="s">
        <v>4610</v>
      </c>
      <c r="K10" s="362" t="s">
        <v>5120</v>
      </c>
      <c r="L10" s="73" t="s">
        <v>654</v>
      </c>
      <c r="M10" s="73" t="s">
        <v>655</v>
      </c>
      <c r="N10" s="75" t="s">
        <v>656</v>
      </c>
      <c r="O10" s="76" t="s">
        <v>657</v>
      </c>
      <c r="P10" s="77" t="s">
        <v>665</v>
      </c>
      <c r="Q10" s="600"/>
      <c r="R10" s="322" t="s">
        <v>841</v>
      </c>
      <c r="S10" s="78" t="s">
        <v>660</v>
      </c>
      <c r="T10" s="79" t="s">
        <v>10</v>
      </c>
      <c r="U10" s="78" t="s">
        <v>4510</v>
      </c>
      <c r="V10" s="39"/>
      <c r="W10" s="39"/>
      <c r="X10" s="39"/>
      <c r="Y10" s="39"/>
    </row>
    <row r="11" spans="1:25" s="23" customFormat="1" ht="82.5">
      <c r="A11" s="51">
        <v>5</v>
      </c>
      <c r="B11" s="78" t="s">
        <v>565</v>
      </c>
      <c r="C11" s="70" t="s">
        <v>5274</v>
      </c>
      <c r="D11" s="71" t="s">
        <v>566</v>
      </c>
      <c r="E11" s="72" t="s">
        <v>666</v>
      </c>
      <c r="F11" s="73" t="s">
        <v>8</v>
      </c>
      <c r="G11" s="74">
        <v>18</v>
      </c>
      <c r="H11" s="74"/>
      <c r="I11" s="73"/>
      <c r="J11" s="73" t="s">
        <v>4610</v>
      </c>
      <c r="K11" s="362" t="s">
        <v>5121</v>
      </c>
      <c r="L11" s="73" t="s">
        <v>654</v>
      </c>
      <c r="M11" s="73" t="s">
        <v>655</v>
      </c>
      <c r="N11" s="75" t="s">
        <v>656</v>
      </c>
      <c r="O11" s="76" t="s">
        <v>657</v>
      </c>
      <c r="P11" s="77" t="s">
        <v>667</v>
      </c>
      <c r="Q11" s="600"/>
      <c r="R11" s="322" t="s">
        <v>841</v>
      </c>
      <c r="S11" s="78" t="s">
        <v>660</v>
      </c>
      <c r="T11" s="79" t="s">
        <v>10</v>
      </c>
      <c r="U11" s="78" t="s">
        <v>4510</v>
      </c>
      <c r="V11" s="39"/>
      <c r="W11" s="39"/>
      <c r="X11" s="39"/>
      <c r="Y11" s="39"/>
    </row>
    <row r="12" spans="1:25" s="23" customFormat="1" ht="82.5">
      <c r="A12" s="51">
        <v>6</v>
      </c>
      <c r="B12" s="78" t="s">
        <v>565</v>
      </c>
      <c r="C12" s="70" t="s">
        <v>5275</v>
      </c>
      <c r="D12" s="71" t="s">
        <v>498</v>
      </c>
      <c r="E12" s="72" t="s">
        <v>668</v>
      </c>
      <c r="F12" s="73" t="s">
        <v>8</v>
      </c>
      <c r="G12" s="74">
        <v>18</v>
      </c>
      <c r="H12" s="74"/>
      <c r="I12" s="73"/>
      <c r="J12" s="73" t="s">
        <v>4610</v>
      </c>
      <c r="K12" s="362" t="s">
        <v>5122</v>
      </c>
      <c r="L12" s="73" t="s">
        <v>654</v>
      </c>
      <c r="M12" s="73" t="s">
        <v>655</v>
      </c>
      <c r="N12" s="75" t="s">
        <v>656</v>
      </c>
      <c r="O12" s="76" t="s">
        <v>657</v>
      </c>
      <c r="P12" s="80" t="s">
        <v>669</v>
      </c>
      <c r="Q12" s="601"/>
      <c r="R12" s="322" t="s">
        <v>841</v>
      </c>
      <c r="S12" s="78" t="s">
        <v>660</v>
      </c>
      <c r="T12" s="79" t="s">
        <v>10</v>
      </c>
      <c r="U12" s="78" t="s">
        <v>4510</v>
      </c>
      <c r="V12" s="39"/>
      <c r="W12" s="39"/>
      <c r="X12" s="39"/>
      <c r="Y12" s="39"/>
    </row>
    <row r="13" spans="1:25" s="23" customFormat="1" ht="198">
      <c r="A13" s="51">
        <v>7</v>
      </c>
      <c r="B13" s="78" t="s">
        <v>499</v>
      </c>
      <c r="C13" s="70" t="s">
        <v>5276</v>
      </c>
      <c r="D13" s="81" t="s">
        <v>500</v>
      </c>
      <c r="E13" s="72" t="s">
        <v>670</v>
      </c>
      <c r="F13" s="73" t="s">
        <v>8</v>
      </c>
      <c r="G13" s="74">
        <v>19</v>
      </c>
      <c r="H13" s="74"/>
      <c r="I13" s="73"/>
      <c r="J13" s="73" t="s">
        <v>4611</v>
      </c>
      <c r="K13" s="365" t="s">
        <v>5123</v>
      </c>
      <c r="L13" s="73" t="s">
        <v>472</v>
      </c>
      <c r="M13" s="73" t="s">
        <v>473</v>
      </c>
      <c r="N13" s="75" t="s">
        <v>671</v>
      </c>
      <c r="O13" s="76" t="s">
        <v>672</v>
      </c>
      <c r="P13" s="80" t="s">
        <v>673</v>
      </c>
      <c r="Q13" s="323" t="s">
        <v>4511</v>
      </c>
      <c r="R13" s="322" t="s">
        <v>841</v>
      </c>
      <c r="S13" s="78" t="s">
        <v>674</v>
      </c>
      <c r="T13" s="79" t="s">
        <v>10</v>
      </c>
      <c r="U13" s="78" t="s">
        <v>4510</v>
      </c>
      <c r="V13" s="39"/>
      <c r="W13" s="39"/>
      <c r="X13" s="39"/>
      <c r="Y13" s="39"/>
    </row>
    <row r="14" spans="1:25" s="23" customFormat="1" ht="82.5">
      <c r="A14" s="51">
        <v>8</v>
      </c>
      <c r="B14" s="78" t="s">
        <v>499</v>
      </c>
      <c r="C14" s="70" t="s">
        <v>5277</v>
      </c>
      <c r="D14" s="81" t="s">
        <v>501</v>
      </c>
      <c r="E14" s="72" t="s">
        <v>675</v>
      </c>
      <c r="F14" s="73" t="s">
        <v>8</v>
      </c>
      <c r="G14" s="74">
        <v>19</v>
      </c>
      <c r="H14" s="74"/>
      <c r="I14" s="73"/>
      <c r="J14" s="73" t="s">
        <v>4611</v>
      </c>
      <c r="K14" s="366" t="s">
        <v>5124</v>
      </c>
      <c r="L14" s="73" t="s">
        <v>472</v>
      </c>
      <c r="M14" s="73" t="s">
        <v>473</v>
      </c>
      <c r="N14" s="75" t="s">
        <v>671</v>
      </c>
      <c r="O14" s="76" t="s">
        <v>672</v>
      </c>
      <c r="P14" s="80" t="s">
        <v>676</v>
      </c>
      <c r="Q14" s="44"/>
      <c r="R14" s="322" t="s">
        <v>841</v>
      </c>
      <c r="S14" s="78" t="s">
        <v>674</v>
      </c>
      <c r="T14" s="82" t="s">
        <v>677</v>
      </c>
      <c r="U14" s="78" t="s">
        <v>4510</v>
      </c>
      <c r="V14" s="39"/>
      <c r="W14" s="39"/>
      <c r="X14" s="39"/>
      <c r="Y14" s="39"/>
    </row>
    <row r="15" spans="1:25" s="23" customFormat="1" ht="148.5">
      <c r="A15" s="51">
        <v>9</v>
      </c>
      <c r="B15" s="78" t="s">
        <v>499</v>
      </c>
      <c r="C15" s="70" t="s">
        <v>5278</v>
      </c>
      <c r="D15" s="81" t="s">
        <v>502</v>
      </c>
      <c r="E15" s="72" t="s">
        <v>678</v>
      </c>
      <c r="F15" s="73" t="s">
        <v>8</v>
      </c>
      <c r="G15" s="74">
        <v>19</v>
      </c>
      <c r="H15" s="74"/>
      <c r="I15" s="73"/>
      <c r="J15" s="73" t="s">
        <v>4611</v>
      </c>
      <c r="K15" s="367" t="s">
        <v>5125</v>
      </c>
      <c r="L15" s="73" t="s">
        <v>472</v>
      </c>
      <c r="M15" s="73" t="s">
        <v>473</v>
      </c>
      <c r="N15" s="75" t="s">
        <v>671</v>
      </c>
      <c r="O15" s="76" t="s">
        <v>672</v>
      </c>
      <c r="P15" s="80" t="s">
        <v>679</v>
      </c>
      <c r="Q15" s="44" t="s">
        <v>4512</v>
      </c>
      <c r="R15" s="322" t="s">
        <v>841</v>
      </c>
      <c r="S15" s="78" t="s">
        <v>674</v>
      </c>
      <c r="T15" s="79" t="s">
        <v>10</v>
      </c>
      <c r="U15" s="78" t="s">
        <v>4510</v>
      </c>
      <c r="V15" s="39"/>
      <c r="W15" s="39"/>
      <c r="X15" s="39"/>
      <c r="Y15" s="39"/>
    </row>
    <row r="16" spans="1:25" s="23" customFormat="1" ht="99">
      <c r="A16" s="51">
        <v>10</v>
      </c>
      <c r="B16" s="78" t="s">
        <v>499</v>
      </c>
      <c r="C16" s="70" t="s">
        <v>5279</v>
      </c>
      <c r="D16" s="81" t="s">
        <v>680</v>
      </c>
      <c r="E16" s="72" t="s">
        <v>681</v>
      </c>
      <c r="F16" s="73" t="s">
        <v>8</v>
      </c>
      <c r="G16" s="74">
        <v>19</v>
      </c>
      <c r="H16" s="74"/>
      <c r="I16" s="73"/>
      <c r="J16" s="73" t="s">
        <v>4611</v>
      </c>
      <c r="K16" s="366" t="s">
        <v>5126</v>
      </c>
      <c r="L16" s="73" t="s">
        <v>472</v>
      </c>
      <c r="M16" s="73" t="s">
        <v>473</v>
      </c>
      <c r="N16" s="75" t="s">
        <v>671</v>
      </c>
      <c r="O16" s="76" t="s">
        <v>672</v>
      </c>
      <c r="P16" s="80" t="s">
        <v>682</v>
      </c>
      <c r="Q16" s="44" t="s">
        <v>4513</v>
      </c>
      <c r="R16" s="322" t="s">
        <v>841</v>
      </c>
      <c r="S16" s="78" t="s">
        <v>674</v>
      </c>
      <c r="T16" s="79" t="s">
        <v>10</v>
      </c>
      <c r="U16" s="78" t="s">
        <v>4510</v>
      </c>
      <c r="V16" s="39"/>
      <c r="W16" s="39"/>
      <c r="X16" s="39"/>
      <c r="Y16" s="39"/>
    </row>
    <row r="17" spans="1:25" s="23" customFormat="1" ht="214.5">
      <c r="A17" s="51">
        <v>11</v>
      </c>
      <c r="B17" s="78" t="s">
        <v>499</v>
      </c>
      <c r="C17" s="70" t="s">
        <v>5280</v>
      </c>
      <c r="D17" s="83" t="s">
        <v>567</v>
      </c>
      <c r="E17" s="83" t="s">
        <v>568</v>
      </c>
      <c r="F17" s="78" t="s">
        <v>8</v>
      </c>
      <c r="G17" s="84">
        <v>19</v>
      </c>
      <c r="H17" s="84"/>
      <c r="I17" s="78"/>
      <c r="J17" s="73" t="s">
        <v>4611</v>
      </c>
      <c r="K17" s="367" t="s">
        <v>5127</v>
      </c>
      <c r="L17" s="73" t="s">
        <v>472</v>
      </c>
      <c r="M17" s="73" t="s">
        <v>473</v>
      </c>
      <c r="N17" s="75" t="s">
        <v>671</v>
      </c>
      <c r="O17" s="76" t="s">
        <v>672</v>
      </c>
      <c r="P17" s="85" t="s">
        <v>683</v>
      </c>
      <c r="Q17" s="44" t="s">
        <v>4514</v>
      </c>
      <c r="R17" s="322" t="s">
        <v>841</v>
      </c>
      <c r="S17" s="78" t="s">
        <v>674</v>
      </c>
      <c r="T17" s="79" t="s">
        <v>10</v>
      </c>
      <c r="U17" s="78" t="s">
        <v>4510</v>
      </c>
      <c r="V17" s="39"/>
      <c r="W17" s="39"/>
      <c r="X17" s="39"/>
      <c r="Y17" s="39"/>
    </row>
    <row r="18" spans="1:25" s="23" customFormat="1" ht="82.5">
      <c r="A18" s="51">
        <v>12</v>
      </c>
      <c r="B18" s="78" t="s">
        <v>499</v>
      </c>
      <c r="C18" s="70" t="s">
        <v>5281</v>
      </c>
      <c r="D18" s="83" t="s">
        <v>503</v>
      </c>
      <c r="E18" s="72" t="s">
        <v>684</v>
      </c>
      <c r="F18" s="73" t="s">
        <v>8</v>
      </c>
      <c r="G18" s="74">
        <v>19</v>
      </c>
      <c r="H18" s="74"/>
      <c r="I18" s="73"/>
      <c r="J18" s="73" t="s">
        <v>4611</v>
      </c>
      <c r="K18" s="368" t="s">
        <v>5128</v>
      </c>
      <c r="L18" s="73" t="s">
        <v>472</v>
      </c>
      <c r="M18" s="73" t="s">
        <v>473</v>
      </c>
      <c r="N18" s="75" t="s">
        <v>671</v>
      </c>
      <c r="O18" s="76" t="s">
        <v>672</v>
      </c>
      <c r="P18" s="77" t="s">
        <v>685</v>
      </c>
      <c r="Q18" s="44" t="s">
        <v>4515</v>
      </c>
      <c r="R18" s="322" t="s">
        <v>841</v>
      </c>
      <c r="S18" s="78" t="s">
        <v>674</v>
      </c>
      <c r="T18" s="82" t="s">
        <v>677</v>
      </c>
      <c r="U18" s="78" t="s">
        <v>4510</v>
      </c>
      <c r="V18" s="39"/>
      <c r="W18" s="39"/>
      <c r="X18" s="39"/>
      <c r="Y18" s="39"/>
    </row>
    <row r="19" spans="1:25" s="23" customFormat="1" ht="82.5">
      <c r="A19" s="51">
        <v>13</v>
      </c>
      <c r="B19" s="78" t="s">
        <v>499</v>
      </c>
      <c r="C19" s="70" t="s">
        <v>5282</v>
      </c>
      <c r="D19" s="83" t="s">
        <v>504</v>
      </c>
      <c r="E19" s="72" t="s">
        <v>569</v>
      </c>
      <c r="F19" s="73" t="s">
        <v>8</v>
      </c>
      <c r="G19" s="74">
        <v>19</v>
      </c>
      <c r="H19" s="74"/>
      <c r="I19" s="73"/>
      <c r="J19" s="73" t="s">
        <v>4611</v>
      </c>
      <c r="K19" s="369" t="s">
        <v>5129</v>
      </c>
      <c r="L19" s="73" t="s">
        <v>472</v>
      </c>
      <c r="M19" s="73" t="s">
        <v>473</v>
      </c>
      <c r="N19" s="75" t="s">
        <v>671</v>
      </c>
      <c r="O19" s="76" t="s">
        <v>672</v>
      </c>
      <c r="P19" s="77" t="s">
        <v>686</v>
      </c>
      <c r="Q19" s="44"/>
      <c r="R19" s="322" t="s">
        <v>841</v>
      </c>
      <c r="S19" s="78" t="s">
        <v>674</v>
      </c>
      <c r="T19" s="79" t="s">
        <v>10</v>
      </c>
      <c r="U19" s="78" t="s">
        <v>4510</v>
      </c>
      <c r="V19" s="39"/>
      <c r="W19" s="39"/>
      <c r="X19" s="39"/>
      <c r="Y19" s="39"/>
    </row>
    <row r="20" spans="1:25" s="23" customFormat="1" ht="82.5">
      <c r="A20" s="51">
        <v>14</v>
      </c>
      <c r="B20" s="78" t="s">
        <v>499</v>
      </c>
      <c r="C20" s="70" t="s">
        <v>5283</v>
      </c>
      <c r="D20" s="83" t="s">
        <v>505</v>
      </c>
      <c r="E20" s="72" t="s">
        <v>506</v>
      </c>
      <c r="F20" s="73" t="s">
        <v>8</v>
      </c>
      <c r="G20" s="74">
        <v>19</v>
      </c>
      <c r="H20" s="74"/>
      <c r="I20" s="73"/>
      <c r="J20" s="73" t="s">
        <v>4611</v>
      </c>
      <c r="K20" s="366" t="s">
        <v>5130</v>
      </c>
      <c r="L20" s="73" t="s">
        <v>472</v>
      </c>
      <c r="M20" s="73" t="s">
        <v>473</v>
      </c>
      <c r="N20" s="75" t="s">
        <v>671</v>
      </c>
      <c r="O20" s="76" t="s">
        <v>672</v>
      </c>
      <c r="P20" s="77" t="s">
        <v>4509</v>
      </c>
      <c r="Q20" s="44" t="s">
        <v>4516</v>
      </c>
      <c r="R20" s="322" t="s">
        <v>841</v>
      </c>
      <c r="S20" s="78" t="s">
        <v>674</v>
      </c>
      <c r="T20" s="79" t="s">
        <v>10</v>
      </c>
      <c r="U20" s="78" t="s">
        <v>4510</v>
      </c>
      <c r="V20" s="39"/>
      <c r="W20" s="39"/>
      <c r="X20" s="39"/>
      <c r="Y20" s="39"/>
    </row>
    <row r="21" spans="1:25" s="23" customFormat="1" ht="82.5">
      <c r="A21" s="51">
        <v>15</v>
      </c>
      <c r="B21" s="78" t="s">
        <v>499</v>
      </c>
      <c r="C21" s="70" t="s">
        <v>5284</v>
      </c>
      <c r="D21" s="83" t="s">
        <v>507</v>
      </c>
      <c r="E21" s="72" t="s">
        <v>508</v>
      </c>
      <c r="F21" s="73" t="s">
        <v>8</v>
      </c>
      <c r="G21" s="74">
        <v>19</v>
      </c>
      <c r="H21" s="74"/>
      <c r="I21" s="73"/>
      <c r="J21" s="73" t="s">
        <v>4611</v>
      </c>
      <c r="K21" s="370" t="s">
        <v>5131</v>
      </c>
      <c r="L21" s="73" t="s">
        <v>472</v>
      </c>
      <c r="M21" s="73" t="s">
        <v>473</v>
      </c>
      <c r="N21" s="75" t="s">
        <v>671</v>
      </c>
      <c r="O21" s="76" t="s">
        <v>672</v>
      </c>
      <c r="P21" s="86" t="s">
        <v>687</v>
      </c>
      <c r="Q21" s="44" t="s">
        <v>5285</v>
      </c>
      <c r="R21" s="322" t="s">
        <v>841</v>
      </c>
      <c r="S21" s="78" t="s">
        <v>674</v>
      </c>
      <c r="T21" s="79" t="s">
        <v>10</v>
      </c>
      <c r="U21" s="78" t="s">
        <v>4510</v>
      </c>
      <c r="V21" s="39"/>
      <c r="W21" s="39"/>
      <c r="X21" s="39"/>
      <c r="Y21" s="39"/>
    </row>
    <row r="22" spans="1:25" s="23" customFormat="1" ht="82.5">
      <c r="A22" s="51">
        <v>16</v>
      </c>
      <c r="B22" s="78" t="s">
        <v>499</v>
      </c>
      <c r="C22" s="70" t="s">
        <v>5286</v>
      </c>
      <c r="D22" s="83" t="s">
        <v>509</v>
      </c>
      <c r="E22" s="72" t="s">
        <v>510</v>
      </c>
      <c r="F22" s="73" t="s">
        <v>8</v>
      </c>
      <c r="G22" s="74">
        <v>19</v>
      </c>
      <c r="H22" s="74"/>
      <c r="I22" s="73"/>
      <c r="J22" s="73" t="s">
        <v>4611</v>
      </c>
      <c r="K22" s="366" t="s">
        <v>5132</v>
      </c>
      <c r="L22" s="73" t="s">
        <v>472</v>
      </c>
      <c r="M22" s="73" t="s">
        <v>473</v>
      </c>
      <c r="N22" s="75" t="s">
        <v>671</v>
      </c>
      <c r="O22" s="76" t="s">
        <v>672</v>
      </c>
      <c r="P22" s="77" t="s">
        <v>688</v>
      </c>
      <c r="Q22" s="44" t="s">
        <v>4517</v>
      </c>
      <c r="R22" s="322" t="s">
        <v>841</v>
      </c>
      <c r="S22" s="78" t="s">
        <v>674</v>
      </c>
      <c r="T22" s="79" t="s">
        <v>677</v>
      </c>
      <c r="U22" s="78" t="s">
        <v>4510</v>
      </c>
      <c r="V22" s="39"/>
      <c r="W22" s="39"/>
      <c r="X22" s="39"/>
      <c r="Y22" s="39"/>
    </row>
    <row r="23" spans="1:25" s="23" customFormat="1" ht="82.5">
      <c r="A23" s="51">
        <v>17</v>
      </c>
      <c r="B23" s="78" t="s">
        <v>499</v>
      </c>
      <c r="C23" s="70" t="s">
        <v>5287</v>
      </c>
      <c r="D23" s="83" t="s">
        <v>511</v>
      </c>
      <c r="E23" s="81" t="s">
        <v>512</v>
      </c>
      <c r="F23" s="73" t="s">
        <v>8</v>
      </c>
      <c r="G23" s="74">
        <v>19</v>
      </c>
      <c r="H23" s="74"/>
      <c r="I23" s="73"/>
      <c r="J23" s="73" t="s">
        <v>4611</v>
      </c>
      <c r="K23" s="367" t="s">
        <v>5133</v>
      </c>
      <c r="L23" s="73" t="s">
        <v>472</v>
      </c>
      <c r="M23" s="73" t="s">
        <v>473</v>
      </c>
      <c r="N23" s="75" t="s">
        <v>671</v>
      </c>
      <c r="O23" s="76" t="s">
        <v>672</v>
      </c>
      <c r="P23" s="86" t="s">
        <v>689</v>
      </c>
      <c r="Q23" s="44" t="s">
        <v>4518</v>
      </c>
      <c r="R23" s="322" t="s">
        <v>841</v>
      </c>
      <c r="S23" s="78" t="s">
        <v>674</v>
      </c>
      <c r="T23" s="79" t="s">
        <v>677</v>
      </c>
      <c r="U23" s="78" t="s">
        <v>4510</v>
      </c>
      <c r="V23" s="39"/>
      <c r="W23" s="39"/>
      <c r="X23" s="39"/>
      <c r="Y23" s="39"/>
    </row>
    <row r="24" spans="1:25" s="23" customFormat="1" ht="82.5">
      <c r="A24" s="51">
        <v>18</v>
      </c>
      <c r="B24" s="78" t="s">
        <v>499</v>
      </c>
      <c r="C24" s="70" t="s">
        <v>5288</v>
      </c>
      <c r="D24" s="83" t="s">
        <v>4506</v>
      </c>
      <c r="E24" s="81" t="s">
        <v>513</v>
      </c>
      <c r="F24" s="73" t="s">
        <v>8</v>
      </c>
      <c r="G24" s="74">
        <v>19</v>
      </c>
      <c r="H24" s="74"/>
      <c r="I24" s="73"/>
      <c r="J24" s="73" t="s">
        <v>4611</v>
      </c>
      <c r="K24" s="367" t="s">
        <v>5134</v>
      </c>
      <c r="L24" s="73" t="s">
        <v>472</v>
      </c>
      <c r="M24" s="73" t="s">
        <v>473</v>
      </c>
      <c r="N24" s="75" t="s">
        <v>671</v>
      </c>
      <c r="O24" s="76" t="s">
        <v>672</v>
      </c>
      <c r="P24" s="86" t="s">
        <v>690</v>
      </c>
      <c r="Q24" s="44" t="s">
        <v>4519</v>
      </c>
      <c r="R24" s="322" t="s">
        <v>841</v>
      </c>
      <c r="S24" s="78" t="s">
        <v>674</v>
      </c>
      <c r="T24" s="79" t="s">
        <v>677</v>
      </c>
      <c r="U24" s="78" t="s">
        <v>4510</v>
      </c>
      <c r="V24" s="39"/>
      <c r="W24" s="39"/>
      <c r="X24" s="39"/>
      <c r="Y24" s="39"/>
    </row>
    <row r="25" spans="1:25" s="23" customFormat="1" ht="99">
      <c r="A25" s="51">
        <v>19</v>
      </c>
      <c r="B25" s="78" t="s">
        <v>499</v>
      </c>
      <c r="C25" s="70" t="s">
        <v>5289</v>
      </c>
      <c r="D25" s="83" t="s">
        <v>514</v>
      </c>
      <c r="E25" s="81" t="s">
        <v>515</v>
      </c>
      <c r="F25" s="73" t="s">
        <v>8</v>
      </c>
      <c r="G25" s="74">
        <v>19</v>
      </c>
      <c r="H25" s="74"/>
      <c r="I25" s="73"/>
      <c r="J25" s="73" t="s">
        <v>4611</v>
      </c>
      <c r="K25" s="366" t="s">
        <v>5135</v>
      </c>
      <c r="L25" s="73" t="s">
        <v>472</v>
      </c>
      <c r="M25" s="73" t="s">
        <v>473</v>
      </c>
      <c r="N25" s="75" t="s">
        <v>671</v>
      </c>
      <c r="O25" s="76" t="s">
        <v>672</v>
      </c>
      <c r="P25" s="86" t="s">
        <v>691</v>
      </c>
      <c r="Q25" s="324" t="s">
        <v>5290</v>
      </c>
      <c r="R25" s="322" t="s">
        <v>841</v>
      </c>
      <c r="S25" s="78" t="s">
        <v>674</v>
      </c>
      <c r="T25" s="79" t="s">
        <v>10</v>
      </c>
      <c r="U25" s="78" t="s">
        <v>4510</v>
      </c>
      <c r="V25" s="39"/>
      <c r="W25" s="39"/>
      <c r="X25" s="39"/>
      <c r="Y25" s="39"/>
    </row>
    <row r="26" spans="1:25" s="23" customFormat="1" ht="121.5">
      <c r="A26" s="51">
        <v>20</v>
      </c>
      <c r="B26" s="78" t="s">
        <v>499</v>
      </c>
      <c r="C26" s="70" t="s">
        <v>5291</v>
      </c>
      <c r="D26" s="71" t="s">
        <v>516</v>
      </c>
      <c r="E26" s="72" t="s">
        <v>517</v>
      </c>
      <c r="F26" s="73" t="s">
        <v>8</v>
      </c>
      <c r="G26" s="74">
        <v>19</v>
      </c>
      <c r="H26" s="74"/>
      <c r="I26" s="73"/>
      <c r="J26" s="73" t="s">
        <v>4611</v>
      </c>
      <c r="K26" s="366" t="s">
        <v>5136</v>
      </c>
      <c r="L26" s="73" t="s">
        <v>472</v>
      </c>
      <c r="M26" s="73" t="s">
        <v>473</v>
      </c>
      <c r="N26" s="75" t="s">
        <v>671</v>
      </c>
      <c r="O26" s="76" t="s">
        <v>672</v>
      </c>
      <c r="P26" s="86" t="s">
        <v>692</v>
      </c>
      <c r="Q26" s="44" t="s">
        <v>4520</v>
      </c>
      <c r="R26" s="322" t="s">
        <v>841</v>
      </c>
      <c r="S26" s="78" t="s">
        <v>674</v>
      </c>
      <c r="T26" s="79" t="s">
        <v>677</v>
      </c>
      <c r="U26" s="78" t="s">
        <v>4510</v>
      </c>
      <c r="V26" s="39"/>
      <c r="W26" s="39"/>
      <c r="X26" s="39"/>
      <c r="Y26" s="39"/>
    </row>
    <row r="27" spans="1:25" s="23" customFormat="1" ht="121.5">
      <c r="A27" s="51">
        <v>21</v>
      </c>
      <c r="B27" s="78" t="s">
        <v>499</v>
      </c>
      <c r="C27" s="70" t="s">
        <v>5292</v>
      </c>
      <c r="D27" s="71" t="s">
        <v>570</v>
      </c>
      <c r="E27" s="72" t="s">
        <v>518</v>
      </c>
      <c r="F27" s="73" t="s">
        <v>693</v>
      </c>
      <c r="G27" s="74">
        <v>19</v>
      </c>
      <c r="H27" s="74"/>
      <c r="I27" s="73"/>
      <c r="J27" s="73" t="s">
        <v>4611</v>
      </c>
      <c r="K27" s="366" t="s">
        <v>5137</v>
      </c>
      <c r="L27" s="73" t="s">
        <v>472</v>
      </c>
      <c r="M27" s="73" t="s">
        <v>473</v>
      </c>
      <c r="N27" s="75" t="s">
        <v>671</v>
      </c>
      <c r="O27" s="76" t="s">
        <v>672</v>
      </c>
      <c r="P27" s="86" t="s">
        <v>694</v>
      </c>
      <c r="Q27" s="44" t="s">
        <v>4521</v>
      </c>
      <c r="R27" s="322" t="s">
        <v>841</v>
      </c>
      <c r="S27" s="78" t="s">
        <v>674</v>
      </c>
      <c r="T27" s="79" t="s">
        <v>677</v>
      </c>
      <c r="U27" s="78" t="s">
        <v>4510</v>
      </c>
      <c r="V27" s="39"/>
      <c r="W27" s="39"/>
      <c r="X27" s="39"/>
      <c r="Y27" s="39"/>
    </row>
    <row r="28" spans="1:25" s="23" customFormat="1" ht="115.5">
      <c r="A28" s="51">
        <v>22</v>
      </c>
      <c r="B28" s="70" t="s">
        <v>695</v>
      </c>
      <c r="C28" s="70" t="s">
        <v>5293</v>
      </c>
      <c r="D28" s="71" t="s">
        <v>696</v>
      </c>
      <c r="E28" s="72" t="s">
        <v>697</v>
      </c>
      <c r="F28" s="73" t="s">
        <v>693</v>
      </c>
      <c r="G28" s="74">
        <v>19</v>
      </c>
      <c r="H28" s="74"/>
      <c r="I28" s="73"/>
      <c r="J28" s="73" t="s">
        <v>4611</v>
      </c>
      <c r="K28" s="371" t="s">
        <v>5138</v>
      </c>
      <c r="L28" s="73" t="s">
        <v>472</v>
      </c>
      <c r="M28" s="73" t="s">
        <v>473</v>
      </c>
      <c r="N28" s="75" t="s">
        <v>671</v>
      </c>
      <c r="O28" s="76" t="s">
        <v>672</v>
      </c>
      <c r="P28" s="86" t="s">
        <v>698</v>
      </c>
      <c r="Q28" s="324" t="s">
        <v>4522</v>
      </c>
      <c r="R28" s="322" t="s">
        <v>841</v>
      </c>
      <c r="S28" s="78" t="s">
        <v>674</v>
      </c>
      <c r="T28" s="87" t="s">
        <v>632</v>
      </c>
      <c r="U28" s="78" t="s">
        <v>4510</v>
      </c>
      <c r="V28" s="39"/>
      <c r="W28" s="39"/>
      <c r="X28" s="39"/>
      <c r="Y28" s="39"/>
    </row>
    <row r="29" spans="1:25" s="23" customFormat="1" ht="83.25" thickBot="1">
      <c r="A29" s="51">
        <v>23</v>
      </c>
      <c r="B29" s="78" t="s">
        <v>546</v>
      </c>
      <c r="C29" s="70" t="s">
        <v>5294</v>
      </c>
      <c r="D29" s="71" t="s">
        <v>699</v>
      </c>
      <c r="E29" s="72" t="s">
        <v>571</v>
      </c>
      <c r="F29" s="73" t="s">
        <v>8</v>
      </c>
      <c r="G29" s="74">
        <v>30</v>
      </c>
      <c r="H29" s="74"/>
      <c r="I29" s="73"/>
      <c r="J29" s="73" t="s">
        <v>4612</v>
      </c>
      <c r="K29" s="74" t="s">
        <v>5139</v>
      </c>
      <c r="L29" s="73" t="s">
        <v>700</v>
      </c>
      <c r="M29" s="73" t="s">
        <v>701</v>
      </c>
      <c r="N29" s="75" t="s">
        <v>702</v>
      </c>
      <c r="O29" s="76" t="s">
        <v>703</v>
      </c>
      <c r="P29" s="81" t="s">
        <v>704</v>
      </c>
      <c r="Q29" s="325"/>
      <c r="R29" s="322" t="s">
        <v>841</v>
      </c>
      <c r="S29" s="78" t="s">
        <v>705</v>
      </c>
      <c r="T29" s="79" t="s">
        <v>10</v>
      </c>
      <c r="U29" s="78" t="s">
        <v>4523</v>
      </c>
      <c r="V29" s="39"/>
      <c r="W29" s="39"/>
      <c r="X29" s="39"/>
      <c r="Y29" s="39"/>
    </row>
    <row r="30" spans="1:25" s="23" customFormat="1" ht="83.25" thickTop="1">
      <c r="A30" s="51">
        <v>24</v>
      </c>
      <c r="B30" s="73" t="s">
        <v>546</v>
      </c>
      <c r="C30" s="89" t="s">
        <v>5295</v>
      </c>
      <c r="D30" s="81" t="s">
        <v>572</v>
      </c>
      <c r="E30" s="72" t="s">
        <v>706</v>
      </c>
      <c r="F30" s="73" t="s">
        <v>8</v>
      </c>
      <c r="G30" s="74">
        <v>30</v>
      </c>
      <c r="H30" s="74"/>
      <c r="I30" s="73"/>
      <c r="J30" s="73" t="s">
        <v>4612</v>
      </c>
      <c r="K30" s="74" t="s">
        <v>5140</v>
      </c>
      <c r="L30" s="73" t="s">
        <v>700</v>
      </c>
      <c r="M30" s="73" t="s">
        <v>701</v>
      </c>
      <c r="N30" s="75" t="s">
        <v>702</v>
      </c>
      <c r="O30" s="76" t="s">
        <v>703</v>
      </c>
      <c r="P30" s="80" t="s">
        <v>707</v>
      </c>
      <c r="Q30" s="326"/>
      <c r="R30" s="322" t="s">
        <v>841</v>
      </c>
      <c r="S30" s="78" t="s">
        <v>705</v>
      </c>
      <c r="T30" s="79" t="s">
        <v>10</v>
      </c>
      <c r="U30" s="78" t="s">
        <v>4523</v>
      </c>
      <c r="V30" s="39"/>
      <c r="W30" s="39"/>
      <c r="X30" s="39"/>
      <c r="Y30" s="39"/>
    </row>
    <row r="31" spans="1:25" s="23" customFormat="1" ht="82.5">
      <c r="A31" s="51">
        <v>25</v>
      </c>
      <c r="B31" s="73" t="s">
        <v>708</v>
      </c>
      <c r="C31" s="89" t="s">
        <v>5296</v>
      </c>
      <c r="D31" s="81" t="s">
        <v>709</v>
      </c>
      <c r="E31" s="81" t="s">
        <v>710</v>
      </c>
      <c r="F31" s="73" t="s">
        <v>693</v>
      </c>
      <c r="G31" s="74">
        <v>30</v>
      </c>
      <c r="H31" s="74"/>
      <c r="I31" s="73"/>
      <c r="J31" s="73" t="s">
        <v>4612</v>
      </c>
      <c r="K31" s="74" t="s">
        <v>5141</v>
      </c>
      <c r="L31" s="73" t="s">
        <v>700</v>
      </c>
      <c r="M31" s="73" t="s">
        <v>701</v>
      </c>
      <c r="N31" s="75" t="s">
        <v>702</v>
      </c>
      <c r="O31" s="76" t="s">
        <v>703</v>
      </c>
      <c r="P31" s="77" t="s">
        <v>711</v>
      </c>
      <c r="Q31" s="90"/>
      <c r="R31" s="322" t="s">
        <v>841</v>
      </c>
      <c r="S31" s="78"/>
      <c r="T31" s="79"/>
      <c r="U31" s="78" t="s">
        <v>4523</v>
      </c>
      <c r="V31" s="39"/>
      <c r="W31" s="39"/>
      <c r="X31" s="39"/>
      <c r="Y31" s="39"/>
    </row>
    <row r="32" spans="1:25" s="23" customFormat="1" ht="99">
      <c r="A32" s="51">
        <v>26</v>
      </c>
      <c r="B32" s="73" t="s">
        <v>708</v>
      </c>
      <c r="C32" s="70" t="s">
        <v>5297</v>
      </c>
      <c r="D32" s="71" t="s">
        <v>519</v>
      </c>
      <c r="E32" s="81" t="s">
        <v>712</v>
      </c>
      <c r="F32" s="73" t="s">
        <v>8</v>
      </c>
      <c r="G32" s="74">
        <v>30</v>
      </c>
      <c r="H32" s="74"/>
      <c r="I32" s="73"/>
      <c r="J32" s="73" t="s">
        <v>4612</v>
      </c>
      <c r="K32" s="372" t="s">
        <v>5142</v>
      </c>
      <c r="L32" s="73" t="s">
        <v>700</v>
      </c>
      <c r="M32" s="73" t="s">
        <v>701</v>
      </c>
      <c r="N32" s="75" t="s">
        <v>702</v>
      </c>
      <c r="O32" s="76" t="s">
        <v>703</v>
      </c>
      <c r="P32" s="77" t="s">
        <v>713</v>
      </c>
      <c r="Q32" s="90" t="s">
        <v>714</v>
      </c>
      <c r="R32" s="322" t="s">
        <v>841</v>
      </c>
      <c r="S32" s="78" t="s">
        <v>705</v>
      </c>
      <c r="T32" s="79" t="s">
        <v>10</v>
      </c>
      <c r="U32" s="78" t="s">
        <v>4523</v>
      </c>
      <c r="V32" s="39"/>
      <c r="W32" s="39"/>
      <c r="X32" s="39"/>
      <c r="Y32" s="39"/>
    </row>
    <row r="33" spans="1:25" s="23" customFormat="1" ht="82.5">
      <c r="A33" s="51">
        <v>27</v>
      </c>
      <c r="B33" s="78" t="s">
        <v>546</v>
      </c>
      <c r="C33" s="70" t="s">
        <v>5298</v>
      </c>
      <c r="D33" s="71" t="s">
        <v>520</v>
      </c>
      <c r="E33" s="72" t="s">
        <v>573</v>
      </c>
      <c r="F33" s="73" t="s">
        <v>8</v>
      </c>
      <c r="G33" s="74">
        <v>30</v>
      </c>
      <c r="H33" s="74"/>
      <c r="I33" s="73"/>
      <c r="J33" s="73" t="s">
        <v>4612</v>
      </c>
      <c r="K33" s="371" t="s">
        <v>5143</v>
      </c>
      <c r="L33" s="73" t="s">
        <v>700</v>
      </c>
      <c r="M33" s="73" t="s">
        <v>701</v>
      </c>
      <c r="N33" s="75" t="s">
        <v>702</v>
      </c>
      <c r="O33" s="76" t="s">
        <v>703</v>
      </c>
      <c r="P33" s="77" t="s">
        <v>715</v>
      </c>
      <c r="Q33" s="90" t="s">
        <v>714</v>
      </c>
      <c r="R33" s="322" t="s">
        <v>841</v>
      </c>
      <c r="S33" s="78" t="s">
        <v>705</v>
      </c>
      <c r="T33" s="79" t="s">
        <v>10</v>
      </c>
      <c r="U33" s="78" t="s">
        <v>4523</v>
      </c>
      <c r="V33" s="39"/>
      <c r="W33" s="39"/>
      <c r="X33" s="39"/>
      <c r="Y33" s="39"/>
    </row>
    <row r="34" spans="1:25" s="23" customFormat="1" ht="82.5">
      <c r="A34" s="51">
        <v>28</v>
      </c>
      <c r="B34" s="78" t="s">
        <v>546</v>
      </c>
      <c r="C34" s="70" t="s">
        <v>5299</v>
      </c>
      <c r="D34" s="71" t="s">
        <v>716</v>
      </c>
      <c r="E34" s="83" t="s">
        <v>717</v>
      </c>
      <c r="F34" s="73" t="s">
        <v>8</v>
      </c>
      <c r="G34" s="74">
        <v>30</v>
      </c>
      <c r="H34" s="74"/>
      <c r="I34" s="73"/>
      <c r="J34" s="73" t="s">
        <v>4612</v>
      </c>
      <c r="K34" s="371" t="s">
        <v>5144</v>
      </c>
      <c r="L34" s="73" t="s">
        <v>700</v>
      </c>
      <c r="M34" s="73" t="s">
        <v>701</v>
      </c>
      <c r="N34" s="75" t="s">
        <v>702</v>
      </c>
      <c r="O34" s="76" t="s">
        <v>703</v>
      </c>
      <c r="P34" s="85" t="s">
        <v>718</v>
      </c>
      <c r="Q34" s="90" t="s">
        <v>714</v>
      </c>
      <c r="R34" s="322" t="s">
        <v>841</v>
      </c>
      <c r="S34" s="78" t="s">
        <v>705</v>
      </c>
      <c r="T34" s="79" t="s">
        <v>10</v>
      </c>
      <c r="U34" s="78" t="s">
        <v>4523</v>
      </c>
      <c r="V34" s="39"/>
      <c r="W34" s="39"/>
      <c r="X34" s="39"/>
      <c r="Y34" s="39"/>
    </row>
    <row r="35" spans="1:25" s="23" customFormat="1" ht="82.5">
      <c r="A35" s="51">
        <v>29</v>
      </c>
      <c r="B35" s="78" t="s">
        <v>546</v>
      </c>
      <c r="C35" s="70" t="s">
        <v>5300</v>
      </c>
      <c r="D35" s="71" t="s">
        <v>574</v>
      </c>
      <c r="E35" s="83" t="s">
        <v>719</v>
      </c>
      <c r="F35" s="73" t="s">
        <v>8</v>
      </c>
      <c r="G35" s="74">
        <v>30</v>
      </c>
      <c r="H35" s="74"/>
      <c r="I35" s="73"/>
      <c r="J35" s="73" t="s">
        <v>4612</v>
      </c>
      <c r="K35" s="371" t="s">
        <v>5145</v>
      </c>
      <c r="L35" s="73" t="s">
        <v>700</v>
      </c>
      <c r="M35" s="73" t="s">
        <v>701</v>
      </c>
      <c r="N35" s="75" t="s">
        <v>702</v>
      </c>
      <c r="O35" s="76" t="s">
        <v>703</v>
      </c>
      <c r="P35" s="85" t="s">
        <v>720</v>
      </c>
      <c r="Q35" s="90" t="s">
        <v>721</v>
      </c>
      <c r="R35" s="322" t="s">
        <v>841</v>
      </c>
      <c r="S35" s="78" t="s">
        <v>705</v>
      </c>
      <c r="T35" s="79" t="s">
        <v>10</v>
      </c>
      <c r="U35" s="78" t="s">
        <v>4523</v>
      </c>
      <c r="V35" s="39"/>
      <c r="W35" s="39"/>
      <c r="X35" s="39"/>
      <c r="Y35" s="39"/>
    </row>
    <row r="36" spans="1:25" s="23" customFormat="1" ht="82.5">
      <c r="A36" s="51">
        <v>30</v>
      </c>
      <c r="B36" s="78" t="s">
        <v>546</v>
      </c>
      <c r="C36" s="70" t="s">
        <v>5301</v>
      </c>
      <c r="D36" s="71" t="s">
        <v>521</v>
      </c>
      <c r="E36" s="83" t="s">
        <v>722</v>
      </c>
      <c r="F36" s="73" t="s">
        <v>8</v>
      </c>
      <c r="G36" s="74">
        <v>30</v>
      </c>
      <c r="H36" s="74"/>
      <c r="I36" s="73"/>
      <c r="J36" s="73" t="s">
        <v>4612</v>
      </c>
      <c r="K36" s="371" t="s">
        <v>5146</v>
      </c>
      <c r="L36" s="73" t="s">
        <v>700</v>
      </c>
      <c r="M36" s="73" t="s">
        <v>701</v>
      </c>
      <c r="N36" s="75" t="s">
        <v>702</v>
      </c>
      <c r="O36" s="76" t="s">
        <v>703</v>
      </c>
      <c r="P36" s="85" t="s">
        <v>723</v>
      </c>
      <c r="Q36" s="38"/>
      <c r="R36" s="322" t="s">
        <v>841</v>
      </c>
      <c r="S36" s="78" t="s">
        <v>705</v>
      </c>
      <c r="T36" s="79" t="s">
        <v>632</v>
      </c>
      <c r="U36" s="78" t="s">
        <v>4523</v>
      </c>
      <c r="V36" s="39"/>
      <c r="W36" s="39"/>
      <c r="X36" s="39"/>
      <c r="Y36" s="39"/>
    </row>
    <row r="37" spans="1:25" s="23" customFormat="1" ht="82.5">
      <c r="A37" s="51">
        <v>31</v>
      </c>
      <c r="B37" s="78" t="s">
        <v>546</v>
      </c>
      <c r="C37" s="70" t="s">
        <v>5302</v>
      </c>
      <c r="D37" s="71" t="s">
        <v>575</v>
      </c>
      <c r="E37" s="83" t="s">
        <v>724</v>
      </c>
      <c r="F37" s="73" t="s">
        <v>8</v>
      </c>
      <c r="G37" s="74">
        <v>30</v>
      </c>
      <c r="H37" s="74"/>
      <c r="I37" s="73"/>
      <c r="J37" s="73" t="s">
        <v>4612</v>
      </c>
      <c r="K37" s="371" t="s">
        <v>5147</v>
      </c>
      <c r="L37" s="73" t="s">
        <v>700</v>
      </c>
      <c r="M37" s="73" t="s">
        <v>701</v>
      </c>
      <c r="N37" s="75" t="s">
        <v>702</v>
      </c>
      <c r="O37" s="76" t="s">
        <v>703</v>
      </c>
      <c r="P37" s="85" t="s">
        <v>725</v>
      </c>
      <c r="Q37" s="38"/>
      <c r="R37" s="322" t="s">
        <v>841</v>
      </c>
      <c r="S37" s="78" t="s">
        <v>705</v>
      </c>
      <c r="T37" s="79" t="s">
        <v>632</v>
      </c>
      <c r="U37" s="78" t="s">
        <v>4523</v>
      </c>
      <c r="V37" s="39"/>
      <c r="W37" s="39"/>
      <c r="X37" s="39"/>
      <c r="Y37" s="39"/>
    </row>
    <row r="38" spans="1:25" s="23" customFormat="1" ht="82.5">
      <c r="A38" s="51">
        <v>32</v>
      </c>
      <c r="B38" s="78" t="s">
        <v>546</v>
      </c>
      <c r="C38" s="70" t="s">
        <v>5303</v>
      </c>
      <c r="D38" s="81" t="s">
        <v>726</v>
      </c>
      <c r="E38" s="72" t="s">
        <v>727</v>
      </c>
      <c r="F38" s="73" t="s">
        <v>8</v>
      </c>
      <c r="G38" s="74">
        <v>30</v>
      </c>
      <c r="H38" s="74"/>
      <c r="I38" s="73"/>
      <c r="J38" s="73" t="s">
        <v>4612</v>
      </c>
      <c r="K38" s="371" t="s">
        <v>5148</v>
      </c>
      <c r="L38" s="73" t="s">
        <v>700</v>
      </c>
      <c r="M38" s="73" t="s">
        <v>701</v>
      </c>
      <c r="N38" s="75" t="s">
        <v>702</v>
      </c>
      <c r="O38" s="76" t="s">
        <v>703</v>
      </c>
      <c r="P38" s="77" t="s">
        <v>728</v>
      </c>
      <c r="Q38" s="38"/>
      <c r="R38" s="322" t="s">
        <v>841</v>
      </c>
      <c r="S38" s="78" t="s">
        <v>705</v>
      </c>
      <c r="T38" s="79" t="s">
        <v>10</v>
      </c>
      <c r="U38" s="78" t="s">
        <v>4523</v>
      </c>
      <c r="V38" s="39"/>
      <c r="W38" s="39"/>
      <c r="X38" s="39"/>
      <c r="Y38" s="39"/>
    </row>
    <row r="39" spans="1:25" s="23" customFormat="1" ht="82.5">
      <c r="A39" s="51">
        <v>33</v>
      </c>
      <c r="B39" s="78" t="s">
        <v>546</v>
      </c>
      <c r="C39" s="70" t="s">
        <v>5304</v>
      </c>
      <c r="D39" s="81" t="s">
        <v>729</v>
      </c>
      <c r="E39" s="72" t="s">
        <v>730</v>
      </c>
      <c r="F39" s="73" t="s">
        <v>8</v>
      </c>
      <c r="G39" s="74">
        <v>30</v>
      </c>
      <c r="H39" s="74"/>
      <c r="I39" s="73"/>
      <c r="J39" s="73" t="s">
        <v>4612</v>
      </c>
      <c r="K39" s="74" t="s">
        <v>5149</v>
      </c>
      <c r="L39" s="73" t="s">
        <v>700</v>
      </c>
      <c r="M39" s="73" t="s">
        <v>701</v>
      </c>
      <c r="N39" s="75" t="s">
        <v>702</v>
      </c>
      <c r="O39" s="76" t="s">
        <v>703</v>
      </c>
      <c r="P39" s="77" t="s">
        <v>731</v>
      </c>
      <c r="Q39" s="38"/>
      <c r="R39" s="322" t="s">
        <v>841</v>
      </c>
      <c r="S39" s="78" t="s">
        <v>705</v>
      </c>
      <c r="T39" s="79" t="s">
        <v>10</v>
      </c>
      <c r="U39" s="78" t="s">
        <v>4523</v>
      </c>
      <c r="V39" s="39"/>
      <c r="W39" s="39"/>
      <c r="X39" s="39"/>
      <c r="Y39" s="39"/>
    </row>
    <row r="40" spans="1:25" ht="82.5">
      <c r="A40" s="51">
        <v>34</v>
      </c>
      <c r="B40" s="78" t="s">
        <v>546</v>
      </c>
      <c r="C40" s="70" t="s">
        <v>5305</v>
      </c>
      <c r="D40" s="71" t="s">
        <v>576</v>
      </c>
      <c r="E40" s="83" t="s">
        <v>732</v>
      </c>
      <c r="F40" s="73" t="s">
        <v>8</v>
      </c>
      <c r="G40" s="74">
        <v>30</v>
      </c>
      <c r="H40" s="74"/>
      <c r="I40" s="73"/>
      <c r="J40" s="73" t="s">
        <v>4612</v>
      </c>
      <c r="K40" s="74" t="s">
        <v>5150</v>
      </c>
      <c r="L40" s="73" t="s">
        <v>700</v>
      </c>
      <c r="M40" s="73" t="s">
        <v>701</v>
      </c>
      <c r="N40" s="75" t="s">
        <v>702</v>
      </c>
      <c r="O40" s="76" t="s">
        <v>703</v>
      </c>
      <c r="P40" s="85" t="s">
        <v>733</v>
      </c>
      <c r="Q40" s="39" t="s">
        <v>734</v>
      </c>
      <c r="R40" s="322" t="s">
        <v>841</v>
      </c>
      <c r="S40" s="78" t="s">
        <v>705</v>
      </c>
      <c r="T40" s="79" t="s">
        <v>632</v>
      </c>
      <c r="U40" s="78" t="s">
        <v>4523</v>
      </c>
      <c r="V40" s="39"/>
      <c r="W40" s="39"/>
      <c r="X40" s="39"/>
      <c r="Y40" s="39"/>
    </row>
    <row r="41" spans="1:25" ht="82.5">
      <c r="A41" s="51">
        <v>35</v>
      </c>
      <c r="B41" s="78" t="s">
        <v>546</v>
      </c>
      <c r="C41" s="70" t="s">
        <v>5306</v>
      </c>
      <c r="D41" s="71" t="s">
        <v>735</v>
      </c>
      <c r="E41" s="83" t="s">
        <v>736</v>
      </c>
      <c r="F41" s="73" t="s">
        <v>8</v>
      </c>
      <c r="G41" s="74">
        <v>30</v>
      </c>
      <c r="H41" s="74"/>
      <c r="I41" s="73"/>
      <c r="J41" s="73" t="s">
        <v>4612</v>
      </c>
      <c r="K41" s="74" t="s">
        <v>5151</v>
      </c>
      <c r="L41" s="73" t="s">
        <v>700</v>
      </c>
      <c r="M41" s="73" t="s">
        <v>701</v>
      </c>
      <c r="N41" s="75" t="s">
        <v>702</v>
      </c>
      <c r="O41" s="76" t="s">
        <v>703</v>
      </c>
      <c r="P41" s="85" t="s">
        <v>737</v>
      </c>
      <c r="Q41" s="44"/>
      <c r="R41" s="322" t="s">
        <v>841</v>
      </c>
      <c r="S41" s="78" t="s">
        <v>705</v>
      </c>
      <c r="T41" s="79" t="s">
        <v>10</v>
      </c>
      <c r="U41" s="78" t="s">
        <v>4523</v>
      </c>
      <c r="V41" s="39"/>
      <c r="W41" s="39"/>
      <c r="X41" s="39"/>
      <c r="Y41" s="39"/>
    </row>
    <row r="42" spans="1:25" ht="82.5">
      <c r="A42" s="51">
        <v>36</v>
      </c>
      <c r="B42" s="78" t="s">
        <v>546</v>
      </c>
      <c r="C42" s="70" t="s">
        <v>5307</v>
      </c>
      <c r="D42" s="71" t="s">
        <v>522</v>
      </c>
      <c r="E42" s="83" t="s">
        <v>738</v>
      </c>
      <c r="F42" s="73" t="s">
        <v>8</v>
      </c>
      <c r="G42" s="74">
        <v>30</v>
      </c>
      <c r="H42" s="74"/>
      <c r="I42" s="73"/>
      <c r="J42" s="73" t="s">
        <v>4612</v>
      </c>
      <c r="K42" s="372" t="s">
        <v>5152</v>
      </c>
      <c r="L42" s="73" t="s">
        <v>700</v>
      </c>
      <c r="M42" s="73" t="s">
        <v>701</v>
      </c>
      <c r="N42" s="75" t="s">
        <v>702</v>
      </c>
      <c r="O42" s="76" t="s">
        <v>703</v>
      </c>
      <c r="P42" s="85" t="s">
        <v>739</v>
      </c>
      <c r="Q42" s="44"/>
      <c r="R42" s="322" t="s">
        <v>841</v>
      </c>
      <c r="S42" s="78" t="s">
        <v>705</v>
      </c>
      <c r="T42" s="79" t="s">
        <v>10</v>
      </c>
      <c r="U42" s="78" t="s">
        <v>4523</v>
      </c>
      <c r="V42" s="43"/>
      <c r="W42" s="43"/>
      <c r="X42" s="43"/>
      <c r="Y42" s="54"/>
    </row>
    <row r="43" spans="1:25" ht="82.5">
      <c r="A43" s="51">
        <v>37</v>
      </c>
      <c r="B43" s="78" t="s">
        <v>546</v>
      </c>
      <c r="C43" s="70" t="s">
        <v>5308</v>
      </c>
      <c r="D43" s="71" t="s">
        <v>577</v>
      </c>
      <c r="E43" s="83" t="s">
        <v>740</v>
      </c>
      <c r="F43" s="73" t="s">
        <v>8</v>
      </c>
      <c r="G43" s="74">
        <v>30</v>
      </c>
      <c r="H43" s="74"/>
      <c r="I43" s="73"/>
      <c r="J43" s="73" t="s">
        <v>4612</v>
      </c>
      <c r="K43" s="371" t="s">
        <v>5153</v>
      </c>
      <c r="L43" s="73" t="s">
        <v>700</v>
      </c>
      <c r="M43" s="73" t="s">
        <v>701</v>
      </c>
      <c r="N43" s="75" t="s">
        <v>702</v>
      </c>
      <c r="O43" s="76" t="s">
        <v>703</v>
      </c>
      <c r="P43" s="85" t="s">
        <v>741</v>
      </c>
      <c r="Q43" s="44"/>
      <c r="R43" s="322" t="s">
        <v>841</v>
      </c>
      <c r="S43" s="78" t="s">
        <v>705</v>
      </c>
      <c r="T43" s="79" t="s">
        <v>10</v>
      </c>
      <c r="U43" s="78" t="s">
        <v>4523</v>
      </c>
      <c r="V43" s="43"/>
      <c r="W43" s="43"/>
      <c r="X43" s="43"/>
      <c r="Y43" s="54"/>
    </row>
    <row r="44" spans="1:25" ht="82.5">
      <c r="A44" s="51">
        <v>38</v>
      </c>
      <c r="B44" s="78" t="s">
        <v>546</v>
      </c>
      <c r="C44" s="70" t="s">
        <v>5309</v>
      </c>
      <c r="D44" s="71" t="s">
        <v>578</v>
      </c>
      <c r="E44" s="83" t="s">
        <v>742</v>
      </c>
      <c r="F44" s="73" t="s">
        <v>8</v>
      </c>
      <c r="G44" s="74">
        <v>30</v>
      </c>
      <c r="H44" s="74"/>
      <c r="I44" s="73"/>
      <c r="J44" s="73" t="s">
        <v>4612</v>
      </c>
      <c r="K44" s="373" t="s">
        <v>5154</v>
      </c>
      <c r="L44" s="73" t="s">
        <v>700</v>
      </c>
      <c r="M44" s="73" t="s">
        <v>701</v>
      </c>
      <c r="N44" s="75" t="s">
        <v>702</v>
      </c>
      <c r="O44" s="76" t="s">
        <v>703</v>
      </c>
      <c r="P44" s="85" t="s">
        <v>743</v>
      </c>
      <c r="Q44" s="44"/>
      <c r="R44" s="322" t="s">
        <v>841</v>
      </c>
      <c r="S44" s="78" t="s">
        <v>705</v>
      </c>
      <c r="T44" s="79" t="s">
        <v>10</v>
      </c>
      <c r="U44" s="78" t="s">
        <v>4523</v>
      </c>
      <c r="V44" s="43"/>
      <c r="W44" s="43"/>
      <c r="X44" s="43"/>
      <c r="Y44" s="54"/>
    </row>
    <row r="45" spans="1:25" ht="82.5">
      <c r="A45" s="51">
        <v>39</v>
      </c>
      <c r="B45" s="78" t="s">
        <v>546</v>
      </c>
      <c r="C45" s="70" t="s">
        <v>5310</v>
      </c>
      <c r="D45" s="71" t="s">
        <v>579</v>
      </c>
      <c r="E45" s="83" t="s">
        <v>744</v>
      </c>
      <c r="F45" s="73" t="s">
        <v>8</v>
      </c>
      <c r="G45" s="74">
        <v>30</v>
      </c>
      <c r="H45" s="74"/>
      <c r="I45" s="73"/>
      <c r="J45" s="73" t="s">
        <v>4612</v>
      </c>
      <c r="K45" s="371" t="s">
        <v>5155</v>
      </c>
      <c r="L45" s="73" t="s">
        <v>700</v>
      </c>
      <c r="M45" s="73" t="s">
        <v>701</v>
      </c>
      <c r="N45" s="75" t="s">
        <v>702</v>
      </c>
      <c r="O45" s="76" t="s">
        <v>703</v>
      </c>
      <c r="P45" s="85" t="s">
        <v>745</v>
      </c>
      <c r="Q45" s="44"/>
      <c r="R45" s="322" t="s">
        <v>841</v>
      </c>
      <c r="S45" s="78" t="s">
        <v>705</v>
      </c>
      <c r="T45" s="79" t="s">
        <v>10</v>
      </c>
      <c r="U45" s="78" t="s">
        <v>4523</v>
      </c>
      <c r="V45" s="43"/>
      <c r="W45" s="43"/>
      <c r="X45" s="43"/>
      <c r="Y45" s="54"/>
    </row>
    <row r="46" spans="1:25" ht="82.5">
      <c r="A46" s="51">
        <v>40</v>
      </c>
      <c r="B46" s="78" t="s">
        <v>546</v>
      </c>
      <c r="C46" s="70" t="s">
        <v>5311</v>
      </c>
      <c r="D46" s="71" t="s">
        <v>580</v>
      </c>
      <c r="E46" s="83" t="s">
        <v>746</v>
      </c>
      <c r="F46" s="73" t="s">
        <v>8</v>
      </c>
      <c r="G46" s="74">
        <v>30</v>
      </c>
      <c r="H46" s="74"/>
      <c r="I46" s="73"/>
      <c r="J46" s="73" t="s">
        <v>4612</v>
      </c>
      <c r="K46" s="74" t="s">
        <v>5156</v>
      </c>
      <c r="L46" s="73" t="s">
        <v>700</v>
      </c>
      <c r="M46" s="73" t="s">
        <v>701</v>
      </c>
      <c r="N46" s="75" t="s">
        <v>702</v>
      </c>
      <c r="O46" s="76" t="s">
        <v>703</v>
      </c>
      <c r="P46" s="85" t="s">
        <v>747</v>
      </c>
      <c r="Q46" s="44"/>
      <c r="R46" s="322" t="s">
        <v>841</v>
      </c>
      <c r="S46" s="78" t="s">
        <v>705</v>
      </c>
      <c r="T46" s="79" t="s">
        <v>10</v>
      </c>
      <c r="U46" s="78" t="s">
        <v>4523</v>
      </c>
      <c r="V46" s="43"/>
      <c r="W46" s="43"/>
      <c r="X46" s="43"/>
      <c r="Y46" s="54"/>
    </row>
    <row r="47" spans="1:25" ht="115.5">
      <c r="A47" s="51">
        <v>41</v>
      </c>
      <c r="B47" s="78" t="s">
        <v>546</v>
      </c>
      <c r="C47" s="70" t="s">
        <v>5312</v>
      </c>
      <c r="D47" s="71" t="s">
        <v>581</v>
      </c>
      <c r="E47" s="83" t="s">
        <v>582</v>
      </c>
      <c r="F47" s="73" t="s">
        <v>8</v>
      </c>
      <c r="G47" s="74">
        <v>30</v>
      </c>
      <c r="H47" s="74"/>
      <c r="I47" s="73"/>
      <c r="J47" s="73" t="s">
        <v>4612</v>
      </c>
      <c r="K47" s="74" t="s">
        <v>5157</v>
      </c>
      <c r="L47" s="73" t="s">
        <v>700</v>
      </c>
      <c r="M47" s="73" t="s">
        <v>701</v>
      </c>
      <c r="N47" s="75" t="s">
        <v>702</v>
      </c>
      <c r="O47" s="76" t="s">
        <v>703</v>
      </c>
      <c r="P47" s="85" t="s">
        <v>748</v>
      </c>
      <c r="Q47" s="44"/>
      <c r="R47" s="322" t="s">
        <v>841</v>
      </c>
      <c r="S47" s="78" t="s">
        <v>705</v>
      </c>
      <c r="T47" s="79" t="s">
        <v>10</v>
      </c>
      <c r="U47" s="78" t="s">
        <v>4523</v>
      </c>
      <c r="V47" s="43"/>
      <c r="W47" s="43"/>
      <c r="X47" s="43"/>
      <c r="Y47" s="54"/>
    </row>
    <row r="48" spans="1:25" ht="82.5">
      <c r="A48" s="51">
        <v>42</v>
      </c>
      <c r="B48" s="78" t="s">
        <v>546</v>
      </c>
      <c r="C48" s="70" t="s">
        <v>5313</v>
      </c>
      <c r="D48" s="71" t="s">
        <v>583</v>
      </c>
      <c r="E48" s="83" t="s">
        <v>584</v>
      </c>
      <c r="F48" s="73" t="s">
        <v>8</v>
      </c>
      <c r="G48" s="74">
        <v>30</v>
      </c>
      <c r="H48" s="74"/>
      <c r="I48" s="73"/>
      <c r="J48" s="73" t="s">
        <v>4612</v>
      </c>
      <c r="K48" s="374" t="s">
        <v>5158</v>
      </c>
      <c r="L48" s="73" t="s">
        <v>700</v>
      </c>
      <c r="M48" s="73" t="s">
        <v>701</v>
      </c>
      <c r="N48" s="75" t="s">
        <v>702</v>
      </c>
      <c r="O48" s="76" t="s">
        <v>703</v>
      </c>
      <c r="P48" s="85" t="s">
        <v>749</v>
      </c>
      <c r="Q48" s="44"/>
      <c r="R48" s="322" t="s">
        <v>841</v>
      </c>
      <c r="S48" s="78" t="s">
        <v>705</v>
      </c>
      <c r="T48" s="79" t="s">
        <v>10</v>
      </c>
      <c r="U48" s="78" t="s">
        <v>4523</v>
      </c>
      <c r="V48" s="43"/>
      <c r="W48" s="43"/>
      <c r="X48" s="43"/>
      <c r="Y48" s="54"/>
    </row>
    <row r="49" spans="1:25" ht="82.5">
      <c r="A49" s="51">
        <v>43</v>
      </c>
      <c r="B49" s="78" t="s">
        <v>546</v>
      </c>
      <c r="C49" s="70" t="s">
        <v>5314</v>
      </c>
      <c r="D49" s="71" t="s">
        <v>585</v>
      </c>
      <c r="E49" s="83" t="s">
        <v>750</v>
      </c>
      <c r="F49" s="73" t="s">
        <v>8</v>
      </c>
      <c r="G49" s="74">
        <v>30</v>
      </c>
      <c r="H49" s="74"/>
      <c r="I49" s="73"/>
      <c r="J49" s="73" t="s">
        <v>4612</v>
      </c>
      <c r="K49" s="74" t="s">
        <v>5159</v>
      </c>
      <c r="L49" s="73" t="s">
        <v>700</v>
      </c>
      <c r="M49" s="73" t="s">
        <v>701</v>
      </c>
      <c r="N49" s="75" t="s">
        <v>702</v>
      </c>
      <c r="O49" s="76" t="s">
        <v>703</v>
      </c>
      <c r="P49" s="85" t="s">
        <v>751</v>
      </c>
      <c r="Q49" s="44"/>
      <c r="R49" s="322" t="s">
        <v>841</v>
      </c>
      <c r="S49" s="78" t="s">
        <v>705</v>
      </c>
      <c r="T49" s="79" t="s">
        <v>10</v>
      </c>
      <c r="U49" s="78" t="s">
        <v>4523</v>
      </c>
      <c r="V49" s="43"/>
      <c r="W49" s="43"/>
      <c r="X49" s="43"/>
      <c r="Y49" s="54"/>
    </row>
    <row r="50" spans="1:25" ht="82.5">
      <c r="A50" s="51">
        <v>44</v>
      </c>
      <c r="B50" s="78" t="s">
        <v>546</v>
      </c>
      <c r="C50" s="70" t="s">
        <v>5315</v>
      </c>
      <c r="D50" s="71" t="s">
        <v>586</v>
      </c>
      <c r="E50" s="83" t="s">
        <v>752</v>
      </c>
      <c r="F50" s="73" t="s">
        <v>8</v>
      </c>
      <c r="G50" s="74">
        <v>30</v>
      </c>
      <c r="H50" s="74"/>
      <c r="I50" s="73"/>
      <c r="J50" s="73" t="s">
        <v>4612</v>
      </c>
      <c r="K50" s="74" t="s">
        <v>5160</v>
      </c>
      <c r="L50" s="73" t="s">
        <v>700</v>
      </c>
      <c r="M50" s="73" t="s">
        <v>701</v>
      </c>
      <c r="N50" s="75" t="s">
        <v>702</v>
      </c>
      <c r="O50" s="76" t="s">
        <v>703</v>
      </c>
      <c r="P50" s="85" t="s">
        <v>753</v>
      </c>
      <c r="Q50" s="44"/>
      <c r="R50" s="322" t="s">
        <v>841</v>
      </c>
      <c r="S50" s="78" t="s">
        <v>705</v>
      </c>
      <c r="T50" s="79" t="s">
        <v>10</v>
      </c>
      <c r="U50" s="78" t="s">
        <v>4523</v>
      </c>
      <c r="V50" s="43"/>
      <c r="W50" s="43"/>
      <c r="X50" s="43"/>
      <c r="Y50" s="54"/>
    </row>
    <row r="51" spans="1:25" ht="82.5">
      <c r="A51" s="51">
        <v>45</v>
      </c>
      <c r="B51" s="91" t="s">
        <v>546</v>
      </c>
      <c r="C51" s="70" t="s">
        <v>5316</v>
      </c>
      <c r="D51" s="92" t="s">
        <v>587</v>
      </c>
      <c r="E51" s="93" t="s">
        <v>754</v>
      </c>
      <c r="F51" s="94" t="s">
        <v>8</v>
      </c>
      <c r="G51" s="94">
        <v>30</v>
      </c>
      <c r="H51" s="342"/>
      <c r="I51" s="94"/>
      <c r="J51" s="73" t="s">
        <v>4612</v>
      </c>
      <c r="K51" s="374" t="s">
        <v>5161</v>
      </c>
      <c r="L51" s="73" t="s">
        <v>700</v>
      </c>
      <c r="M51" s="73" t="s">
        <v>701</v>
      </c>
      <c r="N51" s="75" t="s">
        <v>702</v>
      </c>
      <c r="O51" s="76" t="s">
        <v>703</v>
      </c>
      <c r="P51" s="85" t="s">
        <v>755</v>
      </c>
      <c r="Q51" s="44"/>
      <c r="R51" s="322" t="s">
        <v>841</v>
      </c>
      <c r="S51" s="78" t="s">
        <v>705</v>
      </c>
      <c r="T51" s="79" t="s">
        <v>10</v>
      </c>
      <c r="U51" s="78" t="s">
        <v>4523</v>
      </c>
      <c r="V51" s="57"/>
      <c r="W51" s="57"/>
      <c r="X51" s="57"/>
      <c r="Y51" s="58"/>
    </row>
    <row r="52" spans="1:25" ht="82.5">
      <c r="A52" s="51">
        <v>46</v>
      </c>
      <c r="B52" s="91" t="s">
        <v>546</v>
      </c>
      <c r="C52" s="89" t="s">
        <v>5317</v>
      </c>
      <c r="D52" s="92" t="s">
        <v>588</v>
      </c>
      <c r="E52" s="93" t="s">
        <v>589</v>
      </c>
      <c r="F52" s="94" t="s">
        <v>8</v>
      </c>
      <c r="G52" s="94">
        <v>30</v>
      </c>
      <c r="H52" s="342"/>
      <c r="I52" s="94"/>
      <c r="J52" s="73" t="s">
        <v>4612</v>
      </c>
      <c r="K52" s="374" t="s">
        <v>5162</v>
      </c>
      <c r="L52" s="73" t="s">
        <v>700</v>
      </c>
      <c r="M52" s="73" t="s">
        <v>701</v>
      </c>
      <c r="N52" s="75" t="s">
        <v>702</v>
      </c>
      <c r="O52" s="76" t="s">
        <v>703</v>
      </c>
      <c r="P52" s="85" t="s">
        <v>756</v>
      </c>
      <c r="Q52" s="44"/>
      <c r="R52" s="322" t="s">
        <v>841</v>
      </c>
      <c r="S52" s="78" t="s">
        <v>705</v>
      </c>
      <c r="T52" s="79" t="s">
        <v>10</v>
      </c>
      <c r="U52" s="78" t="s">
        <v>4523</v>
      </c>
      <c r="V52" s="57"/>
      <c r="W52" s="57"/>
      <c r="X52" s="57"/>
      <c r="Y52" s="58"/>
    </row>
    <row r="53" spans="1:25" s="23" customFormat="1" ht="66">
      <c r="A53" s="51">
        <v>47</v>
      </c>
      <c r="B53" s="91" t="s">
        <v>546</v>
      </c>
      <c r="C53" s="529" t="s">
        <v>5268</v>
      </c>
      <c r="D53" s="71" t="s">
        <v>635</v>
      </c>
      <c r="E53" s="71" t="s">
        <v>635</v>
      </c>
      <c r="F53" s="78"/>
      <c r="G53" s="84"/>
      <c r="H53" s="84" t="s">
        <v>4584</v>
      </c>
      <c r="I53" s="78" t="s">
        <v>4585</v>
      </c>
      <c r="J53" s="78"/>
      <c r="K53" s="84"/>
      <c r="L53" s="78"/>
      <c r="M53" s="78"/>
      <c r="N53" s="530"/>
      <c r="O53" s="434"/>
      <c r="P53" s="71" t="s">
        <v>635</v>
      </c>
      <c r="Q53" s="441"/>
      <c r="R53" s="322" t="s">
        <v>841</v>
      </c>
      <c r="S53" s="471" t="s">
        <v>5343</v>
      </c>
      <c r="T53" s="79" t="s">
        <v>10</v>
      </c>
      <c r="U53" s="78"/>
      <c r="V53" s="345" t="s">
        <v>5267</v>
      </c>
      <c r="W53" s="346"/>
      <c r="X53" s="346" t="s">
        <v>5257</v>
      </c>
      <c r="Y53" s="312"/>
    </row>
    <row r="54" spans="1:25" ht="66">
      <c r="A54" s="51">
        <v>48</v>
      </c>
      <c r="B54" s="91" t="s">
        <v>546</v>
      </c>
      <c r="C54" s="531" t="s">
        <v>5269</v>
      </c>
      <c r="D54" s="92" t="s">
        <v>639</v>
      </c>
      <c r="E54" s="92" t="s">
        <v>639</v>
      </c>
      <c r="F54" s="107"/>
      <c r="G54" s="107"/>
      <c r="H54" s="91" t="s">
        <v>636</v>
      </c>
      <c r="I54" s="107" t="s">
        <v>4585</v>
      </c>
      <c r="J54" s="78"/>
      <c r="K54" s="107"/>
      <c r="L54" s="107"/>
      <c r="M54" s="107"/>
      <c r="N54" s="107"/>
      <c r="O54" s="107"/>
      <c r="P54" s="92" t="s">
        <v>639</v>
      </c>
      <c r="Q54" s="38"/>
      <c r="R54" s="322" t="s">
        <v>841</v>
      </c>
      <c r="S54" s="471" t="s">
        <v>5343</v>
      </c>
      <c r="T54" s="79" t="s">
        <v>10</v>
      </c>
      <c r="U54" s="78"/>
      <c r="V54" s="345" t="s">
        <v>5267</v>
      </c>
      <c r="W54" s="346"/>
      <c r="X54" s="346" t="s">
        <v>5257</v>
      </c>
      <c r="Y54" s="62"/>
    </row>
    <row r="55" spans="1:25" ht="82.5">
      <c r="A55" s="51">
        <v>49</v>
      </c>
      <c r="B55" s="91" t="s">
        <v>547</v>
      </c>
      <c r="C55" s="91" t="s">
        <v>5318</v>
      </c>
      <c r="D55" s="102" t="s">
        <v>590</v>
      </c>
      <c r="E55" s="103" t="s">
        <v>757</v>
      </c>
      <c r="F55" s="94" t="s">
        <v>8</v>
      </c>
      <c r="G55" s="94">
        <v>31</v>
      </c>
      <c r="H55" s="342"/>
      <c r="I55" s="94"/>
      <c r="J55" s="73" t="s">
        <v>4613</v>
      </c>
      <c r="K55" s="342" t="s">
        <v>5163</v>
      </c>
      <c r="L55" s="73" t="s">
        <v>758</v>
      </c>
      <c r="M55" s="73" t="s">
        <v>759</v>
      </c>
      <c r="N55" s="75" t="s">
        <v>760</v>
      </c>
      <c r="O55" s="76" t="s">
        <v>761</v>
      </c>
      <c r="P55" s="86" t="s">
        <v>762</v>
      </c>
      <c r="Q55" s="56"/>
      <c r="R55" s="322" t="s">
        <v>841</v>
      </c>
      <c r="S55" s="78" t="s">
        <v>763</v>
      </c>
      <c r="T55" s="79" t="s">
        <v>632</v>
      </c>
      <c r="U55" s="78" t="s">
        <v>4510</v>
      </c>
      <c r="V55" s="57"/>
      <c r="W55" s="57"/>
      <c r="X55" s="57"/>
      <c r="Y55" s="58"/>
    </row>
    <row r="56" spans="1:25" ht="82.5">
      <c r="A56" s="51">
        <v>50</v>
      </c>
      <c r="B56" s="91" t="s">
        <v>547</v>
      </c>
      <c r="C56" s="91" t="s">
        <v>5319</v>
      </c>
      <c r="D56" s="102" t="s">
        <v>591</v>
      </c>
      <c r="E56" s="103" t="s">
        <v>764</v>
      </c>
      <c r="F56" s="94" t="s">
        <v>8</v>
      </c>
      <c r="G56" s="94">
        <v>31</v>
      </c>
      <c r="H56" s="342"/>
      <c r="I56" s="94"/>
      <c r="J56" s="73" t="s">
        <v>4613</v>
      </c>
      <c r="K56" s="342" t="s">
        <v>5164</v>
      </c>
      <c r="L56" s="73" t="s">
        <v>758</v>
      </c>
      <c r="M56" s="73" t="s">
        <v>759</v>
      </c>
      <c r="N56" s="75" t="s">
        <v>760</v>
      </c>
      <c r="O56" s="76" t="s">
        <v>761</v>
      </c>
      <c r="P56" s="86" t="s">
        <v>765</v>
      </c>
      <c r="Q56" s="56"/>
      <c r="R56" s="322" t="s">
        <v>841</v>
      </c>
      <c r="S56" s="78" t="s">
        <v>763</v>
      </c>
      <c r="T56" s="79" t="s">
        <v>632</v>
      </c>
      <c r="U56" s="78" t="s">
        <v>4510</v>
      </c>
      <c r="V56" s="57"/>
      <c r="W56" s="57"/>
      <c r="X56" s="57"/>
      <c r="Y56" s="58"/>
    </row>
    <row r="57" spans="1:25" ht="82.5">
      <c r="A57" s="51">
        <v>51</v>
      </c>
      <c r="B57" s="91" t="s">
        <v>547</v>
      </c>
      <c r="C57" s="91" t="s">
        <v>5320</v>
      </c>
      <c r="D57" s="102" t="s">
        <v>766</v>
      </c>
      <c r="E57" s="103" t="s">
        <v>767</v>
      </c>
      <c r="F57" s="104" t="s">
        <v>8</v>
      </c>
      <c r="G57" s="104">
        <v>31</v>
      </c>
      <c r="H57" s="88"/>
      <c r="I57" s="105"/>
      <c r="J57" s="73" t="s">
        <v>4613</v>
      </c>
      <c r="K57" s="348" t="s">
        <v>5165</v>
      </c>
      <c r="L57" s="73" t="s">
        <v>758</v>
      </c>
      <c r="M57" s="73" t="s">
        <v>759</v>
      </c>
      <c r="N57" s="75" t="s">
        <v>760</v>
      </c>
      <c r="O57" s="76" t="s">
        <v>761</v>
      </c>
      <c r="P57" s="86" t="s">
        <v>768</v>
      </c>
      <c r="Q57" s="56"/>
      <c r="R57" s="322" t="s">
        <v>841</v>
      </c>
      <c r="S57" s="78" t="s">
        <v>763</v>
      </c>
      <c r="T57" s="79" t="s">
        <v>22</v>
      </c>
      <c r="U57" s="78" t="s">
        <v>4510</v>
      </c>
      <c r="V57" s="57"/>
      <c r="W57" s="57"/>
      <c r="X57" s="57"/>
      <c r="Y57" s="58"/>
    </row>
    <row r="58" spans="1:25" ht="82.5">
      <c r="A58" s="51">
        <v>52</v>
      </c>
      <c r="B58" s="91" t="s">
        <v>547</v>
      </c>
      <c r="C58" s="91" t="s">
        <v>5321</v>
      </c>
      <c r="D58" s="102" t="s">
        <v>523</v>
      </c>
      <c r="E58" s="103" t="s">
        <v>769</v>
      </c>
      <c r="F58" s="105" t="s">
        <v>8</v>
      </c>
      <c r="G58" s="105">
        <v>31</v>
      </c>
      <c r="H58" s="88"/>
      <c r="I58" s="105"/>
      <c r="J58" s="73" t="s">
        <v>4613</v>
      </c>
      <c r="K58" s="347" t="s">
        <v>4222</v>
      </c>
      <c r="L58" s="73" t="s">
        <v>758</v>
      </c>
      <c r="M58" s="73" t="s">
        <v>759</v>
      </c>
      <c r="N58" s="75" t="s">
        <v>760</v>
      </c>
      <c r="O58" s="76" t="s">
        <v>761</v>
      </c>
      <c r="P58" s="86" t="s">
        <v>770</v>
      </c>
      <c r="Q58" s="56"/>
      <c r="R58" s="322" t="s">
        <v>841</v>
      </c>
      <c r="S58" s="78" t="s">
        <v>763</v>
      </c>
      <c r="T58" s="79" t="s">
        <v>632</v>
      </c>
      <c r="U58" s="78" t="s">
        <v>4510</v>
      </c>
      <c r="V58" s="57"/>
      <c r="W58" s="57"/>
      <c r="X58" s="57"/>
      <c r="Y58" s="58"/>
    </row>
    <row r="59" spans="1:25" ht="82.5">
      <c r="A59" s="51">
        <v>53</v>
      </c>
      <c r="B59" s="91" t="s">
        <v>547</v>
      </c>
      <c r="C59" s="91" t="s">
        <v>5322</v>
      </c>
      <c r="D59" s="102" t="s">
        <v>524</v>
      </c>
      <c r="E59" s="103" t="s">
        <v>771</v>
      </c>
      <c r="F59" s="105" t="s">
        <v>8</v>
      </c>
      <c r="G59" s="105">
        <v>31</v>
      </c>
      <c r="H59" s="88"/>
      <c r="I59" s="105"/>
      <c r="J59" s="73" t="s">
        <v>4613</v>
      </c>
      <c r="K59" s="347" t="s">
        <v>4223</v>
      </c>
      <c r="L59" s="73" t="s">
        <v>758</v>
      </c>
      <c r="M59" s="73" t="s">
        <v>759</v>
      </c>
      <c r="N59" s="75" t="s">
        <v>760</v>
      </c>
      <c r="O59" s="76" t="s">
        <v>761</v>
      </c>
      <c r="P59" s="86" t="s">
        <v>772</v>
      </c>
      <c r="Q59" s="56"/>
      <c r="R59" s="322" t="s">
        <v>841</v>
      </c>
      <c r="S59" s="78" t="s">
        <v>763</v>
      </c>
      <c r="T59" s="79" t="s">
        <v>632</v>
      </c>
      <c r="U59" s="78" t="s">
        <v>4510</v>
      </c>
      <c r="V59" s="57"/>
      <c r="W59" s="57"/>
      <c r="X59" s="57"/>
      <c r="Y59" s="58"/>
    </row>
    <row r="60" spans="1:25" ht="82.5">
      <c r="A60" s="51">
        <v>54</v>
      </c>
      <c r="B60" s="91" t="s">
        <v>547</v>
      </c>
      <c r="C60" s="91" t="s">
        <v>5323</v>
      </c>
      <c r="D60" s="102" t="s">
        <v>5408</v>
      </c>
      <c r="E60" s="103" t="s">
        <v>4507</v>
      </c>
      <c r="F60" s="105" t="s">
        <v>8</v>
      </c>
      <c r="G60" s="105">
        <v>31</v>
      </c>
      <c r="H60" s="88"/>
      <c r="I60" s="105"/>
      <c r="J60" s="73" t="s">
        <v>4613</v>
      </c>
      <c r="K60" s="88" t="s">
        <v>5166</v>
      </c>
      <c r="L60" s="73" t="s">
        <v>758</v>
      </c>
      <c r="M60" s="73" t="s">
        <v>759</v>
      </c>
      <c r="N60" s="75" t="s">
        <v>760</v>
      </c>
      <c r="O60" s="76" t="s">
        <v>761</v>
      </c>
      <c r="P60" s="86" t="s">
        <v>773</v>
      </c>
      <c r="Q60" s="56"/>
      <c r="R60" s="322" t="s">
        <v>841</v>
      </c>
      <c r="S60" s="78" t="s">
        <v>763</v>
      </c>
      <c r="T60" s="79" t="s">
        <v>632</v>
      </c>
      <c r="U60" s="78" t="s">
        <v>4510</v>
      </c>
      <c r="V60" s="57"/>
      <c r="W60" s="57"/>
      <c r="X60" s="57"/>
      <c r="Y60" s="58"/>
    </row>
    <row r="61" spans="1:25" ht="82.5">
      <c r="A61" s="51">
        <v>55</v>
      </c>
      <c r="B61" s="91" t="s">
        <v>547</v>
      </c>
      <c r="C61" s="91" t="s">
        <v>5324</v>
      </c>
      <c r="D61" s="102" t="s">
        <v>5409</v>
      </c>
      <c r="E61" s="103" t="s">
        <v>4508</v>
      </c>
      <c r="F61" s="105" t="s">
        <v>8</v>
      </c>
      <c r="G61" s="105">
        <v>31</v>
      </c>
      <c r="H61" s="88"/>
      <c r="I61" s="105"/>
      <c r="J61" s="73" t="s">
        <v>4613</v>
      </c>
      <c r="K61" s="88" t="s">
        <v>5167</v>
      </c>
      <c r="L61" s="73" t="s">
        <v>758</v>
      </c>
      <c r="M61" s="73" t="s">
        <v>759</v>
      </c>
      <c r="N61" s="75" t="s">
        <v>760</v>
      </c>
      <c r="O61" s="76" t="s">
        <v>761</v>
      </c>
      <c r="P61" s="106" t="s">
        <v>774</v>
      </c>
      <c r="Q61" s="56"/>
      <c r="R61" s="322" t="s">
        <v>841</v>
      </c>
      <c r="S61" s="78" t="s">
        <v>763</v>
      </c>
      <c r="T61" s="79" t="s">
        <v>632</v>
      </c>
      <c r="U61" s="78" t="s">
        <v>4510</v>
      </c>
      <c r="V61" s="57"/>
      <c r="W61" s="57"/>
      <c r="X61" s="57"/>
      <c r="Y61" s="58"/>
    </row>
    <row r="62" spans="1:25" ht="69">
      <c r="A62" s="51">
        <v>56</v>
      </c>
      <c r="B62" s="383" t="s">
        <v>442</v>
      </c>
      <c r="C62" s="383" t="s">
        <v>5325</v>
      </c>
      <c r="D62" s="532" t="s">
        <v>775</v>
      </c>
      <c r="E62" s="533" t="s">
        <v>6753</v>
      </c>
      <c r="F62" s="107" t="s">
        <v>8</v>
      </c>
      <c r="G62" s="107">
        <v>32</v>
      </c>
      <c r="H62" s="91"/>
      <c r="I62" s="107"/>
      <c r="J62" s="73" t="s">
        <v>4614</v>
      </c>
      <c r="K62" s="91" t="s">
        <v>5168</v>
      </c>
      <c r="L62" s="73" t="s">
        <v>777</v>
      </c>
      <c r="M62" s="73" t="s">
        <v>778</v>
      </c>
      <c r="N62" s="75" t="s">
        <v>779</v>
      </c>
      <c r="O62" s="76" t="s">
        <v>780</v>
      </c>
      <c r="P62" s="108" t="s">
        <v>781</v>
      </c>
      <c r="Q62" s="602" t="s">
        <v>592</v>
      </c>
      <c r="R62" s="322" t="s">
        <v>841</v>
      </c>
      <c r="S62" s="78" t="s">
        <v>763</v>
      </c>
      <c r="T62" s="79" t="s">
        <v>632</v>
      </c>
      <c r="U62" s="78" t="s">
        <v>4510</v>
      </c>
      <c r="V62" s="57"/>
      <c r="W62" s="57"/>
      <c r="X62" s="57"/>
      <c r="Y62" s="58"/>
    </row>
    <row r="63" spans="1:25" ht="86.25">
      <c r="A63" s="51">
        <v>57</v>
      </c>
      <c r="B63" s="383" t="s">
        <v>442</v>
      </c>
      <c r="C63" s="383" t="s">
        <v>5326</v>
      </c>
      <c r="D63" s="534" t="s">
        <v>782</v>
      </c>
      <c r="E63" s="535" t="s">
        <v>783</v>
      </c>
      <c r="F63" s="107" t="s">
        <v>8</v>
      </c>
      <c r="G63" s="107">
        <v>32</v>
      </c>
      <c r="H63" s="91"/>
      <c r="I63" s="107"/>
      <c r="J63" s="73" t="s">
        <v>4614</v>
      </c>
      <c r="K63" s="91" t="s">
        <v>5169</v>
      </c>
      <c r="L63" s="73" t="s">
        <v>777</v>
      </c>
      <c r="M63" s="73" t="s">
        <v>778</v>
      </c>
      <c r="N63" s="75" t="s">
        <v>779</v>
      </c>
      <c r="O63" s="76" t="s">
        <v>780</v>
      </c>
      <c r="P63" s="111" t="s">
        <v>784</v>
      </c>
      <c r="Q63" s="603"/>
      <c r="R63" s="322" t="s">
        <v>841</v>
      </c>
      <c r="S63" s="112" t="s">
        <v>785</v>
      </c>
      <c r="T63" s="79" t="s">
        <v>10</v>
      </c>
      <c r="U63" s="78" t="s">
        <v>4510</v>
      </c>
      <c r="V63" s="57"/>
      <c r="W63" s="57"/>
      <c r="X63" s="57"/>
      <c r="Y63" s="58"/>
    </row>
    <row r="64" spans="1:25" ht="66">
      <c r="A64" s="51">
        <v>58</v>
      </c>
      <c r="B64" s="383" t="s">
        <v>442</v>
      </c>
      <c r="C64" s="383" t="s">
        <v>5327</v>
      </c>
      <c r="D64" s="534" t="s">
        <v>786</v>
      </c>
      <c r="E64" s="535" t="s">
        <v>787</v>
      </c>
      <c r="F64" s="107" t="s">
        <v>8</v>
      </c>
      <c r="G64" s="107">
        <v>32</v>
      </c>
      <c r="H64" s="91"/>
      <c r="I64" s="107"/>
      <c r="J64" s="73" t="s">
        <v>4614</v>
      </c>
      <c r="K64" s="91" t="s">
        <v>5170</v>
      </c>
      <c r="L64" s="73" t="s">
        <v>777</v>
      </c>
      <c r="M64" s="73" t="s">
        <v>778</v>
      </c>
      <c r="N64" s="75" t="s">
        <v>779</v>
      </c>
      <c r="O64" s="76" t="s">
        <v>780</v>
      </c>
      <c r="P64" s="111" t="s">
        <v>788</v>
      </c>
      <c r="Q64" s="603"/>
      <c r="R64" s="322" t="s">
        <v>841</v>
      </c>
      <c r="S64" s="112" t="s">
        <v>785</v>
      </c>
      <c r="T64" s="79" t="s">
        <v>10</v>
      </c>
      <c r="U64" s="78" t="s">
        <v>4510</v>
      </c>
      <c r="V64" s="57"/>
      <c r="W64" s="57"/>
      <c r="X64" s="57"/>
      <c r="Y64" s="58"/>
    </row>
    <row r="65" spans="1:25" ht="69">
      <c r="A65" s="51">
        <v>59</v>
      </c>
      <c r="B65" s="383" t="s">
        <v>442</v>
      </c>
      <c r="C65" s="383" t="s">
        <v>5328</v>
      </c>
      <c r="D65" s="534" t="s">
        <v>789</v>
      </c>
      <c r="E65" s="535" t="s">
        <v>790</v>
      </c>
      <c r="F65" s="107" t="s">
        <v>8</v>
      </c>
      <c r="G65" s="107">
        <v>32</v>
      </c>
      <c r="H65" s="91"/>
      <c r="I65" s="107"/>
      <c r="J65" s="73" t="s">
        <v>4614</v>
      </c>
      <c r="K65" s="91" t="s">
        <v>5171</v>
      </c>
      <c r="L65" s="73" t="s">
        <v>777</v>
      </c>
      <c r="M65" s="73" t="s">
        <v>778</v>
      </c>
      <c r="N65" s="75" t="s">
        <v>779</v>
      </c>
      <c r="O65" s="76" t="s">
        <v>780</v>
      </c>
      <c r="P65" s="111" t="s">
        <v>791</v>
      </c>
      <c r="Q65" s="603"/>
      <c r="R65" s="322" t="s">
        <v>841</v>
      </c>
      <c r="S65" s="112" t="s">
        <v>785</v>
      </c>
      <c r="T65" s="79" t="s">
        <v>632</v>
      </c>
      <c r="U65" s="78" t="s">
        <v>4510</v>
      </c>
      <c r="V65" s="57"/>
      <c r="W65" s="57"/>
      <c r="X65" s="57"/>
      <c r="Y65" s="58"/>
    </row>
    <row r="66" spans="1:25" ht="86.25">
      <c r="A66" s="51">
        <v>60</v>
      </c>
      <c r="B66" s="91" t="s">
        <v>442</v>
      </c>
      <c r="C66" s="91" t="s">
        <v>5329</v>
      </c>
      <c r="D66" s="109" t="s">
        <v>792</v>
      </c>
      <c r="E66" s="110" t="s">
        <v>793</v>
      </c>
      <c r="F66" s="107" t="s">
        <v>8</v>
      </c>
      <c r="G66" s="107">
        <v>32</v>
      </c>
      <c r="H66" s="91"/>
      <c r="I66" s="107"/>
      <c r="J66" s="73" t="s">
        <v>4614</v>
      </c>
      <c r="K66" s="91" t="s">
        <v>5172</v>
      </c>
      <c r="L66" s="73" t="s">
        <v>777</v>
      </c>
      <c r="M66" s="73" t="s">
        <v>778</v>
      </c>
      <c r="N66" s="75" t="s">
        <v>779</v>
      </c>
      <c r="O66" s="76" t="s">
        <v>780</v>
      </c>
      <c r="P66" s="111" t="s">
        <v>794</v>
      </c>
      <c r="Q66" s="603"/>
      <c r="R66" s="322" t="s">
        <v>841</v>
      </c>
      <c r="S66" s="113" t="s">
        <v>785</v>
      </c>
      <c r="T66" s="79" t="s">
        <v>10</v>
      </c>
      <c r="U66" s="78" t="s">
        <v>4510</v>
      </c>
      <c r="V66" s="57"/>
      <c r="W66" s="57"/>
      <c r="X66" s="57"/>
      <c r="Y66" s="58"/>
    </row>
    <row r="67" spans="1:25" ht="69">
      <c r="A67" s="51">
        <v>61</v>
      </c>
      <c r="B67" s="91" t="s">
        <v>442</v>
      </c>
      <c r="C67" s="91" t="s">
        <v>5330</v>
      </c>
      <c r="D67" s="109" t="s">
        <v>795</v>
      </c>
      <c r="E67" s="110" t="s">
        <v>796</v>
      </c>
      <c r="F67" s="107" t="s">
        <v>8</v>
      </c>
      <c r="G67" s="107">
        <v>32</v>
      </c>
      <c r="H67" s="91"/>
      <c r="I67" s="107"/>
      <c r="J67" s="73" t="s">
        <v>4614</v>
      </c>
      <c r="K67" s="91" t="s">
        <v>5173</v>
      </c>
      <c r="L67" s="73" t="s">
        <v>777</v>
      </c>
      <c r="M67" s="73" t="s">
        <v>778</v>
      </c>
      <c r="N67" s="75" t="s">
        <v>779</v>
      </c>
      <c r="O67" s="76" t="s">
        <v>780</v>
      </c>
      <c r="P67" s="111" t="s">
        <v>797</v>
      </c>
      <c r="Q67" s="603"/>
      <c r="R67" s="322" t="s">
        <v>841</v>
      </c>
      <c r="S67" s="114" t="s">
        <v>785</v>
      </c>
      <c r="T67" s="79" t="s">
        <v>10</v>
      </c>
      <c r="U67" s="78" t="s">
        <v>4510</v>
      </c>
      <c r="V67" s="57"/>
      <c r="W67" s="57"/>
      <c r="X67" s="57"/>
      <c r="Y67" s="58"/>
    </row>
    <row r="68" spans="1:25" ht="103.5">
      <c r="A68" s="51">
        <v>62</v>
      </c>
      <c r="B68" s="91" t="s">
        <v>442</v>
      </c>
      <c r="C68" s="91" t="s">
        <v>5331</v>
      </c>
      <c r="D68" s="109" t="s">
        <v>798</v>
      </c>
      <c r="E68" s="115" t="s">
        <v>799</v>
      </c>
      <c r="F68" s="107" t="s">
        <v>8</v>
      </c>
      <c r="G68" s="107">
        <v>32</v>
      </c>
      <c r="H68" s="91"/>
      <c r="I68" s="107"/>
      <c r="J68" s="73" t="s">
        <v>4614</v>
      </c>
      <c r="K68" s="91" t="s">
        <v>5174</v>
      </c>
      <c r="L68" s="73" t="s">
        <v>777</v>
      </c>
      <c r="M68" s="73" t="s">
        <v>778</v>
      </c>
      <c r="N68" s="75" t="s">
        <v>779</v>
      </c>
      <c r="O68" s="76" t="s">
        <v>780</v>
      </c>
      <c r="P68" s="111" t="s">
        <v>800</v>
      </c>
      <c r="Q68" s="603"/>
      <c r="R68" s="322" t="s">
        <v>841</v>
      </c>
      <c r="S68" s="114" t="s">
        <v>785</v>
      </c>
      <c r="T68" s="79" t="s">
        <v>632</v>
      </c>
      <c r="U68" s="78" t="s">
        <v>4510</v>
      </c>
      <c r="V68" s="57"/>
      <c r="W68" s="57"/>
      <c r="X68" s="57"/>
      <c r="Y68" s="58"/>
    </row>
    <row r="69" spans="1:25" ht="69">
      <c r="A69" s="51">
        <v>63</v>
      </c>
      <c r="B69" s="91" t="s">
        <v>442</v>
      </c>
      <c r="C69" s="91" t="s">
        <v>5332</v>
      </c>
      <c r="D69" s="109" t="s">
        <v>801</v>
      </c>
      <c r="E69" s="110" t="s">
        <v>802</v>
      </c>
      <c r="F69" s="107" t="s">
        <v>8</v>
      </c>
      <c r="G69" s="107">
        <v>32</v>
      </c>
      <c r="H69" s="91"/>
      <c r="I69" s="107"/>
      <c r="J69" s="73" t="s">
        <v>4614</v>
      </c>
      <c r="K69" s="91" t="s">
        <v>5175</v>
      </c>
      <c r="L69" s="73" t="s">
        <v>777</v>
      </c>
      <c r="M69" s="73" t="s">
        <v>778</v>
      </c>
      <c r="N69" s="75" t="s">
        <v>779</v>
      </c>
      <c r="O69" s="76" t="s">
        <v>780</v>
      </c>
      <c r="P69" s="116" t="s">
        <v>803</v>
      </c>
      <c r="Q69" s="603"/>
      <c r="R69" s="322" t="s">
        <v>841</v>
      </c>
      <c r="S69" s="114" t="s">
        <v>785</v>
      </c>
      <c r="T69" s="79" t="s">
        <v>10</v>
      </c>
      <c r="U69" s="78" t="s">
        <v>4510</v>
      </c>
      <c r="V69" s="57"/>
      <c r="W69" s="57"/>
      <c r="X69" s="57"/>
      <c r="Y69" s="58"/>
    </row>
    <row r="70" spans="1:25" ht="66">
      <c r="A70" s="51">
        <v>64</v>
      </c>
      <c r="B70" s="383" t="s">
        <v>442</v>
      </c>
      <c r="C70" s="383" t="s">
        <v>5333</v>
      </c>
      <c r="D70" s="534" t="s">
        <v>804</v>
      </c>
      <c r="E70" s="535" t="s">
        <v>805</v>
      </c>
      <c r="F70" s="107" t="s">
        <v>8</v>
      </c>
      <c r="G70" s="107">
        <v>32</v>
      </c>
      <c r="H70" s="91"/>
      <c r="I70" s="107"/>
      <c r="J70" s="73" t="s">
        <v>4614</v>
      </c>
      <c r="K70" s="91" t="s">
        <v>5176</v>
      </c>
      <c r="L70" s="73" t="s">
        <v>777</v>
      </c>
      <c r="M70" s="73" t="s">
        <v>778</v>
      </c>
      <c r="N70" s="75" t="s">
        <v>779</v>
      </c>
      <c r="O70" s="76" t="s">
        <v>780</v>
      </c>
      <c r="P70" s="111" t="s">
        <v>806</v>
      </c>
      <c r="Q70" s="603"/>
      <c r="R70" s="322" t="s">
        <v>841</v>
      </c>
      <c r="S70" s="117" t="s">
        <v>785</v>
      </c>
      <c r="T70" s="79" t="s">
        <v>10</v>
      </c>
      <c r="U70" s="78" t="s">
        <v>4510</v>
      </c>
      <c r="V70" s="57"/>
      <c r="W70" s="57"/>
      <c r="X70" s="57"/>
      <c r="Y70" s="58"/>
    </row>
    <row r="71" spans="1:25" ht="69">
      <c r="A71" s="51">
        <v>65</v>
      </c>
      <c r="B71" s="91" t="s">
        <v>442</v>
      </c>
      <c r="C71" s="91" t="s">
        <v>5334</v>
      </c>
      <c r="D71" s="109" t="s">
        <v>807</v>
      </c>
      <c r="E71" s="110" t="s">
        <v>808</v>
      </c>
      <c r="F71" s="107" t="s">
        <v>8</v>
      </c>
      <c r="G71" s="107">
        <v>32</v>
      </c>
      <c r="H71" s="91"/>
      <c r="I71" s="107"/>
      <c r="J71" s="73" t="s">
        <v>4614</v>
      </c>
      <c r="K71" s="91" t="s">
        <v>5177</v>
      </c>
      <c r="L71" s="73" t="s">
        <v>777</v>
      </c>
      <c r="M71" s="73" t="s">
        <v>778</v>
      </c>
      <c r="N71" s="75" t="s">
        <v>779</v>
      </c>
      <c r="O71" s="76" t="s">
        <v>780</v>
      </c>
      <c r="P71" s="111" t="s">
        <v>809</v>
      </c>
      <c r="Q71" s="603"/>
      <c r="R71" s="322" t="s">
        <v>841</v>
      </c>
      <c r="S71" s="112" t="s">
        <v>785</v>
      </c>
      <c r="T71" s="79" t="s">
        <v>10</v>
      </c>
      <c r="U71" s="78" t="s">
        <v>4510</v>
      </c>
      <c r="V71" s="57"/>
      <c r="W71" s="57"/>
      <c r="X71" s="57"/>
      <c r="Y71" s="58"/>
    </row>
    <row r="72" spans="1:25" ht="69">
      <c r="A72" s="51">
        <v>66</v>
      </c>
      <c r="B72" s="383" t="s">
        <v>442</v>
      </c>
      <c r="C72" s="383" t="s">
        <v>5335</v>
      </c>
      <c r="D72" s="534" t="s">
        <v>810</v>
      </c>
      <c r="E72" s="535" t="s">
        <v>811</v>
      </c>
      <c r="F72" s="107" t="s">
        <v>8</v>
      </c>
      <c r="G72" s="107">
        <v>32</v>
      </c>
      <c r="H72" s="91"/>
      <c r="I72" s="107"/>
      <c r="J72" s="73" t="s">
        <v>4614</v>
      </c>
      <c r="K72" s="91" t="s">
        <v>5178</v>
      </c>
      <c r="L72" s="73" t="s">
        <v>777</v>
      </c>
      <c r="M72" s="73" t="s">
        <v>778</v>
      </c>
      <c r="N72" s="75" t="s">
        <v>779</v>
      </c>
      <c r="O72" s="76" t="s">
        <v>780</v>
      </c>
      <c r="P72" s="111" t="s">
        <v>812</v>
      </c>
      <c r="Q72" s="603"/>
      <c r="R72" s="322" t="s">
        <v>841</v>
      </c>
      <c r="S72" s="112" t="s">
        <v>785</v>
      </c>
      <c r="T72" s="79" t="s">
        <v>632</v>
      </c>
      <c r="U72" s="78" t="s">
        <v>4510</v>
      </c>
      <c r="V72" s="57"/>
      <c r="W72" s="57"/>
      <c r="X72" s="57"/>
      <c r="Y72" s="58"/>
    </row>
    <row r="73" spans="1:25" ht="51.75">
      <c r="A73" s="51">
        <v>67</v>
      </c>
      <c r="B73" s="91" t="s">
        <v>442</v>
      </c>
      <c r="C73" s="91" t="s">
        <v>5336</v>
      </c>
      <c r="D73" s="109" t="s">
        <v>813</v>
      </c>
      <c r="E73" s="110" t="s">
        <v>814</v>
      </c>
      <c r="F73" s="107" t="s">
        <v>8</v>
      </c>
      <c r="G73" s="107">
        <v>32</v>
      </c>
      <c r="H73" s="91"/>
      <c r="I73" s="107"/>
      <c r="J73" s="73" t="s">
        <v>4614</v>
      </c>
      <c r="K73" s="91" t="s">
        <v>5179</v>
      </c>
      <c r="L73" s="73" t="s">
        <v>777</v>
      </c>
      <c r="M73" s="73" t="s">
        <v>778</v>
      </c>
      <c r="N73" s="75" t="s">
        <v>779</v>
      </c>
      <c r="O73" s="76" t="s">
        <v>780</v>
      </c>
      <c r="P73" s="111" t="s">
        <v>815</v>
      </c>
      <c r="Q73" s="603"/>
      <c r="R73" s="322" t="s">
        <v>841</v>
      </c>
      <c r="S73" s="112" t="s">
        <v>785</v>
      </c>
      <c r="T73" s="79" t="s">
        <v>10</v>
      </c>
      <c r="U73" s="78" t="s">
        <v>4510</v>
      </c>
      <c r="V73" s="57"/>
      <c r="W73" s="57"/>
      <c r="X73" s="57"/>
      <c r="Y73" s="58"/>
    </row>
    <row r="74" spans="1:25" ht="66">
      <c r="A74" s="51">
        <v>68</v>
      </c>
      <c r="B74" s="383" t="s">
        <v>442</v>
      </c>
      <c r="C74" s="383" t="s">
        <v>5337</v>
      </c>
      <c r="D74" s="534" t="s">
        <v>816</v>
      </c>
      <c r="E74" s="535" t="s">
        <v>817</v>
      </c>
      <c r="F74" s="107" t="s">
        <v>8</v>
      </c>
      <c r="G74" s="107">
        <v>32</v>
      </c>
      <c r="H74" s="91"/>
      <c r="I74" s="107"/>
      <c r="J74" s="73" t="s">
        <v>4614</v>
      </c>
      <c r="K74" s="91" t="s">
        <v>5180</v>
      </c>
      <c r="L74" s="73" t="s">
        <v>777</v>
      </c>
      <c r="M74" s="73" t="s">
        <v>778</v>
      </c>
      <c r="N74" s="75" t="s">
        <v>779</v>
      </c>
      <c r="O74" s="76" t="s">
        <v>780</v>
      </c>
      <c r="P74" s="111" t="s">
        <v>818</v>
      </c>
      <c r="Q74" s="603"/>
      <c r="R74" s="322" t="s">
        <v>841</v>
      </c>
      <c r="S74" s="112" t="s">
        <v>785</v>
      </c>
      <c r="T74" s="79" t="s">
        <v>632</v>
      </c>
      <c r="U74" s="78" t="s">
        <v>4510</v>
      </c>
      <c r="V74" s="57"/>
      <c r="W74" s="57"/>
      <c r="X74" s="57"/>
      <c r="Y74" s="58"/>
    </row>
    <row r="75" spans="1:25" ht="49.5">
      <c r="A75" s="51">
        <v>69</v>
      </c>
      <c r="B75" s="383" t="s">
        <v>442</v>
      </c>
      <c r="C75" s="383" t="s">
        <v>5338</v>
      </c>
      <c r="D75" s="534" t="s">
        <v>819</v>
      </c>
      <c r="E75" s="535" t="s">
        <v>820</v>
      </c>
      <c r="F75" s="107" t="s">
        <v>8</v>
      </c>
      <c r="G75" s="107">
        <v>32</v>
      </c>
      <c r="H75" s="91"/>
      <c r="I75" s="107"/>
      <c r="J75" s="73" t="s">
        <v>4614</v>
      </c>
      <c r="K75" s="91" t="s">
        <v>5181</v>
      </c>
      <c r="L75" s="73" t="s">
        <v>777</v>
      </c>
      <c r="M75" s="73" t="s">
        <v>778</v>
      </c>
      <c r="N75" s="75" t="s">
        <v>779</v>
      </c>
      <c r="O75" s="76" t="s">
        <v>780</v>
      </c>
      <c r="P75" s="111" t="s">
        <v>821</v>
      </c>
      <c r="Q75" s="603"/>
      <c r="R75" s="322" t="s">
        <v>841</v>
      </c>
      <c r="S75" s="112" t="s">
        <v>785</v>
      </c>
      <c r="T75" s="79" t="s">
        <v>10</v>
      </c>
      <c r="U75" s="78" t="s">
        <v>4510</v>
      </c>
      <c r="V75" s="57"/>
      <c r="W75" s="57"/>
      <c r="X75" s="57"/>
      <c r="Y75" s="58"/>
    </row>
    <row r="76" spans="1:25" ht="51.75">
      <c r="A76" s="51">
        <v>70</v>
      </c>
      <c r="B76" s="91" t="s">
        <v>442</v>
      </c>
      <c r="C76" s="91" t="s">
        <v>5339</v>
      </c>
      <c r="D76" s="109" t="s">
        <v>822</v>
      </c>
      <c r="E76" s="110" t="s">
        <v>823</v>
      </c>
      <c r="F76" s="107" t="s">
        <v>8</v>
      </c>
      <c r="G76" s="107">
        <v>32</v>
      </c>
      <c r="H76" s="91"/>
      <c r="I76" s="107"/>
      <c r="J76" s="73" t="s">
        <v>4614</v>
      </c>
      <c r="K76" s="91" t="s">
        <v>5182</v>
      </c>
      <c r="L76" s="73" t="s">
        <v>777</v>
      </c>
      <c r="M76" s="73" t="s">
        <v>778</v>
      </c>
      <c r="N76" s="75" t="s">
        <v>779</v>
      </c>
      <c r="O76" s="76" t="s">
        <v>780</v>
      </c>
      <c r="P76" s="111" t="s">
        <v>824</v>
      </c>
      <c r="Q76" s="603"/>
      <c r="R76" s="322" t="s">
        <v>841</v>
      </c>
      <c r="S76" s="112" t="s">
        <v>785</v>
      </c>
      <c r="T76" s="79" t="s">
        <v>10</v>
      </c>
      <c r="U76" s="78" t="s">
        <v>4510</v>
      </c>
      <c r="V76" s="57"/>
      <c r="W76" s="57"/>
      <c r="X76" s="57"/>
      <c r="Y76" s="58"/>
    </row>
    <row r="77" spans="1:25" ht="86.25">
      <c r="A77" s="51">
        <v>71</v>
      </c>
      <c r="B77" s="91" t="s">
        <v>442</v>
      </c>
      <c r="C77" s="91" t="s">
        <v>5340</v>
      </c>
      <c r="D77" s="109" t="s">
        <v>825</v>
      </c>
      <c r="E77" s="110" t="s">
        <v>826</v>
      </c>
      <c r="F77" s="107" t="s">
        <v>8</v>
      </c>
      <c r="G77" s="107">
        <v>32</v>
      </c>
      <c r="H77" s="91"/>
      <c r="I77" s="107"/>
      <c r="J77" s="73" t="s">
        <v>4614</v>
      </c>
      <c r="K77" s="347" t="s">
        <v>4286</v>
      </c>
      <c r="L77" s="73" t="s">
        <v>777</v>
      </c>
      <c r="M77" s="73" t="s">
        <v>778</v>
      </c>
      <c r="N77" s="75" t="s">
        <v>779</v>
      </c>
      <c r="O77" s="76" t="s">
        <v>780</v>
      </c>
      <c r="P77" s="111" t="s">
        <v>827</v>
      </c>
      <c r="Q77" s="603"/>
      <c r="R77" s="322" t="s">
        <v>841</v>
      </c>
      <c r="S77" s="112" t="s">
        <v>785</v>
      </c>
      <c r="T77" s="79" t="s">
        <v>10</v>
      </c>
      <c r="U77" s="78" t="s">
        <v>4510</v>
      </c>
      <c r="V77" s="57"/>
      <c r="W77" s="57"/>
      <c r="X77" s="57"/>
      <c r="Y77" s="58"/>
    </row>
    <row r="78" spans="1:25" ht="69">
      <c r="A78" s="51">
        <v>72</v>
      </c>
      <c r="B78" s="91" t="s">
        <v>442</v>
      </c>
      <c r="C78" s="91" t="s">
        <v>5341</v>
      </c>
      <c r="D78" s="109" t="s">
        <v>828</v>
      </c>
      <c r="E78" s="110" t="s">
        <v>829</v>
      </c>
      <c r="F78" s="107" t="s">
        <v>8</v>
      </c>
      <c r="G78" s="107">
        <v>32</v>
      </c>
      <c r="H78" s="91"/>
      <c r="I78" s="107"/>
      <c r="J78" s="73" t="s">
        <v>4614</v>
      </c>
      <c r="K78" s="91" t="s">
        <v>5183</v>
      </c>
      <c r="L78" s="73" t="s">
        <v>777</v>
      </c>
      <c r="M78" s="73" t="s">
        <v>778</v>
      </c>
      <c r="N78" s="75" t="s">
        <v>779</v>
      </c>
      <c r="O78" s="76" t="s">
        <v>780</v>
      </c>
      <c r="P78" s="111" t="s">
        <v>830</v>
      </c>
      <c r="Q78" s="603"/>
      <c r="R78" s="322" t="s">
        <v>841</v>
      </c>
      <c r="S78" s="112" t="s">
        <v>785</v>
      </c>
      <c r="T78" s="79" t="s">
        <v>632</v>
      </c>
      <c r="U78" s="78" t="s">
        <v>4510</v>
      </c>
      <c r="V78" s="57"/>
      <c r="W78" s="57"/>
      <c r="X78" s="57"/>
      <c r="Y78" s="58"/>
    </row>
    <row r="79" spans="1:25" ht="66">
      <c r="A79" s="51">
        <v>73</v>
      </c>
      <c r="B79" s="91" t="s">
        <v>442</v>
      </c>
      <c r="C79" s="91" t="s">
        <v>5342</v>
      </c>
      <c r="D79" s="118" t="s">
        <v>528</v>
      </c>
      <c r="E79" s="321" t="s">
        <v>831</v>
      </c>
      <c r="F79" s="107" t="s">
        <v>8</v>
      </c>
      <c r="G79" s="107">
        <v>32</v>
      </c>
      <c r="H79" s="91"/>
      <c r="I79" s="107"/>
      <c r="J79" s="73" t="s">
        <v>4614</v>
      </c>
      <c r="K79" s="91" t="s">
        <v>5184</v>
      </c>
      <c r="L79" s="73" t="s">
        <v>777</v>
      </c>
      <c r="M79" s="73" t="s">
        <v>778</v>
      </c>
      <c r="N79" s="75" t="s">
        <v>779</v>
      </c>
      <c r="O79" s="76" t="s">
        <v>780</v>
      </c>
      <c r="P79" s="119" t="s">
        <v>832</v>
      </c>
      <c r="Q79" s="604"/>
      <c r="R79" s="322" t="s">
        <v>841</v>
      </c>
      <c r="S79" s="120" t="s">
        <v>785</v>
      </c>
      <c r="T79" s="79" t="s">
        <v>632</v>
      </c>
      <c r="U79" s="78" t="s">
        <v>4510</v>
      </c>
      <c r="W79" s="57"/>
      <c r="X79" s="57"/>
      <c r="Y79" s="58"/>
    </row>
    <row r="80" spans="1:25" s="23" customFormat="1" ht="70.5" customHeight="1">
      <c r="A80" s="51"/>
      <c r="B80" s="78" t="s">
        <v>444</v>
      </c>
      <c r="C80" s="91" t="s">
        <v>5413</v>
      </c>
      <c r="D80" s="332" t="s">
        <v>5414</v>
      </c>
      <c r="E80" s="385" t="s">
        <v>5410</v>
      </c>
      <c r="F80" s="107" t="s">
        <v>8</v>
      </c>
      <c r="G80" s="84">
        <v>26</v>
      </c>
      <c r="H80" s="296"/>
      <c r="I80" s="38"/>
      <c r="J80" s="78" t="s">
        <v>5419</v>
      </c>
      <c r="K80" s="78" t="s">
        <v>5415</v>
      </c>
      <c r="L80" s="432" t="s">
        <v>5417</v>
      </c>
      <c r="M80" s="78">
        <v>76</v>
      </c>
      <c r="N80" s="433" t="s">
        <v>5416</v>
      </c>
      <c r="O80" s="434">
        <v>119</v>
      </c>
      <c r="P80" s="435" t="s">
        <v>5410</v>
      </c>
      <c r="Q80" s="38"/>
      <c r="R80" s="322" t="s">
        <v>841</v>
      </c>
      <c r="S80" s="120" t="s">
        <v>785</v>
      </c>
      <c r="T80" s="79" t="s">
        <v>632</v>
      </c>
      <c r="U80" s="78" t="s">
        <v>4510</v>
      </c>
      <c r="V80" s="57" t="s">
        <v>6736</v>
      </c>
      <c r="W80" s="333"/>
      <c r="X80" s="57" t="s">
        <v>6737</v>
      </c>
      <c r="Y80" s="431" t="s">
        <v>6738</v>
      </c>
    </row>
  </sheetData>
  <mergeCells count="14">
    <mergeCell ref="Q7:Q12"/>
    <mergeCell ref="Q62:Q79"/>
    <mergeCell ref="Q5:Q6"/>
    <mergeCell ref="R5:R6"/>
    <mergeCell ref="S5:S6"/>
    <mergeCell ref="T5:T6"/>
    <mergeCell ref="U5:U6"/>
    <mergeCell ref="V5:Y5"/>
    <mergeCell ref="B5:B6"/>
    <mergeCell ref="C5:C6"/>
    <mergeCell ref="D5:D6"/>
    <mergeCell ref="E5:E6"/>
    <mergeCell ref="F5:O5"/>
    <mergeCell ref="P5:P6"/>
  </mergeCells>
  <phoneticPr fontId="15" type="noConversion"/>
  <conditionalFormatting sqref="A4:A79">
    <cfRule type="cellIs" dxfId="291" priority="40" stopIfTrue="1" operator="equal">
      <formula>#REF!=N</formula>
    </cfRule>
  </conditionalFormatting>
  <conditionalFormatting sqref="A80">
    <cfRule type="cellIs" dxfId="290" priority="5" stopIfTrue="1" operator="equal">
      <formula>#REF!=N</formula>
    </cfRule>
  </conditionalFormatting>
  <conditionalFormatting sqref="B13:B27">
    <cfRule type="expression" dxfId="289" priority="32" stopIfTrue="1">
      <formula>#REF!&lt;&gt;"Y"</formula>
    </cfRule>
  </conditionalFormatting>
  <conditionalFormatting sqref="B29:B50">
    <cfRule type="expression" dxfId="288" priority="11" stopIfTrue="1">
      <formula>#REF!&lt;&gt;"Y"</formula>
    </cfRule>
  </conditionalFormatting>
  <conditionalFormatting sqref="B80">
    <cfRule type="expression" dxfId="287" priority="1" stopIfTrue="1">
      <formula>#REF!&lt;&gt;"Y"</formula>
    </cfRule>
  </conditionalFormatting>
  <conditionalFormatting sqref="B7:C12">
    <cfRule type="expression" dxfId="286" priority="33" stopIfTrue="1">
      <formula>#REF!&lt;&gt;"Y"</formula>
    </cfRule>
  </conditionalFormatting>
  <conditionalFormatting sqref="B4:E5">
    <cfRule type="expression" dxfId="285" priority="38" stopIfTrue="1">
      <formula>#REF!&lt;&gt;"Y"</formula>
    </cfRule>
  </conditionalFormatting>
  <conditionalFormatting sqref="C13:C53">
    <cfRule type="expression" dxfId="284" priority="34" stopIfTrue="1">
      <formula>#REF!&lt;&gt;"Y"</formula>
    </cfRule>
  </conditionalFormatting>
  <conditionalFormatting sqref="D16:D25">
    <cfRule type="expression" dxfId="283" priority="30" stopIfTrue="1">
      <formula>#REF!&lt;&gt;"Y"</formula>
    </cfRule>
  </conditionalFormatting>
  <conditionalFormatting sqref="D62:D79">
    <cfRule type="expression" dxfId="282" priority="28" stopIfTrue="1">
      <formula>#REF!&lt;&gt;"Y"</formula>
    </cfRule>
  </conditionalFormatting>
  <conditionalFormatting sqref="D7:E15">
    <cfRule type="expression" dxfId="281" priority="35" stopIfTrue="1">
      <formula>#REF!&lt;&gt;"Y"</formula>
    </cfRule>
  </conditionalFormatting>
  <conditionalFormatting sqref="D26:I27">
    <cfRule type="expression" dxfId="280" priority="26" stopIfTrue="1">
      <formula>#REF!&lt;&gt;"Y"</formula>
    </cfRule>
  </conditionalFormatting>
  <conditionalFormatting sqref="D29:I50">
    <cfRule type="expression" dxfId="279" priority="24" stopIfTrue="1">
      <formula>#REF!&lt;&gt;"Y"</formula>
    </cfRule>
  </conditionalFormatting>
  <conditionalFormatting sqref="D53:I53">
    <cfRule type="expression" dxfId="278" priority="25" stopIfTrue="1">
      <formula>#REF!&lt;&gt;"Y"</formula>
    </cfRule>
  </conditionalFormatting>
  <conditionalFormatting sqref="E16:E22">
    <cfRule type="expression" dxfId="277" priority="31" stopIfTrue="1">
      <formula>#REF!&lt;&gt;"Y"</formula>
    </cfRule>
  </conditionalFormatting>
  <conditionalFormatting sqref="E62:E63 E71:E79">
    <cfRule type="expression" dxfId="276" priority="29" stopIfTrue="1">
      <formula>#REF!&lt;&gt;"Y"</formula>
    </cfRule>
  </conditionalFormatting>
  <conditionalFormatting sqref="F7:F11">
    <cfRule type="expression" dxfId="275" priority="19" stopIfTrue="1">
      <formula>#REF!&lt;&gt;"Y"</formula>
    </cfRule>
  </conditionalFormatting>
  <conditionalFormatting sqref="F28:G28">
    <cfRule type="expression" dxfId="274" priority="18" stopIfTrue="1">
      <formula>#REF!&lt;&gt;"Y"</formula>
    </cfRule>
  </conditionalFormatting>
  <conditionalFormatting sqref="F13:H25">
    <cfRule type="expression" dxfId="273" priority="21" stopIfTrue="1">
      <formula>#REF!&lt;&gt;"Y"</formula>
    </cfRule>
  </conditionalFormatting>
  <conditionalFormatting sqref="F4:O4 F5">
    <cfRule type="expression" dxfId="272" priority="37" stopIfTrue="1">
      <formula>#REF!&lt;&gt;"Y"</formula>
    </cfRule>
  </conditionalFormatting>
  <conditionalFormatting sqref="F6:O6">
    <cfRule type="expression" dxfId="271" priority="36" stopIfTrue="1">
      <formula>#REF!&lt;&gt;"Y"</formula>
    </cfRule>
  </conditionalFormatting>
  <conditionalFormatting sqref="G10:G11">
    <cfRule type="expression" dxfId="270" priority="20" stopIfTrue="1">
      <formula>#REF!&lt;&gt;"Y"</formula>
    </cfRule>
  </conditionalFormatting>
  <conditionalFormatting sqref="G7:H9">
    <cfRule type="expression" dxfId="269" priority="22" stopIfTrue="1">
      <formula>#REF!&lt;&gt;"Y"</formula>
    </cfRule>
  </conditionalFormatting>
  <conditionalFormatting sqref="G80:O80">
    <cfRule type="expression" dxfId="268" priority="3" stopIfTrue="1">
      <formula>#REF!&lt;&gt;"Y"</formula>
    </cfRule>
  </conditionalFormatting>
  <conditionalFormatting sqref="H10:H12 F12:G12">
    <cfRule type="expression" dxfId="267" priority="27" stopIfTrue="1">
      <formula>#REF!&lt;&gt;"Y"</formula>
    </cfRule>
  </conditionalFormatting>
  <conditionalFormatting sqref="I7:I25">
    <cfRule type="expression" dxfId="266" priority="23" stopIfTrue="1">
      <formula>#REF!&lt;&gt;"Y"</formula>
    </cfRule>
  </conditionalFormatting>
  <conditionalFormatting sqref="J7:J79">
    <cfRule type="expression" dxfId="265" priority="10" stopIfTrue="1">
      <formula>#REF!&lt;&gt;"Y"</formula>
    </cfRule>
  </conditionalFormatting>
  <conditionalFormatting sqref="K7:K50">
    <cfRule type="expression" dxfId="264" priority="8" stopIfTrue="1">
      <formula>#REF!&lt;&gt;"Y"</formula>
    </cfRule>
  </conditionalFormatting>
  <conditionalFormatting sqref="K53">
    <cfRule type="expression" dxfId="263" priority="9" stopIfTrue="1">
      <formula>#REF!&lt;&gt;"Y"</formula>
    </cfRule>
  </conditionalFormatting>
  <conditionalFormatting sqref="L7:O53">
    <cfRule type="expression" dxfId="262" priority="14" stopIfTrue="1">
      <formula>#REF!&lt;&gt;"Y"</formula>
    </cfRule>
  </conditionalFormatting>
  <conditionalFormatting sqref="L55:O79">
    <cfRule type="expression" dxfId="261" priority="15" stopIfTrue="1">
      <formula>#REF!&lt;&gt;"Y"</formula>
    </cfRule>
  </conditionalFormatting>
  <conditionalFormatting sqref="N62:N79">
    <cfRule type="expression" dxfId="260" priority="16" stopIfTrue="1">
      <formula>#REF!&lt;&gt;"Y"</formula>
    </cfRule>
  </conditionalFormatting>
  <conditionalFormatting sqref="O58:O59">
    <cfRule type="expression" dxfId="259" priority="17" stopIfTrue="1">
      <formula>#REF!&lt;&gt;"Y"</formula>
    </cfRule>
  </conditionalFormatting>
  <conditionalFormatting sqref="O61:O80">
    <cfRule type="expression" dxfId="258" priority="4" stopIfTrue="1">
      <formula>#REF!&lt;&gt;"Y"</formula>
    </cfRule>
  </conditionalFormatting>
  <conditionalFormatting sqref="P29">
    <cfRule type="expression" dxfId="257" priority="13" stopIfTrue="1">
      <formula>#REF!&lt;&gt;"Y"</formula>
    </cfRule>
  </conditionalFormatting>
  <conditionalFormatting sqref="P53">
    <cfRule type="expression" dxfId="256" priority="6" stopIfTrue="1">
      <formula>#REF!&lt;&gt;"Y"</formula>
    </cfRule>
  </conditionalFormatting>
  <conditionalFormatting sqref="S53:S54">
    <cfRule type="expression" dxfId="255" priority="12" stopIfTrue="1">
      <formula>#REF!&lt;&gt;"Y"</formula>
    </cfRule>
  </conditionalFormatting>
  <conditionalFormatting sqref="S4:T5">
    <cfRule type="expression" dxfId="254" priority="39" stopIfTrue="1">
      <formula>#REF!&lt;&gt;"Y"</formula>
    </cfRule>
  </conditionalFormatting>
  <conditionalFormatting sqref="V4:X50">
    <cfRule type="expression" dxfId="253" priority="7" stopIfTrue="1">
      <formula>#REF!&lt;&gt;"Y"</formula>
    </cfRule>
  </conditionalFormatting>
  <conditionalFormatting sqref="V80:Y80">
    <cfRule type="expression" dxfId="252" priority="2" stopIfTrue="1">
      <formula>#REF!&lt;&gt;"Y"</formula>
    </cfRule>
  </conditionalFormatting>
  <dataValidations count="6">
    <dataValidation type="list" allowBlank="1" showInputMessage="1" showErrorMessage="1" sqref="S4">
      <formula1>"미작성,작성중,작성완료,N/A"</formula1>
    </dataValidation>
    <dataValidation type="list" allowBlank="1" showInputMessage="1" showErrorMessage="1" sqref="V4:X4">
      <formula1>"Y, N"</formula1>
    </dataValidation>
    <dataValidation type="list" allowBlank="1" showInputMessage="1" showErrorMessage="1" sqref="R7:R80">
      <formula1>"수용,미수용,보류"</formula1>
    </dataValidation>
    <dataValidation type="list" allowBlank="1" showInputMessage="1" showErrorMessage="1" sqref="B1:B6 B51:B1048576">
      <formula1>"SFR-007, SFR-008, SFR-009, CNR-001, CNR-002, SIR-003, PMR-001, 기타"</formula1>
    </dataValidation>
    <dataValidation type="list" allowBlank="1" showInputMessage="1" showErrorMessage="1" sqref="F1:F6 F51:F1048576">
      <formula1>"SFR-007, SFR-008, SFR-009, CNR-001, CNR-002, SIR-003, PMR-001"</formula1>
    </dataValidation>
    <dataValidation type="list" allowBlank="1" showInputMessage="1" showErrorMessage="1" sqref="T1:T6 T81:T1048576">
      <formula1>"상,중,하"</formula1>
    </dataValidation>
  </dataValidations>
  <printOptions horizontalCentered="1"/>
  <pageMargins left="0.78740157480314965" right="0.78740157480314965" top="0.78740157480314965" bottom="0.78740157480314965" header="0.39370078740157483" footer="0.39370078740157483"/>
  <pageSetup paperSize="8" scale="41" fitToWidth="0" fitToHeight="0" orientation="landscape" horizontalDpi="300" verticalDpi="300" r:id="rId1"/>
  <headerFooter differentFirst="1" alignWithMargins="0">
    <oddFooter>&amp;C&amp;"맑은 고딕,보통"- &amp;P -&amp;R&amp;G</oddFooter>
    <firstFooter>&amp;C-3-</firstFooter>
  </headerFooter>
  <drawing r:id="rId2"/>
  <legacyDrawing r:id="rId3"/>
  <legacyDrawingHF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5"/>
    <pageSetUpPr fitToPage="1"/>
  </sheetPr>
  <dimension ref="A1:Z207"/>
  <sheetViews>
    <sheetView zoomScale="55" zoomScaleNormal="55" zoomScaleSheetLayoutView="85" workbookViewId="0">
      <pane xSplit="1" ySplit="6" topLeftCell="B196" activePane="bottomRight" state="frozen"/>
      <selection activeCell="E27" sqref="E27"/>
      <selection pane="topRight" activeCell="E27" sqref="E27"/>
      <selection pane="bottomLeft" activeCell="E27" sqref="E27"/>
      <selection pane="bottomRight" activeCell="E205" sqref="E205"/>
    </sheetView>
  </sheetViews>
  <sheetFormatPr defaultColWidth="9.140625" defaultRowHeight="13.5"/>
  <cols>
    <col min="1" max="1" width="5.42578125" style="3" customWidth="1"/>
    <col min="2" max="2" width="10.85546875" style="4" customWidth="1"/>
    <col min="3" max="3" width="26.85546875" style="4" bestFit="1" customWidth="1"/>
    <col min="4" max="4" width="35.7109375" style="22" customWidth="1"/>
    <col min="5" max="5" width="70.42578125" style="16" customWidth="1"/>
    <col min="6" max="6" width="12.140625" style="5" customWidth="1"/>
    <col min="7" max="7" width="10.7109375" style="5" customWidth="1"/>
    <col min="8" max="8" width="10" style="10" customWidth="1"/>
    <col min="9" max="9" width="15.42578125" style="10" customWidth="1"/>
    <col min="10" max="10" width="17.140625" style="10" customWidth="1"/>
    <col min="11" max="11" width="10.7109375" style="10" customWidth="1"/>
    <col min="12" max="12" width="25.7109375" style="10" customWidth="1"/>
    <col min="13" max="13" width="10.7109375" style="10" customWidth="1"/>
    <col min="14" max="14" width="81" style="3" customWidth="1"/>
    <col min="15" max="15" width="56.28515625" style="3" customWidth="1"/>
    <col min="16" max="16" width="22.140625" style="3" customWidth="1"/>
    <col min="17" max="17" width="8.5703125" style="19" customWidth="1"/>
    <col min="18" max="18" width="14.42578125" style="17" customWidth="1"/>
    <col min="19" max="19" width="10.7109375" style="12" customWidth="1"/>
    <col min="20" max="20" width="12.28515625" style="3" customWidth="1"/>
    <col min="21" max="21" width="12.28515625" style="4" bestFit="1" customWidth="1"/>
    <col min="22" max="22" width="14.42578125" style="4" customWidth="1"/>
    <col min="23" max="23" width="17.140625" style="4" customWidth="1"/>
    <col min="24" max="24" width="26.140625" style="3" bestFit="1" customWidth="1"/>
    <col min="25" max="25" width="26.140625" style="3" customWidth="1"/>
    <col min="26" max="16384" width="9.140625" style="3"/>
  </cols>
  <sheetData>
    <row r="1" spans="1:25" s="2" customFormat="1" ht="15" customHeight="1">
      <c r="A1" s="1"/>
      <c r="B1" s="18"/>
      <c r="C1" s="18"/>
      <c r="D1" s="24"/>
      <c r="E1" s="14"/>
      <c r="F1" s="25"/>
      <c r="G1" s="25"/>
      <c r="H1" s="8"/>
      <c r="I1" s="8"/>
      <c r="J1" s="8"/>
      <c r="K1" s="8"/>
      <c r="L1" s="8"/>
      <c r="M1" s="8"/>
      <c r="N1" s="356"/>
      <c r="O1" s="356"/>
      <c r="S1" s="7"/>
      <c r="X1" s="7" t="str">
        <f>프로젝트명</f>
        <v>LX플랫폼 고도화 사업</v>
      </c>
      <c r="Y1" s="7"/>
    </row>
    <row r="2" spans="1:25" s="2" customFormat="1" ht="15" customHeight="1">
      <c r="A2" s="1"/>
      <c r="B2" s="18"/>
      <c r="C2" s="18"/>
      <c r="D2" s="24"/>
      <c r="E2" s="14"/>
      <c r="F2" s="25"/>
      <c r="G2" s="25"/>
      <c r="H2" s="8"/>
      <c r="I2" s="8"/>
      <c r="J2" s="8"/>
      <c r="K2" s="8"/>
      <c r="L2" s="8"/>
      <c r="M2" s="8"/>
      <c r="N2" s="356"/>
      <c r="O2" s="356"/>
      <c r="S2" s="7"/>
      <c r="X2" s="7" t="str">
        <f>산출물명</f>
        <v>요구사항정의서(통합)</v>
      </c>
      <c r="Y2" s="7"/>
    </row>
    <row r="3" spans="1:25" s="2" customFormat="1" ht="8.25" customHeight="1">
      <c r="A3" s="1"/>
      <c r="B3" s="18"/>
      <c r="C3" s="18"/>
      <c r="D3" s="24"/>
      <c r="E3" s="14"/>
      <c r="F3" s="25"/>
      <c r="G3" s="25"/>
      <c r="H3" s="8"/>
      <c r="I3" s="8"/>
      <c r="J3" s="8"/>
      <c r="K3" s="8"/>
      <c r="L3" s="8"/>
      <c r="M3" s="8"/>
      <c r="N3" s="356"/>
      <c r="O3" s="356"/>
    </row>
    <row r="4" spans="1:25">
      <c r="E4" s="15"/>
      <c r="F4" s="26"/>
      <c r="G4" s="26"/>
      <c r="H4" s="9"/>
      <c r="I4" s="9"/>
      <c r="J4" s="9"/>
      <c r="K4" s="9"/>
      <c r="L4" s="9"/>
      <c r="M4" s="9"/>
      <c r="R4" s="20"/>
      <c r="S4" s="11"/>
    </row>
    <row r="5" spans="1:25" s="19" customFormat="1" ht="46.5" customHeight="1">
      <c r="A5" s="17"/>
      <c r="B5" s="563" t="s">
        <v>13</v>
      </c>
      <c r="C5" s="563" t="s">
        <v>2</v>
      </c>
      <c r="D5" s="563" t="s">
        <v>15</v>
      </c>
      <c r="E5" s="564" t="s">
        <v>21</v>
      </c>
      <c r="F5" s="562" t="s">
        <v>14</v>
      </c>
      <c r="G5" s="562"/>
      <c r="H5" s="562"/>
      <c r="I5" s="562"/>
      <c r="J5" s="562"/>
      <c r="K5" s="562"/>
      <c r="L5" s="562"/>
      <c r="M5" s="562"/>
      <c r="N5" s="563" t="s">
        <v>5</v>
      </c>
      <c r="O5" s="605" t="s">
        <v>4379</v>
      </c>
      <c r="P5" s="563" t="s">
        <v>6</v>
      </c>
      <c r="Q5" s="563" t="s">
        <v>4</v>
      </c>
      <c r="R5" s="563" t="s">
        <v>18</v>
      </c>
      <c r="S5" s="563" t="s">
        <v>3</v>
      </c>
      <c r="T5" s="563" t="s">
        <v>7</v>
      </c>
      <c r="U5" s="563" t="s">
        <v>19</v>
      </c>
      <c r="V5" s="563"/>
      <c r="W5" s="563"/>
      <c r="X5" s="563"/>
      <c r="Y5" s="375"/>
    </row>
    <row r="6" spans="1:25" s="27" customFormat="1" ht="28.5" customHeight="1">
      <c r="B6" s="563"/>
      <c r="C6" s="563"/>
      <c r="D6" s="563"/>
      <c r="E6" s="564"/>
      <c r="F6" s="28" t="s">
        <v>8</v>
      </c>
      <c r="G6" s="28" t="s">
        <v>11</v>
      </c>
      <c r="H6" s="28" t="s">
        <v>12</v>
      </c>
      <c r="I6" s="29" t="s">
        <v>17</v>
      </c>
      <c r="J6" s="29" t="s">
        <v>525</v>
      </c>
      <c r="K6" s="29" t="s">
        <v>11</v>
      </c>
      <c r="L6" s="29" t="s">
        <v>20</v>
      </c>
      <c r="M6" s="28" t="s">
        <v>526</v>
      </c>
      <c r="N6" s="563"/>
      <c r="O6" s="606"/>
      <c r="P6" s="563"/>
      <c r="Q6" s="563"/>
      <c r="R6" s="563"/>
      <c r="S6" s="563"/>
      <c r="T6" s="563"/>
      <c r="U6" s="341" t="s">
        <v>5247</v>
      </c>
      <c r="V6" s="341" t="s">
        <v>5249</v>
      </c>
      <c r="W6" s="341" t="s">
        <v>5248</v>
      </c>
      <c r="X6" s="341" t="s">
        <v>9</v>
      </c>
      <c r="Y6" s="375"/>
    </row>
    <row r="7" spans="1:25" ht="247.5">
      <c r="A7" s="23"/>
      <c r="B7" s="31" t="s">
        <v>26</v>
      </c>
      <c r="C7" s="55" t="s">
        <v>958</v>
      </c>
      <c r="D7" s="355" t="s">
        <v>29</v>
      </c>
      <c r="E7" s="37" t="s">
        <v>28</v>
      </c>
      <c r="F7" s="45" t="s">
        <v>26</v>
      </c>
      <c r="G7" s="45">
        <v>36</v>
      </c>
      <c r="H7" s="296"/>
      <c r="I7" s="44"/>
      <c r="J7" s="38" t="s">
        <v>4868</v>
      </c>
      <c r="K7" s="38">
        <v>118</v>
      </c>
      <c r="L7" s="36" t="s">
        <v>411</v>
      </c>
      <c r="M7" s="45" t="s">
        <v>412</v>
      </c>
      <c r="N7" s="37" t="s">
        <v>4865</v>
      </c>
      <c r="O7" s="33" t="s">
        <v>4813</v>
      </c>
      <c r="P7" s="38"/>
      <c r="Q7" s="38" t="s">
        <v>5254</v>
      </c>
      <c r="R7" s="38" t="s">
        <v>5185</v>
      </c>
      <c r="S7" s="47"/>
      <c r="T7" s="31" t="s">
        <v>5101</v>
      </c>
      <c r="U7" s="345"/>
      <c r="V7" s="30"/>
      <c r="W7" s="30"/>
      <c r="X7" s="55"/>
      <c r="Y7" s="376"/>
    </row>
    <row r="8" spans="1:25" ht="115.5">
      <c r="A8" s="23"/>
      <c r="B8" s="31" t="s">
        <v>27</v>
      </c>
      <c r="C8" s="55" t="s">
        <v>959</v>
      </c>
      <c r="D8" s="355" t="s">
        <v>30</v>
      </c>
      <c r="E8" s="37" t="s">
        <v>33</v>
      </c>
      <c r="F8" s="45" t="s">
        <v>25</v>
      </c>
      <c r="G8" s="45">
        <v>36</v>
      </c>
      <c r="H8" s="296"/>
      <c r="I8" s="44"/>
      <c r="J8" s="38" t="s">
        <v>4867</v>
      </c>
      <c r="K8" s="38">
        <v>118</v>
      </c>
      <c r="L8" s="36" t="s">
        <v>413</v>
      </c>
      <c r="M8" s="45">
        <v>137</v>
      </c>
      <c r="N8" s="37" t="s">
        <v>4864</v>
      </c>
      <c r="O8" s="33" t="s">
        <v>4650</v>
      </c>
      <c r="P8" s="38"/>
      <c r="Q8" s="38" t="s">
        <v>5255</v>
      </c>
      <c r="R8" s="38" t="s">
        <v>5186</v>
      </c>
      <c r="S8" s="47"/>
      <c r="T8" s="31" t="s">
        <v>5101</v>
      </c>
      <c r="U8" s="345"/>
      <c r="V8" s="30"/>
      <c r="W8" s="30"/>
      <c r="X8" s="55"/>
      <c r="Y8" s="376"/>
    </row>
    <row r="9" spans="1:25" ht="66">
      <c r="A9" s="23"/>
      <c r="B9" s="31" t="s">
        <v>27</v>
      </c>
      <c r="C9" s="55" t="s">
        <v>960</v>
      </c>
      <c r="D9" s="355" t="s">
        <v>31</v>
      </c>
      <c r="E9" s="37" t="s">
        <v>34</v>
      </c>
      <c r="F9" s="31" t="s">
        <v>27</v>
      </c>
      <c r="G9" s="45" t="s">
        <v>35</v>
      </c>
      <c r="H9" s="296"/>
      <c r="I9" s="44"/>
      <c r="J9" s="38" t="s">
        <v>4867</v>
      </c>
      <c r="K9" s="38">
        <v>118</v>
      </c>
      <c r="L9" s="36" t="s">
        <v>4980</v>
      </c>
      <c r="M9" s="45">
        <v>137</v>
      </c>
      <c r="N9" s="37" t="s">
        <v>4863</v>
      </c>
      <c r="O9" s="33" t="s">
        <v>4650</v>
      </c>
      <c r="P9" s="38"/>
      <c r="Q9" s="38" t="s">
        <v>5255</v>
      </c>
      <c r="R9" s="38" t="s">
        <v>5187</v>
      </c>
      <c r="S9" s="47"/>
      <c r="T9" s="31" t="s">
        <v>5101</v>
      </c>
      <c r="U9" s="345"/>
      <c r="V9" s="30"/>
      <c r="W9" s="30"/>
      <c r="X9" s="55"/>
      <c r="Y9" s="376"/>
    </row>
    <row r="10" spans="1:25" ht="143.25" customHeight="1">
      <c r="A10" s="23"/>
      <c r="B10" s="31" t="s">
        <v>27</v>
      </c>
      <c r="C10" s="55" t="s">
        <v>961</v>
      </c>
      <c r="D10" s="355" t="s">
        <v>32</v>
      </c>
      <c r="E10" s="37" t="s">
        <v>36</v>
      </c>
      <c r="F10" s="31" t="s">
        <v>27</v>
      </c>
      <c r="G10" s="45">
        <v>37</v>
      </c>
      <c r="H10" s="296"/>
      <c r="I10" s="44"/>
      <c r="J10" s="38" t="s">
        <v>4868</v>
      </c>
      <c r="K10" s="38">
        <v>118</v>
      </c>
      <c r="L10" s="36" t="s">
        <v>413</v>
      </c>
      <c r="M10" s="45" t="s">
        <v>4981</v>
      </c>
      <c r="N10" s="37" t="s">
        <v>4862</v>
      </c>
      <c r="O10" s="33" t="s">
        <v>4650</v>
      </c>
      <c r="P10" s="38"/>
      <c r="Q10" s="38" t="s">
        <v>5255</v>
      </c>
      <c r="R10" s="38" t="s">
        <v>5185</v>
      </c>
      <c r="S10" s="47"/>
      <c r="T10" s="31" t="s">
        <v>5101</v>
      </c>
      <c r="U10" s="345"/>
      <c r="V10" s="30"/>
      <c r="W10" s="30"/>
      <c r="X10" s="55"/>
      <c r="Y10" s="376"/>
    </row>
    <row r="11" spans="1:25" ht="95.1" customHeight="1">
      <c r="A11" s="23"/>
      <c r="B11" s="31" t="s">
        <v>37</v>
      </c>
      <c r="C11" s="55" t="s">
        <v>962</v>
      </c>
      <c r="D11" s="355" t="s">
        <v>38</v>
      </c>
      <c r="E11" s="37" t="s">
        <v>41</v>
      </c>
      <c r="F11" s="31" t="s">
        <v>37</v>
      </c>
      <c r="G11" s="45">
        <v>37</v>
      </c>
      <c r="H11" s="296"/>
      <c r="I11" s="44"/>
      <c r="J11" s="38" t="s">
        <v>4868</v>
      </c>
      <c r="K11" s="38">
        <v>118</v>
      </c>
      <c r="L11" s="36" t="s">
        <v>413</v>
      </c>
      <c r="M11" s="45" t="s">
        <v>414</v>
      </c>
      <c r="N11" s="37" t="s">
        <v>4861</v>
      </c>
      <c r="O11" s="33" t="s">
        <v>4650</v>
      </c>
      <c r="P11" s="38"/>
      <c r="Q11" s="38" t="s">
        <v>5255</v>
      </c>
      <c r="R11" s="38" t="s">
        <v>5185</v>
      </c>
      <c r="S11" s="47"/>
      <c r="T11" s="31" t="s">
        <v>5101</v>
      </c>
      <c r="U11" s="345"/>
      <c r="V11" s="30"/>
      <c r="W11" s="30"/>
      <c r="X11" s="55"/>
      <c r="Y11" s="376"/>
    </row>
    <row r="12" spans="1:25" ht="68.25" customHeight="1">
      <c r="A12" s="23"/>
      <c r="B12" s="31" t="s">
        <v>37</v>
      </c>
      <c r="C12" s="55" t="s">
        <v>963</v>
      </c>
      <c r="D12" s="355" t="s">
        <v>39</v>
      </c>
      <c r="E12" s="37" t="s">
        <v>42</v>
      </c>
      <c r="F12" s="31" t="s">
        <v>37</v>
      </c>
      <c r="G12" s="45">
        <v>37</v>
      </c>
      <c r="H12" s="296"/>
      <c r="I12" s="44"/>
      <c r="J12" s="38" t="s">
        <v>4867</v>
      </c>
      <c r="K12" s="38">
        <v>118</v>
      </c>
      <c r="L12" s="36" t="s">
        <v>413</v>
      </c>
      <c r="M12" s="45" t="s">
        <v>414</v>
      </c>
      <c r="N12" s="33" t="s">
        <v>4860</v>
      </c>
      <c r="O12" s="33" t="s">
        <v>4650</v>
      </c>
      <c r="P12" s="38"/>
      <c r="Q12" s="38" t="s">
        <v>5255</v>
      </c>
      <c r="R12" s="38" t="s">
        <v>5186</v>
      </c>
      <c r="S12" s="47"/>
      <c r="T12" s="31" t="s">
        <v>5101</v>
      </c>
      <c r="U12" s="345"/>
      <c r="V12" s="30"/>
      <c r="W12" s="30"/>
      <c r="X12" s="55"/>
      <c r="Y12" s="376"/>
    </row>
    <row r="13" spans="1:25" ht="97.5" customHeight="1">
      <c r="A13" s="23"/>
      <c r="B13" s="31" t="s">
        <v>37</v>
      </c>
      <c r="C13" s="55" t="s">
        <v>964</v>
      </c>
      <c r="D13" s="355" t="s">
        <v>40</v>
      </c>
      <c r="E13" s="37" t="s">
        <v>43</v>
      </c>
      <c r="F13" s="31" t="s">
        <v>37</v>
      </c>
      <c r="G13" s="45">
        <v>37</v>
      </c>
      <c r="H13" s="296"/>
      <c r="I13" s="44"/>
      <c r="J13" s="38" t="s">
        <v>4867</v>
      </c>
      <c r="K13" s="38">
        <v>118</v>
      </c>
      <c r="L13" s="36" t="s">
        <v>4980</v>
      </c>
      <c r="M13" s="45" t="s">
        <v>414</v>
      </c>
      <c r="N13" s="33" t="s">
        <v>4859</v>
      </c>
      <c r="O13" s="33" t="s">
        <v>4650</v>
      </c>
      <c r="P13" s="38"/>
      <c r="Q13" s="38" t="s">
        <v>5255</v>
      </c>
      <c r="R13" s="38" t="s">
        <v>5186</v>
      </c>
      <c r="S13" s="47"/>
      <c r="T13" s="31" t="s">
        <v>5101</v>
      </c>
      <c r="U13" s="345"/>
      <c r="V13" s="30"/>
      <c r="W13" s="30"/>
      <c r="X13" s="55"/>
      <c r="Y13" s="376"/>
    </row>
    <row r="14" spans="1:25" ht="86.25" customHeight="1">
      <c r="A14" s="23"/>
      <c r="B14" s="31" t="s">
        <v>44</v>
      </c>
      <c r="C14" s="55" t="s">
        <v>965</v>
      </c>
      <c r="D14" s="355" t="s">
        <v>45</v>
      </c>
      <c r="E14" s="37" t="s">
        <v>48</v>
      </c>
      <c r="F14" s="31" t="s">
        <v>44</v>
      </c>
      <c r="G14" s="45">
        <v>37</v>
      </c>
      <c r="H14" s="296"/>
      <c r="I14" s="44"/>
      <c r="J14" s="38" t="s">
        <v>4867</v>
      </c>
      <c r="K14" s="38">
        <v>118</v>
      </c>
      <c r="L14" s="36" t="s">
        <v>4980</v>
      </c>
      <c r="M14" s="45" t="s">
        <v>414</v>
      </c>
      <c r="N14" s="33" t="s">
        <v>4858</v>
      </c>
      <c r="O14" s="33" t="s">
        <v>4650</v>
      </c>
      <c r="P14" s="38"/>
      <c r="Q14" s="38" t="s">
        <v>5255</v>
      </c>
      <c r="R14" s="38" t="s">
        <v>5186</v>
      </c>
      <c r="S14" s="47"/>
      <c r="T14" s="31" t="s">
        <v>5101</v>
      </c>
      <c r="U14" s="345"/>
      <c r="V14" s="30"/>
      <c r="W14" s="30"/>
      <c r="X14" s="55"/>
      <c r="Y14" s="376"/>
    </row>
    <row r="15" spans="1:25" ht="68.25" customHeight="1">
      <c r="A15" s="23"/>
      <c r="B15" s="31" t="s">
        <v>44</v>
      </c>
      <c r="C15" s="55" t="s">
        <v>966</v>
      </c>
      <c r="D15" s="355" t="s">
        <v>46</v>
      </c>
      <c r="E15" s="37" t="s">
        <v>49</v>
      </c>
      <c r="F15" s="31" t="s">
        <v>44</v>
      </c>
      <c r="G15" s="45">
        <v>38</v>
      </c>
      <c r="H15" s="296"/>
      <c r="I15" s="44"/>
      <c r="J15" s="38" t="s">
        <v>4868</v>
      </c>
      <c r="K15" s="38">
        <v>118</v>
      </c>
      <c r="L15" s="36" t="s">
        <v>413</v>
      </c>
      <c r="M15" s="45" t="s">
        <v>414</v>
      </c>
      <c r="N15" s="33" t="s">
        <v>4857</v>
      </c>
      <c r="O15" s="33" t="s">
        <v>4650</v>
      </c>
      <c r="P15" s="38"/>
      <c r="Q15" s="38" t="s">
        <v>5255</v>
      </c>
      <c r="R15" s="38" t="s">
        <v>5185</v>
      </c>
      <c r="S15" s="47"/>
      <c r="T15" s="31" t="s">
        <v>5101</v>
      </c>
      <c r="U15" s="345"/>
      <c r="V15" s="30"/>
      <c r="W15" s="30"/>
      <c r="X15" s="55"/>
      <c r="Y15" s="376"/>
    </row>
    <row r="16" spans="1:25" ht="66">
      <c r="A16" s="23"/>
      <c r="B16" s="31" t="s">
        <v>44</v>
      </c>
      <c r="C16" s="55" t="s">
        <v>967</v>
      </c>
      <c r="D16" s="355" t="s">
        <v>47</v>
      </c>
      <c r="E16" s="37" t="s">
        <v>50</v>
      </c>
      <c r="F16" s="31" t="s">
        <v>44</v>
      </c>
      <c r="G16" s="45">
        <v>38</v>
      </c>
      <c r="H16" s="296"/>
      <c r="I16" s="44"/>
      <c r="J16" s="38" t="s">
        <v>4867</v>
      </c>
      <c r="K16" s="38">
        <v>118</v>
      </c>
      <c r="L16" s="36" t="s">
        <v>4980</v>
      </c>
      <c r="M16" s="45" t="s">
        <v>414</v>
      </c>
      <c r="N16" s="33" t="s">
        <v>4856</v>
      </c>
      <c r="O16" s="33" t="s">
        <v>4650</v>
      </c>
      <c r="P16" s="38"/>
      <c r="Q16" s="38" t="s">
        <v>5255</v>
      </c>
      <c r="R16" s="38" t="s">
        <v>5186</v>
      </c>
      <c r="S16" s="47"/>
      <c r="T16" s="31" t="s">
        <v>5101</v>
      </c>
      <c r="U16" s="345"/>
      <c r="V16" s="30"/>
      <c r="W16" s="30"/>
      <c r="X16" s="55"/>
      <c r="Y16" s="376"/>
    </row>
    <row r="17" spans="1:25" s="23" customFormat="1" ht="66">
      <c r="B17" s="31" t="s">
        <v>51</v>
      </c>
      <c r="C17" s="55" t="s">
        <v>968</v>
      </c>
      <c r="D17" s="295" t="s">
        <v>53</v>
      </c>
      <c r="E17" s="295" t="s">
        <v>56</v>
      </c>
      <c r="F17" s="31" t="s">
        <v>51</v>
      </c>
      <c r="G17" s="45">
        <v>38</v>
      </c>
      <c r="H17" s="295"/>
      <c r="I17" s="39"/>
      <c r="J17" s="38" t="s">
        <v>4869</v>
      </c>
      <c r="K17" s="38">
        <v>9</v>
      </c>
      <c r="L17" s="297" t="s">
        <v>415</v>
      </c>
      <c r="M17" s="45">
        <v>149</v>
      </c>
      <c r="N17" s="37" t="s">
        <v>4387</v>
      </c>
      <c r="O17" s="295" t="s">
        <v>4838</v>
      </c>
      <c r="P17" s="38"/>
      <c r="Q17" s="38" t="s">
        <v>5255</v>
      </c>
      <c r="R17" s="38" t="s">
        <v>5189</v>
      </c>
      <c r="S17" s="38"/>
      <c r="T17" s="38" t="s">
        <v>5102</v>
      </c>
      <c r="U17" s="345"/>
      <c r="V17" s="39"/>
      <c r="W17" s="39"/>
      <c r="X17" s="39"/>
      <c r="Y17" s="377"/>
    </row>
    <row r="18" spans="1:25" s="23" customFormat="1" ht="66">
      <c r="B18" s="31" t="s">
        <v>51</v>
      </c>
      <c r="C18" s="55" t="s">
        <v>969</v>
      </c>
      <c r="D18" s="295" t="s">
        <v>52</v>
      </c>
      <c r="E18" s="37" t="s">
        <v>57</v>
      </c>
      <c r="F18" s="31" t="s">
        <v>51</v>
      </c>
      <c r="G18" s="45">
        <v>38</v>
      </c>
      <c r="H18" s="295"/>
      <c r="I18" s="39"/>
      <c r="J18" s="38" t="s">
        <v>4869</v>
      </c>
      <c r="K18" s="38">
        <v>9</v>
      </c>
      <c r="L18" s="297" t="s">
        <v>416</v>
      </c>
      <c r="M18" s="45">
        <v>152</v>
      </c>
      <c r="N18" s="39" t="s">
        <v>4855</v>
      </c>
      <c r="O18" s="295" t="s">
        <v>4838</v>
      </c>
      <c r="P18" s="38"/>
      <c r="Q18" s="38" t="s">
        <v>5255</v>
      </c>
      <c r="R18" s="38" t="s">
        <v>5189</v>
      </c>
      <c r="S18" s="38"/>
      <c r="T18" s="38" t="s">
        <v>5102</v>
      </c>
      <c r="U18" s="345"/>
      <c r="V18" s="39"/>
      <c r="W18" s="39"/>
      <c r="X18" s="39"/>
      <c r="Y18" s="377"/>
    </row>
    <row r="19" spans="1:25" s="23" customFormat="1" ht="66">
      <c r="B19" s="31" t="s">
        <v>51</v>
      </c>
      <c r="C19" s="55" t="s">
        <v>970</v>
      </c>
      <c r="D19" s="295" t="s">
        <v>54</v>
      </c>
      <c r="E19" s="37" t="s">
        <v>58</v>
      </c>
      <c r="F19" s="31" t="s">
        <v>51</v>
      </c>
      <c r="G19" s="45">
        <v>38</v>
      </c>
      <c r="H19" s="295"/>
      <c r="I19" s="39"/>
      <c r="J19" s="38" t="s">
        <v>4869</v>
      </c>
      <c r="K19" s="38">
        <v>9</v>
      </c>
      <c r="L19" s="297" t="s">
        <v>416</v>
      </c>
      <c r="M19" s="45">
        <v>152</v>
      </c>
      <c r="N19" s="39" t="s">
        <v>4854</v>
      </c>
      <c r="O19" s="295" t="s">
        <v>4838</v>
      </c>
      <c r="P19" s="38"/>
      <c r="Q19" s="38" t="s">
        <v>5255</v>
      </c>
      <c r="R19" s="38" t="s">
        <v>5190</v>
      </c>
      <c r="S19" s="38"/>
      <c r="T19" s="38" t="s">
        <v>5102</v>
      </c>
      <c r="U19" s="345"/>
      <c r="V19" s="39"/>
      <c r="W19" s="39"/>
      <c r="X19" s="39"/>
      <c r="Y19" s="377"/>
    </row>
    <row r="20" spans="1:25" s="23" customFormat="1" ht="66">
      <c r="B20" s="31" t="s">
        <v>51</v>
      </c>
      <c r="C20" s="55" t="s">
        <v>971</v>
      </c>
      <c r="D20" s="295" t="s">
        <v>55</v>
      </c>
      <c r="E20" s="37" t="s">
        <v>59</v>
      </c>
      <c r="F20" s="31" t="s">
        <v>51</v>
      </c>
      <c r="G20" s="45">
        <v>38</v>
      </c>
      <c r="H20" s="295"/>
      <c r="I20" s="39"/>
      <c r="J20" s="38" t="s">
        <v>4869</v>
      </c>
      <c r="K20" s="38">
        <v>9</v>
      </c>
      <c r="L20" s="297" t="s">
        <v>416</v>
      </c>
      <c r="M20" s="45">
        <v>152</v>
      </c>
      <c r="N20" s="295" t="s">
        <v>4853</v>
      </c>
      <c r="O20" s="295" t="s">
        <v>4852</v>
      </c>
      <c r="P20" s="38"/>
      <c r="Q20" s="38" t="s">
        <v>5255</v>
      </c>
      <c r="R20" s="38" t="s">
        <v>5189</v>
      </c>
      <c r="S20" s="38"/>
      <c r="T20" s="38" t="s">
        <v>5102</v>
      </c>
      <c r="U20" s="345"/>
      <c r="V20" s="39"/>
      <c r="W20" s="39"/>
      <c r="X20" s="39"/>
      <c r="Y20" s="377"/>
    </row>
    <row r="21" spans="1:25" ht="82.5">
      <c r="A21" s="23"/>
      <c r="B21" s="31" t="s">
        <v>60</v>
      </c>
      <c r="C21" s="55" t="s">
        <v>972</v>
      </c>
      <c r="D21" s="295" t="s">
        <v>61</v>
      </c>
      <c r="E21" s="37" t="s">
        <v>66</v>
      </c>
      <c r="F21" s="31" t="s">
        <v>60</v>
      </c>
      <c r="G21" s="45">
        <v>39</v>
      </c>
      <c r="H21" s="295"/>
      <c r="I21" s="39"/>
      <c r="J21" s="38" t="s">
        <v>4869</v>
      </c>
      <c r="K21" s="38">
        <v>9</v>
      </c>
      <c r="L21" s="297" t="s">
        <v>416</v>
      </c>
      <c r="M21" s="45">
        <v>152</v>
      </c>
      <c r="N21" s="295" t="s">
        <v>4851</v>
      </c>
      <c r="O21" s="295" t="s">
        <v>4850</v>
      </c>
      <c r="P21" s="38"/>
      <c r="Q21" s="38" t="s">
        <v>5255</v>
      </c>
      <c r="R21" s="38" t="s">
        <v>5191</v>
      </c>
      <c r="S21" s="38"/>
      <c r="T21" s="38" t="s">
        <v>5102</v>
      </c>
      <c r="U21" s="345"/>
      <c r="V21" s="39"/>
      <c r="W21" s="39"/>
      <c r="X21" s="39"/>
      <c r="Y21" s="377"/>
    </row>
    <row r="22" spans="1:25" ht="113.25" customHeight="1">
      <c r="A22" s="23"/>
      <c r="B22" s="31" t="s">
        <v>60</v>
      </c>
      <c r="C22" s="55" t="s">
        <v>973</v>
      </c>
      <c r="D22" s="295" t="s">
        <v>62</v>
      </c>
      <c r="E22" s="37" t="s">
        <v>67</v>
      </c>
      <c r="F22" s="31" t="s">
        <v>60</v>
      </c>
      <c r="G22" s="45">
        <v>39</v>
      </c>
      <c r="H22" s="295"/>
      <c r="I22" s="39"/>
      <c r="J22" s="38" t="s">
        <v>4869</v>
      </c>
      <c r="K22" s="38">
        <v>9</v>
      </c>
      <c r="L22" s="297" t="s">
        <v>4982</v>
      </c>
      <c r="M22" s="45">
        <v>151</v>
      </c>
      <c r="N22" s="295" t="s">
        <v>4849</v>
      </c>
      <c r="O22" s="295" t="s">
        <v>4848</v>
      </c>
      <c r="P22" s="38"/>
      <c r="Q22" s="38" t="s">
        <v>5255</v>
      </c>
      <c r="R22" s="38" t="s">
        <v>5188</v>
      </c>
      <c r="S22" s="38"/>
      <c r="T22" s="38" t="s">
        <v>5102</v>
      </c>
      <c r="U22" s="345"/>
      <c r="V22" s="39"/>
      <c r="W22" s="39"/>
      <c r="X22" s="39"/>
      <c r="Y22" s="377"/>
    </row>
    <row r="23" spans="1:25" ht="148.5">
      <c r="A23" s="23"/>
      <c r="B23" s="31" t="s">
        <v>60</v>
      </c>
      <c r="C23" s="55" t="s">
        <v>974</v>
      </c>
      <c r="D23" s="295" t="s">
        <v>63</v>
      </c>
      <c r="E23" s="37" t="s">
        <v>68</v>
      </c>
      <c r="F23" s="31" t="s">
        <v>60</v>
      </c>
      <c r="G23" s="45">
        <v>39</v>
      </c>
      <c r="H23" s="295"/>
      <c r="I23" s="39"/>
      <c r="J23" s="38" t="s">
        <v>4869</v>
      </c>
      <c r="K23" s="38">
        <v>9</v>
      </c>
      <c r="L23" s="297" t="s">
        <v>418</v>
      </c>
      <c r="M23" s="45">
        <v>148</v>
      </c>
      <c r="N23" s="295" t="s">
        <v>4847</v>
      </c>
      <c r="O23" s="295" t="s">
        <v>4846</v>
      </c>
      <c r="P23" s="38"/>
      <c r="Q23" s="38" t="s">
        <v>5255</v>
      </c>
      <c r="R23" s="38" t="s">
        <v>5191</v>
      </c>
      <c r="S23" s="38"/>
      <c r="T23" s="38" t="s">
        <v>5102</v>
      </c>
      <c r="U23" s="345"/>
      <c r="V23" s="39"/>
      <c r="W23" s="39"/>
      <c r="X23" s="39"/>
      <c r="Y23" s="377"/>
    </row>
    <row r="24" spans="1:25" ht="115.5">
      <c r="A24" s="23"/>
      <c r="B24" s="31" t="s">
        <v>60</v>
      </c>
      <c r="C24" s="55" t="s">
        <v>975</v>
      </c>
      <c r="D24" s="295" t="s">
        <v>64</v>
      </c>
      <c r="E24" s="37" t="s">
        <v>69</v>
      </c>
      <c r="F24" s="31" t="s">
        <v>60</v>
      </c>
      <c r="G24" s="45">
        <v>39</v>
      </c>
      <c r="H24" s="295"/>
      <c r="I24" s="39"/>
      <c r="J24" s="38" t="s">
        <v>4869</v>
      </c>
      <c r="K24" s="38">
        <v>9</v>
      </c>
      <c r="L24" s="360" t="s">
        <v>4983</v>
      </c>
      <c r="M24" s="32">
        <v>152</v>
      </c>
      <c r="N24" s="295" t="s">
        <v>4845</v>
      </c>
      <c r="O24" s="295" t="s">
        <v>4844</v>
      </c>
      <c r="P24" s="38"/>
      <c r="Q24" s="38" t="s">
        <v>5255</v>
      </c>
      <c r="R24" s="38" t="s">
        <v>5192</v>
      </c>
      <c r="S24" s="38"/>
      <c r="T24" s="38" t="s">
        <v>5102</v>
      </c>
      <c r="U24" s="345"/>
      <c r="V24" s="39"/>
      <c r="W24" s="39"/>
      <c r="X24" s="39"/>
      <c r="Y24" s="377"/>
    </row>
    <row r="25" spans="1:25" ht="82.5">
      <c r="A25" s="23"/>
      <c r="B25" s="31" t="s">
        <v>60</v>
      </c>
      <c r="C25" s="55" t="s">
        <v>976</v>
      </c>
      <c r="D25" s="295" t="s">
        <v>65</v>
      </c>
      <c r="E25" s="37" t="s">
        <v>70</v>
      </c>
      <c r="F25" s="31" t="s">
        <v>60</v>
      </c>
      <c r="G25" s="45">
        <v>39</v>
      </c>
      <c r="H25" s="295"/>
      <c r="I25" s="39"/>
      <c r="J25" s="38" t="s">
        <v>4869</v>
      </c>
      <c r="K25" s="38">
        <v>9</v>
      </c>
      <c r="L25" s="297" t="s">
        <v>4984</v>
      </c>
      <c r="M25" s="354">
        <v>137</v>
      </c>
      <c r="N25" s="295" t="s">
        <v>4843</v>
      </c>
      <c r="O25" s="295" t="s">
        <v>4842</v>
      </c>
      <c r="P25" s="38"/>
      <c r="Q25" s="38" t="s">
        <v>5255</v>
      </c>
      <c r="R25" s="38" t="s">
        <v>5193</v>
      </c>
      <c r="S25" s="38"/>
      <c r="T25" s="38" t="s">
        <v>5102</v>
      </c>
      <c r="U25" s="345"/>
      <c r="V25" s="39"/>
      <c r="W25" s="39"/>
      <c r="X25" s="39"/>
      <c r="Y25" s="377"/>
    </row>
    <row r="26" spans="1:25" ht="99">
      <c r="A26" s="23"/>
      <c r="B26" s="31" t="s">
        <v>60</v>
      </c>
      <c r="C26" s="55" t="s">
        <v>977</v>
      </c>
      <c r="D26" s="295" t="s">
        <v>72</v>
      </c>
      <c r="E26" s="37" t="s">
        <v>71</v>
      </c>
      <c r="F26" s="31" t="s">
        <v>60</v>
      </c>
      <c r="G26" s="45">
        <v>40</v>
      </c>
      <c r="H26" s="295"/>
      <c r="I26" s="39"/>
      <c r="J26" s="38" t="s">
        <v>4869</v>
      </c>
      <c r="K26" s="38">
        <v>9</v>
      </c>
      <c r="L26" s="297" t="s">
        <v>4984</v>
      </c>
      <c r="M26" s="354">
        <v>137</v>
      </c>
      <c r="N26" s="37" t="s">
        <v>4841</v>
      </c>
      <c r="O26" s="295" t="s">
        <v>4840</v>
      </c>
      <c r="P26" s="38"/>
      <c r="Q26" s="38" t="s">
        <v>5255</v>
      </c>
      <c r="R26" s="38" t="s">
        <v>5194</v>
      </c>
      <c r="S26" s="38"/>
      <c r="T26" s="38" t="s">
        <v>5102</v>
      </c>
      <c r="U26" s="345"/>
      <c r="V26" s="39"/>
      <c r="W26" s="39"/>
      <c r="X26" s="39"/>
      <c r="Y26" s="377"/>
    </row>
    <row r="27" spans="1:25" ht="132">
      <c r="A27" s="23"/>
      <c r="B27" s="31" t="s">
        <v>74</v>
      </c>
      <c r="C27" s="55" t="s">
        <v>978</v>
      </c>
      <c r="D27" s="295" t="s">
        <v>75</v>
      </c>
      <c r="E27" s="37" t="s">
        <v>77</v>
      </c>
      <c r="F27" s="31" t="s">
        <v>73</v>
      </c>
      <c r="G27" s="45">
        <v>40</v>
      </c>
      <c r="H27" s="295"/>
      <c r="I27" s="39"/>
      <c r="J27" s="38" t="s">
        <v>4869</v>
      </c>
      <c r="K27" s="38">
        <v>9</v>
      </c>
      <c r="L27" s="297" t="s">
        <v>418</v>
      </c>
      <c r="M27" s="45">
        <v>148</v>
      </c>
      <c r="N27" s="37" t="s">
        <v>4839</v>
      </c>
      <c r="O27" s="295" t="s">
        <v>4838</v>
      </c>
      <c r="P27" s="38"/>
      <c r="Q27" s="38" t="s">
        <v>5255</v>
      </c>
      <c r="R27" s="38" t="s">
        <v>5191</v>
      </c>
      <c r="S27" s="38"/>
      <c r="T27" s="38" t="s">
        <v>5102</v>
      </c>
      <c r="U27" s="345"/>
      <c r="V27" s="39"/>
      <c r="W27" s="39"/>
      <c r="X27" s="39"/>
      <c r="Y27" s="377"/>
    </row>
    <row r="28" spans="1:25" ht="99">
      <c r="A28" s="23"/>
      <c r="B28" s="31" t="s">
        <v>74</v>
      </c>
      <c r="C28" s="55" t="s">
        <v>979</v>
      </c>
      <c r="D28" s="295" t="s">
        <v>76</v>
      </c>
      <c r="E28" s="37" t="s">
        <v>78</v>
      </c>
      <c r="F28" s="31" t="s">
        <v>73</v>
      </c>
      <c r="G28" s="45">
        <v>40</v>
      </c>
      <c r="H28" s="295"/>
      <c r="I28" s="39"/>
      <c r="J28" s="38" t="s">
        <v>4869</v>
      </c>
      <c r="K28" s="38">
        <v>9</v>
      </c>
      <c r="L28" s="297" t="s">
        <v>418</v>
      </c>
      <c r="M28" s="45">
        <v>148</v>
      </c>
      <c r="N28" s="37" t="s">
        <v>4837</v>
      </c>
      <c r="O28" s="295" t="s">
        <v>4836</v>
      </c>
      <c r="P28" s="38"/>
      <c r="Q28" s="38" t="s">
        <v>5255</v>
      </c>
      <c r="R28" s="38" t="s">
        <v>5195</v>
      </c>
      <c r="S28" s="38"/>
      <c r="T28" s="38" t="s">
        <v>5102</v>
      </c>
      <c r="U28" s="345"/>
      <c r="V28" s="39"/>
      <c r="W28" s="39"/>
      <c r="X28" s="39"/>
      <c r="Y28" s="377"/>
    </row>
    <row r="29" spans="1:25" ht="115.5">
      <c r="A29" s="23"/>
      <c r="B29" s="38" t="s">
        <v>79</v>
      </c>
      <c r="C29" s="55" t="s">
        <v>980</v>
      </c>
      <c r="D29" s="295" t="s">
        <v>80</v>
      </c>
      <c r="E29" s="37" t="s">
        <v>81</v>
      </c>
      <c r="F29" s="38" t="s">
        <v>79</v>
      </c>
      <c r="G29" s="45" t="s">
        <v>82</v>
      </c>
      <c r="H29" s="295"/>
      <c r="I29" s="39"/>
      <c r="J29" s="38" t="s">
        <v>4869</v>
      </c>
      <c r="K29" s="38">
        <v>9</v>
      </c>
      <c r="L29" s="360" t="s">
        <v>4984</v>
      </c>
      <c r="M29" s="32">
        <v>137</v>
      </c>
      <c r="N29" s="351" t="s">
        <v>4835</v>
      </c>
      <c r="O29" s="295" t="s">
        <v>4834</v>
      </c>
      <c r="P29" s="38"/>
      <c r="Q29" s="38" t="s">
        <v>5255</v>
      </c>
      <c r="R29" s="38" t="s">
        <v>5194</v>
      </c>
      <c r="S29" s="38"/>
      <c r="T29" s="38" t="s">
        <v>5102</v>
      </c>
      <c r="U29" s="345"/>
      <c r="V29" s="39"/>
      <c r="W29" s="39"/>
      <c r="X29" s="39"/>
      <c r="Y29" s="377"/>
    </row>
    <row r="30" spans="1:25" ht="66">
      <c r="A30" s="23"/>
      <c r="B30" s="38" t="s">
        <v>83</v>
      </c>
      <c r="C30" s="55" t="s">
        <v>981</v>
      </c>
      <c r="D30" s="295" t="s">
        <v>84</v>
      </c>
      <c r="E30" s="37" t="s">
        <v>89</v>
      </c>
      <c r="F30" s="38" t="s">
        <v>83</v>
      </c>
      <c r="G30" s="45">
        <v>41</v>
      </c>
      <c r="H30" s="295"/>
      <c r="I30" s="39"/>
      <c r="J30" s="38" t="s">
        <v>4871</v>
      </c>
      <c r="K30" s="38" t="s">
        <v>4873</v>
      </c>
      <c r="L30" s="297" t="s">
        <v>4985</v>
      </c>
      <c r="M30" s="45">
        <v>148</v>
      </c>
      <c r="N30" s="351" t="s">
        <v>4833</v>
      </c>
      <c r="O30" s="295" t="s">
        <v>4698</v>
      </c>
      <c r="P30" s="38"/>
      <c r="Q30" s="38" t="s">
        <v>5255</v>
      </c>
      <c r="R30" s="38" t="s">
        <v>5196</v>
      </c>
      <c r="S30" s="38"/>
      <c r="T30" s="38" t="s">
        <v>5103</v>
      </c>
      <c r="U30" s="345"/>
      <c r="V30" s="39"/>
      <c r="W30" s="39"/>
      <c r="X30" s="39"/>
      <c r="Y30" s="377"/>
    </row>
    <row r="31" spans="1:25" ht="148.5">
      <c r="A31" s="23"/>
      <c r="B31" s="38" t="s">
        <v>83</v>
      </c>
      <c r="C31" s="55" t="s">
        <v>982</v>
      </c>
      <c r="D31" s="295" t="s">
        <v>86</v>
      </c>
      <c r="E31" s="37" t="s">
        <v>90</v>
      </c>
      <c r="F31" s="38" t="s">
        <v>83</v>
      </c>
      <c r="G31" s="45">
        <v>41</v>
      </c>
      <c r="H31" s="295"/>
      <c r="I31" s="39"/>
      <c r="J31" s="38" t="s">
        <v>4874</v>
      </c>
      <c r="K31" s="38" t="s">
        <v>4872</v>
      </c>
      <c r="L31" s="297" t="s">
        <v>419</v>
      </c>
      <c r="M31" s="45" t="s">
        <v>420</v>
      </c>
      <c r="N31" s="351" t="s">
        <v>4832</v>
      </c>
      <c r="O31" s="295" t="s">
        <v>4698</v>
      </c>
      <c r="P31" s="38"/>
      <c r="Q31" s="38" t="s">
        <v>5255</v>
      </c>
      <c r="R31" s="38" t="s">
        <v>5197</v>
      </c>
      <c r="S31" s="38"/>
      <c r="T31" s="38" t="s">
        <v>5103</v>
      </c>
      <c r="U31" s="345"/>
      <c r="V31" s="39"/>
      <c r="W31" s="39"/>
      <c r="X31" s="39"/>
      <c r="Y31" s="377"/>
    </row>
    <row r="32" spans="1:25" ht="148.5">
      <c r="A32" s="23"/>
      <c r="B32" s="38" t="s">
        <v>83</v>
      </c>
      <c r="C32" s="55" t="s">
        <v>983</v>
      </c>
      <c r="D32" s="295" t="s">
        <v>85</v>
      </c>
      <c r="E32" s="37" t="s">
        <v>91</v>
      </c>
      <c r="F32" s="38" t="s">
        <v>83</v>
      </c>
      <c r="G32" s="45">
        <v>41</v>
      </c>
      <c r="H32" s="295"/>
      <c r="I32" s="39"/>
      <c r="J32" s="38" t="s">
        <v>4870</v>
      </c>
      <c r="K32" s="38" t="s">
        <v>4875</v>
      </c>
      <c r="L32" s="297" t="s">
        <v>419</v>
      </c>
      <c r="M32" s="45" t="s">
        <v>4986</v>
      </c>
      <c r="N32" s="351" t="s">
        <v>4831</v>
      </c>
      <c r="O32" s="295" t="s">
        <v>4646</v>
      </c>
      <c r="P32" s="38"/>
      <c r="Q32" s="38" t="s">
        <v>5255</v>
      </c>
      <c r="R32" s="38" t="s">
        <v>5198</v>
      </c>
      <c r="S32" s="38"/>
      <c r="T32" s="38" t="s">
        <v>5103</v>
      </c>
      <c r="U32" s="345"/>
      <c r="V32" s="39"/>
      <c r="W32" s="39"/>
      <c r="X32" s="39"/>
      <c r="Y32" s="377"/>
    </row>
    <row r="33" spans="1:25" ht="148.5">
      <c r="A33" s="23"/>
      <c r="B33" s="38" t="s">
        <v>83</v>
      </c>
      <c r="C33" s="55" t="s">
        <v>984</v>
      </c>
      <c r="D33" s="295" t="s">
        <v>87</v>
      </c>
      <c r="E33" s="37" t="s">
        <v>92</v>
      </c>
      <c r="F33" s="38" t="s">
        <v>83</v>
      </c>
      <c r="G33" s="45">
        <v>41</v>
      </c>
      <c r="H33" s="295"/>
      <c r="I33" s="39"/>
      <c r="J33" s="38" t="s">
        <v>4876</v>
      </c>
      <c r="K33" s="38" t="s">
        <v>4872</v>
      </c>
      <c r="L33" s="297" t="s">
        <v>419</v>
      </c>
      <c r="M33" s="45" t="s">
        <v>4987</v>
      </c>
      <c r="N33" s="351" t="s">
        <v>4830</v>
      </c>
      <c r="O33" s="295" t="s">
        <v>4698</v>
      </c>
      <c r="P33" s="38"/>
      <c r="Q33" s="38" t="s">
        <v>5255</v>
      </c>
      <c r="R33" s="38" t="s">
        <v>5199</v>
      </c>
      <c r="S33" s="38"/>
      <c r="T33" s="38" t="s">
        <v>5103</v>
      </c>
      <c r="U33" s="345"/>
      <c r="V33" s="39"/>
      <c r="W33" s="39"/>
      <c r="X33" s="39"/>
      <c r="Y33" s="377"/>
    </row>
    <row r="34" spans="1:25" ht="148.5">
      <c r="A34" s="23"/>
      <c r="B34" s="38" t="s">
        <v>83</v>
      </c>
      <c r="C34" s="55" t="s">
        <v>985</v>
      </c>
      <c r="D34" s="295" t="s">
        <v>88</v>
      </c>
      <c r="E34" s="37" t="s">
        <v>93</v>
      </c>
      <c r="F34" s="38" t="s">
        <v>83</v>
      </c>
      <c r="G34" s="45">
        <v>41</v>
      </c>
      <c r="H34" s="295"/>
      <c r="I34" s="39"/>
      <c r="J34" s="38" t="s">
        <v>4870</v>
      </c>
      <c r="K34" s="38" t="s">
        <v>4877</v>
      </c>
      <c r="L34" s="297" t="s">
        <v>4988</v>
      </c>
      <c r="M34" s="45" t="s">
        <v>420</v>
      </c>
      <c r="N34" s="351" t="s">
        <v>4829</v>
      </c>
      <c r="O34" s="295" t="s">
        <v>4698</v>
      </c>
      <c r="P34" s="38"/>
      <c r="Q34" s="38" t="s">
        <v>5255</v>
      </c>
      <c r="R34" s="38" t="s">
        <v>5200</v>
      </c>
      <c r="S34" s="38"/>
      <c r="T34" s="38" t="s">
        <v>5103</v>
      </c>
      <c r="U34" s="345"/>
      <c r="V34" s="39"/>
      <c r="W34" s="39"/>
      <c r="X34" s="39"/>
      <c r="Y34" s="377"/>
    </row>
    <row r="35" spans="1:25" ht="148.5">
      <c r="A35" s="23"/>
      <c r="B35" s="38" t="s">
        <v>94</v>
      </c>
      <c r="C35" s="55" t="s">
        <v>986</v>
      </c>
      <c r="D35" s="295" t="s">
        <v>95</v>
      </c>
      <c r="E35" s="37" t="s">
        <v>97</v>
      </c>
      <c r="F35" s="38" t="s">
        <v>94</v>
      </c>
      <c r="G35" s="45">
        <v>42</v>
      </c>
      <c r="H35" s="295"/>
      <c r="I35" s="39"/>
      <c r="J35" s="38" t="s">
        <v>4871</v>
      </c>
      <c r="K35" s="38" t="s">
        <v>4873</v>
      </c>
      <c r="L35" s="297" t="s">
        <v>4985</v>
      </c>
      <c r="M35" s="45">
        <v>148</v>
      </c>
      <c r="N35" s="351" t="s">
        <v>4828</v>
      </c>
      <c r="O35" s="295" t="s">
        <v>4827</v>
      </c>
      <c r="P35" s="38"/>
      <c r="Q35" s="38" t="s">
        <v>5255</v>
      </c>
      <c r="R35" s="38" t="s">
        <v>5198</v>
      </c>
      <c r="S35" s="38"/>
      <c r="T35" s="38" t="s">
        <v>5103</v>
      </c>
      <c r="U35" s="345"/>
      <c r="V35" s="39"/>
      <c r="W35" s="39"/>
      <c r="X35" s="39"/>
      <c r="Y35" s="377"/>
    </row>
    <row r="36" spans="1:25" ht="148.5">
      <c r="A36" s="23"/>
      <c r="B36" s="38" t="s">
        <v>94</v>
      </c>
      <c r="C36" s="55" t="s">
        <v>987</v>
      </c>
      <c r="D36" s="295" t="s">
        <v>96</v>
      </c>
      <c r="E36" s="37" t="s">
        <v>98</v>
      </c>
      <c r="F36" s="38" t="s">
        <v>94</v>
      </c>
      <c r="G36" s="45">
        <v>42</v>
      </c>
      <c r="H36" s="295"/>
      <c r="I36" s="39"/>
      <c r="J36" s="38" t="s">
        <v>4871</v>
      </c>
      <c r="K36" s="38" t="s">
        <v>4875</v>
      </c>
      <c r="L36" s="297" t="s">
        <v>4989</v>
      </c>
      <c r="M36" s="45">
        <v>148</v>
      </c>
      <c r="N36" s="351" t="s">
        <v>4826</v>
      </c>
      <c r="O36" s="295" t="s">
        <v>4825</v>
      </c>
      <c r="P36" s="38"/>
      <c r="Q36" s="38" t="s">
        <v>5255</v>
      </c>
      <c r="R36" s="38" t="s">
        <v>5201</v>
      </c>
      <c r="S36" s="38"/>
      <c r="T36" s="38" t="s">
        <v>5103</v>
      </c>
      <c r="U36" s="345"/>
      <c r="V36" s="39"/>
      <c r="W36" s="39"/>
      <c r="X36" s="39"/>
      <c r="Y36" s="377"/>
    </row>
    <row r="37" spans="1:25" ht="148.5">
      <c r="A37" s="23"/>
      <c r="B37" s="38" t="s">
        <v>99</v>
      </c>
      <c r="C37" s="55" t="s">
        <v>988</v>
      </c>
      <c r="D37" s="295" t="s">
        <v>100</v>
      </c>
      <c r="E37" s="37" t="s">
        <v>104</v>
      </c>
      <c r="F37" s="38" t="s">
        <v>99</v>
      </c>
      <c r="G37" s="45">
        <v>42</v>
      </c>
      <c r="H37" s="295"/>
      <c r="I37" s="39"/>
      <c r="J37" s="38" t="s">
        <v>4870</v>
      </c>
      <c r="K37" s="38" t="s">
        <v>4875</v>
      </c>
      <c r="L37" s="297" t="s">
        <v>4985</v>
      </c>
      <c r="M37" s="45">
        <v>148</v>
      </c>
      <c r="N37" s="351" t="s">
        <v>4824</v>
      </c>
      <c r="O37" s="295" t="s">
        <v>4698</v>
      </c>
      <c r="P37" s="38"/>
      <c r="Q37" s="38" t="s">
        <v>5255</v>
      </c>
      <c r="R37" s="38" t="s">
        <v>5198</v>
      </c>
      <c r="S37" s="38"/>
      <c r="T37" s="38" t="s">
        <v>5103</v>
      </c>
      <c r="U37" s="345"/>
      <c r="V37" s="39"/>
      <c r="W37" s="39"/>
      <c r="X37" s="39"/>
      <c r="Y37" s="377"/>
    </row>
    <row r="38" spans="1:25" ht="148.5">
      <c r="A38" s="23"/>
      <c r="B38" s="38" t="s">
        <v>99</v>
      </c>
      <c r="C38" s="55" t="s">
        <v>989</v>
      </c>
      <c r="D38" s="295" t="s">
        <v>101</v>
      </c>
      <c r="E38" s="37" t="s">
        <v>105</v>
      </c>
      <c r="F38" s="38" t="s">
        <v>99</v>
      </c>
      <c r="G38" s="45">
        <v>42</v>
      </c>
      <c r="H38" s="295"/>
      <c r="I38" s="39"/>
      <c r="J38" s="38" t="s">
        <v>4874</v>
      </c>
      <c r="K38" s="38" t="s">
        <v>4872</v>
      </c>
      <c r="L38" s="297" t="s">
        <v>418</v>
      </c>
      <c r="M38" s="45">
        <v>148</v>
      </c>
      <c r="N38" s="351" t="s">
        <v>4823</v>
      </c>
      <c r="O38" s="295" t="s">
        <v>4698</v>
      </c>
      <c r="P38" s="38"/>
      <c r="Q38" s="38" t="s">
        <v>5255</v>
      </c>
      <c r="R38" s="38" t="s">
        <v>5198</v>
      </c>
      <c r="S38" s="38"/>
      <c r="T38" s="38" t="s">
        <v>5103</v>
      </c>
      <c r="U38" s="345"/>
      <c r="V38" s="39"/>
      <c r="W38" s="39"/>
      <c r="X38" s="39"/>
      <c r="Y38" s="377"/>
    </row>
    <row r="39" spans="1:25" ht="62.25" customHeight="1">
      <c r="A39" s="23"/>
      <c r="B39" s="31" t="s">
        <v>99</v>
      </c>
      <c r="C39" s="55" t="s">
        <v>990</v>
      </c>
      <c r="D39" s="295" t="s">
        <v>102</v>
      </c>
      <c r="E39" s="37" t="s">
        <v>106</v>
      </c>
      <c r="F39" s="31" t="s">
        <v>99</v>
      </c>
      <c r="G39" s="45">
        <v>42</v>
      </c>
      <c r="H39" s="295"/>
      <c r="I39" s="39"/>
      <c r="J39" s="38" t="s">
        <v>4870</v>
      </c>
      <c r="K39" s="38" t="s">
        <v>4875</v>
      </c>
      <c r="L39" s="297" t="s">
        <v>410</v>
      </c>
      <c r="M39" s="354"/>
      <c r="N39" s="59" t="s">
        <v>4822</v>
      </c>
      <c r="O39" s="295" t="s">
        <v>4821</v>
      </c>
      <c r="P39" s="38"/>
      <c r="Q39" s="38" t="s">
        <v>5255</v>
      </c>
      <c r="R39" s="38" t="s">
        <v>5202</v>
      </c>
      <c r="S39" s="38"/>
      <c r="T39" s="38" t="s">
        <v>5103</v>
      </c>
      <c r="U39" s="345"/>
      <c r="V39" s="39"/>
      <c r="W39" s="39"/>
      <c r="X39" s="39"/>
      <c r="Y39" s="377"/>
    </row>
    <row r="40" spans="1:25" ht="49.5">
      <c r="A40" s="23"/>
      <c r="B40" s="31" t="s">
        <v>99</v>
      </c>
      <c r="C40" s="55" t="s">
        <v>991</v>
      </c>
      <c r="D40" s="295" t="s">
        <v>103</v>
      </c>
      <c r="E40" s="37" t="s">
        <v>107</v>
      </c>
      <c r="F40" s="31" t="s">
        <v>99</v>
      </c>
      <c r="G40" s="45">
        <v>42</v>
      </c>
      <c r="H40" s="295"/>
      <c r="I40" s="39"/>
      <c r="J40" s="38" t="s">
        <v>4874</v>
      </c>
      <c r="K40" s="38" t="s">
        <v>4872</v>
      </c>
      <c r="L40" s="297" t="s">
        <v>410</v>
      </c>
      <c r="M40" s="354"/>
      <c r="N40" s="59" t="s">
        <v>4820</v>
      </c>
      <c r="O40" s="295" t="s">
        <v>4813</v>
      </c>
      <c r="P40" s="38"/>
      <c r="Q40" s="38" t="s">
        <v>5255</v>
      </c>
      <c r="R40" s="38" t="s">
        <v>5186</v>
      </c>
      <c r="S40" s="38"/>
      <c r="T40" s="38" t="s">
        <v>5103</v>
      </c>
      <c r="U40" s="345"/>
      <c r="V40" s="39"/>
      <c r="W40" s="39"/>
      <c r="X40" s="39"/>
      <c r="Y40" s="377"/>
    </row>
    <row r="41" spans="1:25" ht="148.5">
      <c r="A41" s="23"/>
      <c r="B41" s="31" t="s">
        <v>108</v>
      </c>
      <c r="C41" s="55" t="s">
        <v>992</v>
      </c>
      <c r="D41" s="295" t="s">
        <v>109</v>
      </c>
      <c r="E41" s="37" t="s">
        <v>112</v>
      </c>
      <c r="F41" s="31" t="s">
        <v>108</v>
      </c>
      <c r="G41" s="45">
        <v>43</v>
      </c>
      <c r="H41" s="295"/>
      <c r="I41" s="39"/>
      <c r="J41" s="38" t="s">
        <v>4878</v>
      </c>
      <c r="K41" s="38" t="s">
        <v>4879</v>
      </c>
      <c r="L41" s="297" t="s">
        <v>417</v>
      </c>
      <c r="M41" s="45">
        <v>151</v>
      </c>
      <c r="N41" s="37" t="s">
        <v>4819</v>
      </c>
      <c r="O41" s="295" t="s">
        <v>4700</v>
      </c>
      <c r="P41" s="38"/>
      <c r="Q41" s="38" t="s">
        <v>5255</v>
      </c>
      <c r="R41" s="38" t="s">
        <v>5201</v>
      </c>
      <c r="S41" s="38"/>
      <c r="T41" s="38" t="s">
        <v>5104</v>
      </c>
      <c r="U41" s="345"/>
      <c r="V41" s="39"/>
      <c r="W41" s="39"/>
      <c r="X41" s="39"/>
      <c r="Y41" s="377"/>
    </row>
    <row r="42" spans="1:25" ht="148.5">
      <c r="A42" s="23"/>
      <c r="B42" s="31" t="s">
        <v>108</v>
      </c>
      <c r="C42" s="55" t="s">
        <v>993</v>
      </c>
      <c r="D42" s="295" t="s">
        <v>421</v>
      </c>
      <c r="E42" s="37" t="s">
        <v>113</v>
      </c>
      <c r="F42" s="31" t="s">
        <v>108</v>
      </c>
      <c r="G42" s="45">
        <v>43</v>
      </c>
      <c r="H42" s="295"/>
      <c r="I42" s="39"/>
      <c r="J42" s="38" t="s">
        <v>4880</v>
      </c>
      <c r="K42" s="38">
        <v>71</v>
      </c>
      <c r="L42" s="297" t="s">
        <v>4990</v>
      </c>
      <c r="M42" s="45">
        <v>151</v>
      </c>
      <c r="N42" s="37" t="s">
        <v>4818</v>
      </c>
      <c r="O42" s="295" t="s">
        <v>4698</v>
      </c>
      <c r="P42" s="38"/>
      <c r="Q42" s="38" t="s">
        <v>5255</v>
      </c>
      <c r="R42" s="38" t="s">
        <v>5198</v>
      </c>
      <c r="S42" s="38"/>
      <c r="T42" s="38" t="s">
        <v>5104</v>
      </c>
      <c r="U42" s="345"/>
      <c r="V42" s="39"/>
      <c r="W42" s="39"/>
      <c r="X42" s="39"/>
      <c r="Y42" s="377"/>
    </row>
    <row r="43" spans="1:25" ht="119.25" customHeight="1">
      <c r="A43" s="23"/>
      <c r="B43" s="38" t="s">
        <v>108</v>
      </c>
      <c r="C43" s="55" t="s">
        <v>994</v>
      </c>
      <c r="D43" s="295" t="s">
        <v>110</v>
      </c>
      <c r="E43" s="37" t="s">
        <v>114</v>
      </c>
      <c r="F43" s="38" t="s">
        <v>108</v>
      </c>
      <c r="G43" s="45">
        <v>43</v>
      </c>
      <c r="H43" s="295"/>
      <c r="I43" s="39"/>
      <c r="J43" s="38" t="s">
        <v>4881</v>
      </c>
      <c r="K43" s="38" t="s">
        <v>4883</v>
      </c>
      <c r="L43" s="297" t="s">
        <v>417</v>
      </c>
      <c r="M43" s="45" t="s">
        <v>4991</v>
      </c>
      <c r="N43" s="351" t="s">
        <v>4817</v>
      </c>
      <c r="O43" s="295" t="s">
        <v>4816</v>
      </c>
      <c r="P43" s="38"/>
      <c r="Q43" s="38" t="s">
        <v>5255</v>
      </c>
      <c r="R43" s="38" t="s">
        <v>5198</v>
      </c>
      <c r="S43" s="38"/>
      <c r="T43" s="38" t="s">
        <v>5104</v>
      </c>
      <c r="U43" s="345"/>
      <c r="V43" s="39"/>
      <c r="W43" s="39"/>
      <c r="X43" s="39"/>
      <c r="Y43" s="377"/>
    </row>
    <row r="44" spans="1:25" ht="148.5">
      <c r="A44" s="23"/>
      <c r="B44" s="31" t="s">
        <v>108</v>
      </c>
      <c r="C44" s="55" t="s">
        <v>995</v>
      </c>
      <c r="D44" s="295" t="s">
        <v>111</v>
      </c>
      <c r="E44" s="35" t="s">
        <v>4815</v>
      </c>
      <c r="F44" s="31" t="s">
        <v>108</v>
      </c>
      <c r="G44" s="45">
        <v>43</v>
      </c>
      <c r="H44" s="295"/>
      <c r="I44" s="39"/>
      <c r="J44" s="38" t="s">
        <v>4884</v>
      </c>
      <c r="K44" s="38" t="s">
        <v>4882</v>
      </c>
      <c r="L44" s="297" t="s">
        <v>4990</v>
      </c>
      <c r="M44" s="45" t="s">
        <v>4991</v>
      </c>
      <c r="N44" s="37" t="s">
        <v>4814</v>
      </c>
      <c r="O44" s="295" t="s">
        <v>4813</v>
      </c>
      <c r="P44" s="38"/>
      <c r="Q44" s="38" t="s">
        <v>5255</v>
      </c>
      <c r="R44" s="38" t="s">
        <v>5197</v>
      </c>
      <c r="S44" s="38"/>
      <c r="T44" s="38" t="s">
        <v>5104</v>
      </c>
      <c r="U44" s="345"/>
      <c r="V44" s="39"/>
      <c r="W44" s="39"/>
      <c r="X44" s="39"/>
      <c r="Y44" s="377"/>
    </row>
    <row r="45" spans="1:25" ht="126.75" customHeight="1">
      <c r="A45" s="23"/>
      <c r="B45" s="31" t="s">
        <v>115</v>
      </c>
      <c r="C45" s="55" t="s">
        <v>996</v>
      </c>
      <c r="D45" s="295" t="s">
        <v>119</v>
      </c>
      <c r="E45" s="37" t="s">
        <v>116</v>
      </c>
      <c r="F45" s="31" t="s">
        <v>115</v>
      </c>
      <c r="G45" s="45">
        <v>43</v>
      </c>
      <c r="H45" s="295"/>
      <c r="I45" s="39"/>
      <c r="J45" s="38" t="s">
        <v>4885</v>
      </c>
      <c r="K45" s="38">
        <v>123</v>
      </c>
      <c r="L45" s="297" t="s">
        <v>4982</v>
      </c>
      <c r="M45" s="45" t="s">
        <v>4991</v>
      </c>
      <c r="N45" s="37" t="s">
        <v>4812</v>
      </c>
      <c r="O45" s="295" t="s">
        <v>4788</v>
      </c>
      <c r="P45" s="38"/>
      <c r="Q45" s="38" t="s">
        <v>5255</v>
      </c>
      <c r="R45" s="38" t="s">
        <v>5198</v>
      </c>
      <c r="S45" s="38"/>
      <c r="T45" s="38" t="s">
        <v>5105</v>
      </c>
      <c r="U45" s="345"/>
      <c r="V45" s="39"/>
      <c r="W45" s="39"/>
      <c r="X45" s="39"/>
      <c r="Y45" s="377"/>
    </row>
    <row r="46" spans="1:25" ht="148.5">
      <c r="A46" s="23"/>
      <c r="B46" s="31" t="s">
        <v>115</v>
      </c>
      <c r="C46" s="55" t="s">
        <v>997</v>
      </c>
      <c r="D46" s="295" t="s">
        <v>121</v>
      </c>
      <c r="E46" s="35" t="s">
        <v>4811</v>
      </c>
      <c r="F46" s="31" t="s">
        <v>115</v>
      </c>
      <c r="G46" s="45">
        <v>43</v>
      </c>
      <c r="H46" s="295"/>
      <c r="I46" s="39"/>
      <c r="J46" s="38" t="s">
        <v>4885</v>
      </c>
      <c r="K46" s="38">
        <v>123</v>
      </c>
      <c r="L46" s="297" t="s">
        <v>4992</v>
      </c>
      <c r="M46" s="45"/>
      <c r="N46" s="37" t="s">
        <v>4810</v>
      </c>
      <c r="O46" s="295" t="s">
        <v>4788</v>
      </c>
      <c r="P46" s="38"/>
      <c r="Q46" s="38" t="s">
        <v>5255</v>
      </c>
      <c r="R46" s="38" t="s">
        <v>5203</v>
      </c>
      <c r="S46" s="38"/>
      <c r="T46" s="38" t="s">
        <v>5105</v>
      </c>
      <c r="U46" s="345"/>
      <c r="V46" s="39"/>
      <c r="W46" s="39"/>
      <c r="X46" s="39"/>
      <c r="Y46" s="377"/>
    </row>
    <row r="47" spans="1:25" ht="84" customHeight="1">
      <c r="A47" s="23"/>
      <c r="B47" s="31" t="s">
        <v>115</v>
      </c>
      <c r="C47" s="55" t="s">
        <v>998</v>
      </c>
      <c r="D47" s="295" t="s">
        <v>120</v>
      </c>
      <c r="E47" s="37" t="s">
        <v>117</v>
      </c>
      <c r="F47" s="31" t="s">
        <v>115</v>
      </c>
      <c r="G47" s="45">
        <v>43</v>
      </c>
      <c r="H47" s="295"/>
      <c r="I47" s="39"/>
      <c r="J47" s="38" t="s">
        <v>4886</v>
      </c>
      <c r="K47" s="38">
        <v>85</v>
      </c>
      <c r="L47" s="297" t="s">
        <v>4993</v>
      </c>
      <c r="M47" s="45">
        <v>126</v>
      </c>
      <c r="N47" s="37" t="s">
        <v>4809</v>
      </c>
      <c r="O47" s="295" t="s">
        <v>4380</v>
      </c>
      <c r="P47" s="38"/>
      <c r="Q47" s="38" t="s">
        <v>5255</v>
      </c>
      <c r="R47" s="38" t="s">
        <v>5198</v>
      </c>
      <c r="S47" s="38"/>
      <c r="T47" s="38" t="s">
        <v>5105</v>
      </c>
      <c r="U47" s="345"/>
      <c r="V47" s="39"/>
      <c r="W47" s="39"/>
      <c r="X47" s="39"/>
      <c r="Y47" s="377"/>
    </row>
    <row r="48" spans="1:25" ht="112.5" customHeight="1">
      <c r="A48" s="23"/>
      <c r="B48" s="31" t="s">
        <v>115</v>
      </c>
      <c r="C48" s="55" t="s">
        <v>999</v>
      </c>
      <c r="D48" s="295" t="s">
        <v>119</v>
      </c>
      <c r="E48" s="37" t="s">
        <v>118</v>
      </c>
      <c r="F48" s="31" t="s">
        <v>115</v>
      </c>
      <c r="G48" s="45">
        <v>44</v>
      </c>
      <c r="H48" s="295"/>
      <c r="I48" s="39"/>
      <c r="J48" s="38" t="s">
        <v>4887</v>
      </c>
      <c r="K48" s="38">
        <v>120</v>
      </c>
      <c r="L48" s="295" t="s">
        <v>4994</v>
      </c>
      <c r="M48" s="45" t="s">
        <v>4995</v>
      </c>
      <c r="N48" s="37" t="s">
        <v>4808</v>
      </c>
      <c r="O48" s="295" t="s">
        <v>4380</v>
      </c>
      <c r="P48" s="38"/>
      <c r="Q48" s="38" t="s">
        <v>5255</v>
      </c>
      <c r="R48" s="38" t="s">
        <v>5204</v>
      </c>
      <c r="S48" s="38"/>
      <c r="T48" s="38" t="s">
        <v>5105</v>
      </c>
      <c r="U48" s="345"/>
      <c r="V48" s="39"/>
      <c r="W48" s="39"/>
      <c r="X48" s="39"/>
      <c r="Y48" s="377"/>
    </row>
    <row r="49" spans="1:25" ht="148.5">
      <c r="A49" s="23"/>
      <c r="B49" s="31" t="s">
        <v>122</v>
      </c>
      <c r="C49" s="55" t="s">
        <v>1000</v>
      </c>
      <c r="D49" s="295" t="s">
        <v>126</v>
      </c>
      <c r="E49" s="37" t="s">
        <v>123</v>
      </c>
      <c r="F49" s="31" t="s">
        <v>122</v>
      </c>
      <c r="G49" s="45">
        <v>44</v>
      </c>
      <c r="H49" s="295"/>
      <c r="I49" s="39"/>
      <c r="J49" s="38" t="s">
        <v>4888</v>
      </c>
      <c r="K49" s="38" t="s">
        <v>4889</v>
      </c>
      <c r="L49" s="295" t="s">
        <v>4996</v>
      </c>
      <c r="M49" s="45">
        <v>110</v>
      </c>
      <c r="N49" s="37" t="s">
        <v>4807</v>
      </c>
      <c r="O49" s="295" t="s">
        <v>4381</v>
      </c>
      <c r="P49" s="38"/>
      <c r="Q49" s="38" t="s">
        <v>5255</v>
      </c>
      <c r="R49" s="38" t="s">
        <v>5199</v>
      </c>
      <c r="S49" s="38"/>
      <c r="T49" s="38" t="s">
        <v>5105</v>
      </c>
      <c r="U49" s="345"/>
      <c r="V49" s="39"/>
      <c r="W49" s="39"/>
      <c r="X49" s="39"/>
      <c r="Y49" s="377"/>
    </row>
    <row r="50" spans="1:25" ht="165">
      <c r="A50" s="23"/>
      <c r="B50" s="31" t="s">
        <v>122</v>
      </c>
      <c r="C50" s="55" t="s">
        <v>1001</v>
      </c>
      <c r="D50" s="295" t="s">
        <v>127</v>
      </c>
      <c r="E50" s="37" t="s">
        <v>124</v>
      </c>
      <c r="F50" s="31" t="s">
        <v>122</v>
      </c>
      <c r="G50" s="45">
        <v>44</v>
      </c>
      <c r="H50" s="295"/>
      <c r="I50" s="39"/>
      <c r="J50" s="38" t="s">
        <v>4891</v>
      </c>
      <c r="K50" s="38" t="s">
        <v>4892</v>
      </c>
      <c r="L50" s="297" t="s">
        <v>4997</v>
      </c>
      <c r="M50" s="45" t="s">
        <v>4998</v>
      </c>
      <c r="N50" s="37" t="s">
        <v>4806</v>
      </c>
      <c r="O50" s="295" t="s">
        <v>4804</v>
      </c>
      <c r="P50" s="38"/>
      <c r="Q50" s="38" t="s">
        <v>5255</v>
      </c>
      <c r="R50" s="38" t="s">
        <v>5198</v>
      </c>
      <c r="S50" s="38"/>
      <c r="T50" s="38" t="s">
        <v>5105</v>
      </c>
      <c r="U50" s="345"/>
      <c r="V50" s="39"/>
      <c r="W50" s="39"/>
      <c r="X50" s="39"/>
      <c r="Y50" s="377"/>
    </row>
    <row r="51" spans="1:25" ht="148.5">
      <c r="A51" s="23"/>
      <c r="B51" s="31" t="s">
        <v>122</v>
      </c>
      <c r="C51" s="55" t="s">
        <v>1002</v>
      </c>
      <c r="D51" s="295" t="s">
        <v>128</v>
      </c>
      <c r="E51" s="37" t="s">
        <v>125</v>
      </c>
      <c r="F51" s="31" t="s">
        <v>122</v>
      </c>
      <c r="G51" s="45">
        <v>44</v>
      </c>
      <c r="H51" s="295"/>
      <c r="I51" s="39"/>
      <c r="J51" s="38" t="s">
        <v>4893</v>
      </c>
      <c r="K51" s="38" t="s">
        <v>4894</v>
      </c>
      <c r="L51" s="295" t="s">
        <v>4999</v>
      </c>
      <c r="M51" s="45">
        <v>126</v>
      </c>
      <c r="N51" s="37" t="s">
        <v>4805</v>
      </c>
      <c r="O51" s="295" t="s">
        <v>4804</v>
      </c>
      <c r="P51" s="38"/>
      <c r="Q51" s="38" t="s">
        <v>5255</v>
      </c>
      <c r="R51" s="38" t="s">
        <v>5198</v>
      </c>
      <c r="S51" s="38"/>
      <c r="T51" s="38" t="s">
        <v>5105</v>
      </c>
      <c r="U51" s="345"/>
      <c r="V51" s="39"/>
      <c r="W51" s="39"/>
      <c r="X51" s="39"/>
      <c r="Y51" s="377"/>
    </row>
    <row r="52" spans="1:25" ht="148.5">
      <c r="A52" s="23"/>
      <c r="B52" s="31" t="s">
        <v>129</v>
      </c>
      <c r="C52" s="55" t="s">
        <v>1003</v>
      </c>
      <c r="D52" s="295" t="s">
        <v>132</v>
      </c>
      <c r="E52" s="37" t="s">
        <v>130</v>
      </c>
      <c r="F52" s="31" t="s">
        <v>129</v>
      </c>
      <c r="G52" s="45">
        <v>45</v>
      </c>
      <c r="H52" s="295"/>
      <c r="I52" s="39"/>
      <c r="J52" s="38" t="s">
        <v>4890</v>
      </c>
      <c r="K52" s="38" t="s">
        <v>4895</v>
      </c>
      <c r="L52" s="297" t="s">
        <v>5000</v>
      </c>
      <c r="M52" s="45" t="s">
        <v>5002</v>
      </c>
      <c r="N52" s="37" t="s">
        <v>4803</v>
      </c>
      <c r="O52" s="295" t="s">
        <v>4802</v>
      </c>
      <c r="P52" s="38"/>
      <c r="Q52" s="38" t="s">
        <v>5255</v>
      </c>
      <c r="R52" s="38" t="s">
        <v>5198</v>
      </c>
      <c r="S52" s="38"/>
      <c r="T52" s="38" t="s">
        <v>5105</v>
      </c>
      <c r="U52" s="345"/>
      <c r="V52" s="39"/>
      <c r="W52" s="39"/>
      <c r="X52" s="39"/>
      <c r="Y52" s="377"/>
    </row>
    <row r="53" spans="1:25" ht="130.5" customHeight="1">
      <c r="A53" s="23"/>
      <c r="B53" s="38" t="s">
        <v>129</v>
      </c>
      <c r="C53" s="55" t="s">
        <v>1004</v>
      </c>
      <c r="D53" s="295" t="s">
        <v>133</v>
      </c>
      <c r="E53" s="37" t="s">
        <v>131</v>
      </c>
      <c r="F53" s="38" t="s">
        <v>129</v>
      </c>
      <c r="G53" s="45">
        <v>45</v>
      </c>
      <c r="H53" s="295"/>
      <c r="I53" s="39"/>
      <c r="J53" s="38" t="s">
        <v>4893</v>
      </c>
      <c r="K53" s="38" t="s">
        <v>4894</v>
      </c>
      <c r="L53" s="297" t="s">
        <v>5003</v>
      </c>
      <c r="M53" s="45" t="s">
        <v>5001</v>
      </c>
      <c r="N53" s="351" t="s">
        <v>4801</v>
      </c>
      <c r="O53" s="295" t="s">
        <v>4800</v>
      </c>
      <c r="P53" s="38"/>
      <c r="Q53" s="38" t="s">
        <v>5255</v>
      </c>
      <c r="R53" s="38" t="s">
        <v>5201</v>
      </c>
      <c r="S53" s="38"/>
      <c r="T53" s="38" t="s">
        <v>5105</v>
      </c>
      <c r="U53" s="345"/>
      <c r="V53" s="39"/>
      <c r="W53" s="39"/>
      <c r="X53" s="39"/>
      <c r="Y53" s="377"/>
    </row>
    <row r="54" spans="1:25" ht="148.5">
      <c r="A54" s="23"/>
      <c r="B54" s="38" t="s">
        <v>134</v>
      </c>
      <c r="C54" s="55" t="s">
        <v>1005</v>
      </c>
      <c r="D54" s="295" t="s">
        <v>141</v>
      </c>
      <c r="E54" s="37" t="s">
        <v>136</v>
      </c>
      <c r="F54" s="38" t="s">
        <v>134</v>
      </c>
      <c r="G54" s="45">
        <v>45</v>
      </c>
      <c r="H54" s="295"/>
      <c r="I54" s="39"/>
      <c r="J54" s="38" t="s">
        <v>4896</v>
      </c>
      <c r="K54" s="38" t="s">
        <v>4894</v>
      </c>
      <c r="L54" s="295" t="s">
        <v>5004</v>
      </c>
      <c r="M54" s="45">
        <v>129</v>
      </c>
      <c r="N54" s="351" t="s">
        <v>4799</v>
      </c>
      <c r="O54" s="295" t="s">
        <v>4797</v>
      </c>
      <c r="P54" s="38"/>
      <c r="Q54" s="38" t="s">
        <v>5255</v>
      </c>
      <c r="R54" s="38" t="s">
        <v>5203</v>
      </c>
      <c r="S54" s="38"/>
      <c r="T54" s="38" t="s">
        <v>5105</v>
      </c>
      <c r="U54" s="345"/>
      <c r="V54" s="39"/>
      <c r="W54" s="39"/>
      <c r="X54" s="39"/>
      <c r="Y54" s="377"/>
    </row>
    <row r="55" spans="1:25" ht="148.5">
      <c r="A55" s="23"/>
      <c r="B55" s="38" t="s">
        <v>134</v>
      </c>
      <c r="C55" s="55" t="s">
        <v>1006</v>
      </c>
      <c r="D55" s="295" t="s">
        <v>142</v>
      </c>
      <c r="E55" s="37" t="s">
        <v>137</v>
      </c>
      <c r="F55" s="38" t="s">
        <v>134</v>
      </c>
      <c r="G55" s="45">
        <v>45</v>
      </c>
      <c r="H55" s="295"/>
      <c r="I55" s="39"/>
      <c r="J55" s="38" t="s">
        <v>4893</v>
      </c>
      <c r="K55" s="38" t="s">
        <v>4897</v>
      </c>
      <c r="L55" s="295" t="s">
        <v>5005</v>
      </c>
      <c r="M55" s="45">
        <v>129</v>
      </c>
      <c r="N55" s="351" t="s">
        <v>4798</v>
      </c>
      <c r="O55" s="295" t="s">
        <v>4797</v>
      </c>
      <c r="P55" s="38"/>
      <c r="Q55" s="38" t="s">
        <v>5255</v>
      </c>
      <c r="R55" s="38" t="s">
        <v>5203</v>
      </c>
      <c r="S55" s="38"/>
      <c r="T55" s="38" t="s">
        <v>5105</v>
      </c>
      <c r="U55" s="345"/>
      <c r="V55" s="39"/>
      <c r="W55" s="39"/>
      <c r="X55" s="39"/>
      <c r="Y55" s="377"/>
    </row>
    <row r="56" spans="1:25" ht="165">
      <c r="A56" s="23"/>
      <c r="B56" s="31" t="s">
        <v>134</v>
      </c>
      <c r="C56" s="55" t="s">
        <v>1007</v>
      </c>
      <c r="D56" s="295" t="s">
        <v>143</v>
      </c>
      <c r="E56" s="37" t="s">
        <v>138</v>
      </c>
      <c r="F56" s="31" t="s">
        <v>134</v>
      </c>
      <c r="G56" s="45">
        <v>45</v>
      </c>
      <c r="H56" s="295"/>
      <c r="I56" s="39"/>
      <c r="J56" s="38" t="s">
        <v>4898</v>
      </c>
      <c r="K56" s="38" t="s">
        <v>4892</v>
      </c>
      <c r="L56" s="295" t="s">
        <v>453</v>
      </c>
      <c r="M56" s="45">
        <v>129</v>
      </c>
      <c r="N56" s="37" t="s">
        <v>4796</v>
      </c>
      <c r="O56" s="295" t="s">
        <v>4794</v>
      </c>
      <c r="P56" s="38"/>
      <c r="Q56" s="38" t="s">
        <v>5255</v>
      </c>
      <c r="R56" s="38" t="s">
        <v>5198</v>
      </c>
      <c r="S56" s="38"/>
      <c r="T56" s="38" t="s">
        <v>5105</v>
      </c>
      <c r="U56" s="345"/>
      <c r="V56" s="39"/>
      <c r="W56" s="39"/>
      <c r="X56" s="39"/>
      <c r="Y56" s="377"/>
    </row>
    <row r="57" spans="1:25" ht="181.5">
      <c r="A57" s="353"/>
      <c r="B57" s="31" t="s">
        <v>134</v>
      </c>
      <c r="C57" s="55" t="s">
        <v>1008</v>
      </c>
      <c r="D57" s="295" t="s">
        <v>144</v>
      </c>
      <c r="E57" s="37" t="s">
        <v>139</v>
      </c>
      <c r="F57" s="31" t="s">
        <v>134</v>
      </c>
      <c r="G57" s="45">
        <v>46</v>
      </c>
      <c r="H57" s="295"/>
      <c r="I57" s="39"/>
      <c r="J57" s="38" t="s">
        <v>4893</v>
      </c>
      <c r="K57" s="38" t="s">
        <v>4894</v>
      </c>
      <c r="L57" s="295" t="s">
        <v>5006</v>
      </c>
      <c r="M57" s="45">
        <v>129</v>
      </c>
      <c r="N57" s="37" t="s">
        <v>4795</v>
      </c>
      <c r="O57" s="295" t="s">
        <v>4794</v>
      </c>
      <c r="P57" s="38"/>
      <c r="Q57" s="38" t="s">
        <v>5255</v>
      </c>
      <c r="R57" s="38" t="s">
        <v>5198</v>
      </c>
      <c r="S57" s="38"/>
      <c r="T57" s="38" t="s">
        <v>5105</v>
      </c>
      <c r="U57" s="345"/>
      <c r="V57" s="39"/>
      <c r="W57" s="39"/>
      <c r="X57" s="39"/>
      <c r="Y57" s="377"/>
    </row>
    <row r="58" spans="1:25" ht="148.5">
      <c r="A58" s="353"/>
      <c r="B58" s="31" t="s">
        <v>134</v>
      </c>
      <c r="C58" s="55" t="s">
        <v>1009</v>
      </c>
      <c r="D58" s="295" t="s">
        <v>145</v>
      </c>
      <c r="E58" s="37" t="s">
        <v>140</v>
      </c>
      <c r="F58" s="31" t="s">
        <v>134</v>
      </c>
      <c r="G58" s="45">
        <v>46</v>
      </c>
      <c r="H58" s="295"/>
      <c r="I58" s="39"/>
      <c r="J58" s="38" t="s">
        <v>4898</v>
      </c>
      <c r="K58" s="38" t="s">
        <v>4894</v>
      </c>
      <c r="L58" s="295" t="s">
        <v>5007</v>
      </c>
      <c r="M58" s="45">
        <v>130</v>
      </c>
      <c r="N58" s="37" t="s">
        <v>4793</v>
      </c>
      <c r="O58" s="295" t="s">
        <v>4792</v>
      </c>
      <c r="P58" s="38"/>
      <c r="Q58" s="38" t="s">
        <v>5255</v>
      </c>
      <c r="R58" s="38" t="s">
        <v>5203</v>
      </c>
      <c r="S58" s="38"/>
      <c r="T58" s="38" t="s">
        <v>5105</v>
      </c>
      <c r="U58" s="345"/>
      <c r="V58" s="39"/>
      <c r="W58" s="39"/>
      <c r="X58" s="39"/>
      <c r="Y58" s="377"/>
    </row>
    <row r="59" spans="1:25" ht="71.25" customHeight="1">
      <c r="A59" s="353"/>
      <c r="B59" s="31" t="s">
        <v>135</v>
      </c>
      <c r="C59" s="55" t="s">
        <v>1010</v>
      </c>
      <c r="D59" s="295" t="s">
        <v>149</v>
      </c>
      <c r="E59" s="37" t="s">
        <v>146</v>
      </c>
      <c r="F59" s="31" t="s">
        <v>135</v>
      </c>
      <c r="G59" s="45">
        <v>46</v>
      </c>
      <c r="H59" s="295"/>
      <c r="I59" s="39"/>
      <c r="J59" s="38" t="s">
        <v>4899</v>
      </c>
      <c r="K59" s="38" t="s">
        <v>4894</v>
      </c>
      <c r="L59" s="295" t="s">
        <v>5007</v>
      </c>
      <c r="M59" s="45">
        <v>130</v>
      </c>
      <c r="N59" s="37" t="s">
        <v>4791</v>
      </c>
      <c r="O59" s="295" t="s">
        <v>4788</v>
      </c>
      <c r="P59" s="38"/>
      <c r="Q59" s="38" t="s">
        <v>5255</v>
      </c>
      <c r="R59" s="38" t="s">
        <v>5198</v>
      </c>
      <c r="S59" s="38"/>
      <c r="T59" s="38" t="s">
        <v>5105</v>
      </c>
      <c r="U59" s="345"/>
      <c r="V59" s="39"/>
      <c r="W59" s="39"/>
      <c r="X59" s="39"/>
      <c r="Y59" s="377"/>
    </row>
    <row r="60" spans="1:25" ht="117.75" customHeight="1">
      <c r="A60" s="353"/>
      <c r="B60" s="31" t="s">
        <v>135</v>
      </c>
      <c r="C60" s="55" t="s">
        <v>1011</v>
      </c>
      <c r="D60" s="295" t="s">
        <v>150</v>
      </c>
      <c r="E60" s="37" t="s">
        <v>147</v>
      </c>
      <c r="F60" s="31" t="s">
        <v>135</v>
      </c>
      <c r="G60" s="45">
        <v>46</v>
      </c>
      <c r="H60" s="295"/>
      <c r="I60" s="39"/>
      <c r="J60" s="38" t="s">
        <v>4893</v>
      </c>
      <c r="K60" s="38" t="s">
        <v>4900</v>
      </c>
      <c r="L60" s="295" t="s">
        <v>5008</v>
      </c>
      <c r="M60" s="45">
        <v>130</v>
      </c>
      <c r="N60" s="37" t="s">
        <v>4790</v>
      </c>
      <c r="O60" s="295" t="s">
        <v>4788</v>
      </c>
      <c r="P60" s="38"/>
      <c r="Q60" s="38" t="s">
        <v>5255</v>
      </c>
      <c r="R60" s="38" t="s">
        <v>5205</v>
      </c>
      <c r="S60" s="38"/>
      <c r="T60" s="38" t="s">
        <v>5105</v>
      </c>
      <c r="U60" s="345"/>
      <c r="V60" s="39"/>
      <c r="W60" s="39"/>
      <c r="X60" s="39"/>
      <c r="Y60" s="377"/>
    </row>
    <row r="61" spans="1:25" ht="74.25" customHeight="1">
      <c r="A61" s="353"/>
      <c r="B61" s="38" t="s">
        <v>135</v>
      </c>
      <c r="C61" s="55" t="s">
        <v>1012</v>
      </c>
      <c r="D61" s="295" t="s">
        <v>151</v>
      </c>
      <c r="E61" s="37" t="s">
        <v>148</v>
      </c>
      <c r="F61" s="38" t="s">
        <v>135</v>
      </c>
      <c r="G61" s="45">
        <v>46</v>
      </c>
      <c r="H61" s="295"/>
      <c r="I61" s="39"/>
      <c r="J61" s="38" t="s">
        <v>4893</v>
      </c>
      <c r="K61" s="38" t="s">
        <v>4894</v>
      </c>
      <c r="L61" s="295" t="s">
        <v>454</v>
      </c>
      <c r="M61" s="45">
        <v>130</v>
      </c>
      <c r="N61" s="37" t="s">
        <v>4789</v>
      </c>
      <c r="O61" s="295" t="s">
        <v>4788</v>
      </c>
      <c r="P61" s="38"/>
      <c r="Q61" s="38" t="s">
        <v>5255</v>
      </c>
      <c r="R61" s="38" t="s">
        <v>5198</v>
      </c>
      <c r="S61" s="38"/>
      <c r="T61" s="38" t="s">
        <v>5105</v>
      </c>
      <c r="U61" s="345"/>
      <c r="V61" s="39"/>
      <c r="W61" s="39"/>
      <c r="X61" s="39"/>
      <c r="Y61" s="377"/>
    </row>
    <row r="62" spans="1:25" ht="72" customHeight="1">
      <c r="A62" s="353"/>
      <c r="B62" s="31" t="s">
        <v>152</v>
      </c>
      <c r="C62" s="55" t="s">
        <v>1013</v>
      </c>
      <c r="D62" s="295" t="s">
        <v>351</v>
      </c>
      <c r="E62" s="37" t="s">
        <v>153</v>
      </c>
      <c r="F62" s="31" t="s">
        <v>152</v>
      </c>
      <c r="G62" s="45">
        <v>47</v>
      </c>
      <c r="H62" s="295"/>
      <c r="I62" s="39"/>
      <c r="J62" s="38" t="s">
        <v>4901</v>
      </c>
      <c r="K62" s="38" t="s">
        <v>4902</v>
      </c>
      <c r="L62" s="297" t="s">
        <v>5009</v>
      </c>
      <c r="M62" s="45">
        <v>153</v>
      </c>
      <c r="N62" s="59" t="s">
        <v>4787</v>
      </c>
      <c r="O62" s="295" t="s">
        <v>4382</v>
      </c>
      <c r="P62" s="38"/>
      <c r="Q62" s="38" t="s">
        <v>5255</v>
      </c>
      <c r="R62" s="38" t="s">
        <v>5203</v>
      </c>
      <c r="S62" s="38"/>
      <c r="T62" s="38" t="s">
        <v>5106</v>
      </c>
      <c r="U62" s="345"/>
      <c r="V62" s="39"/>
      <c r="W62" s="39"/>
      <c r="X62" s="39"/>
      <c r="Y62" s="377"/>
    </row>
    <row r="63" spans="1:25" ht="145.5" customHeight="1">
      <c r="A63" s="353"/>
      <c r="B63" s="31" t="s">
        <v>152</v>
      </c>
      <c r="C63" s="55" t="s">
        <v>1014</v>
      </c>
      <c r="D63" s="295" t="s">
        <v>352</v>
      </c>
      <c r="E63" s="37" t="s">
        <v>154</v>
      </c>
      <c r="F63" s="31" t="s">
        <v>152</v>
      </c>
      <c r="G63" s="45">
        <v>47</v>
      </c>
      <c r="H63" s="295"/>
      <c r="I63" s="39"/>
      <c r="J63" s="38" t="s">
        <v>4903</v>
      </c>
      <c r="K63" s="38" t="s">
        <v>4904</v>
      </c>
      <c r="L63" s="297" t="s">
        <v>5009</v>
      </c>
      <c r="M63" s="45">
        <v>153</v>
      </c>
      <c r="N63" s="37" t="s">
        <v>4786</v>
      </c>
      <c r="O63" s="295" t="s">
        <v>4382</v>
      </c>
      <c r="P63" s="38"/>
      <c r="Q63" s="38" t="s">
        <v>5255</v>
      </c>
      <c r="R63" s="38" t="s">
        <v>5198</v>
      </c>
      <c r="S63" s="38"/>
      <c r="T63" s="38" t="s">
        <v>5106</v>
      </c>
      <c r="U63" s="345"/>
      <c r="V63" s="39"/>
      <c r="W63" s="39"/>
      <c r="X63" s="39"/>
      <c r="Y63" s="377"/>
    </row>
    <row r="64" spans="1:25" ht="67.5" customHeight="1">
      <c r="A64" s="353"/>
      <c r="B64" s="31" t="s">
        <v>152</v>
      </c>
      <c r="C64" s="55" t="s">
        <v>1015</v>
      </c>
      <c r="D64" s="295" t="s">
        <v>353</v>
      </c>
      <c r="E64" s="37" t="s">
        <v>155</v>
      </c>
      <c r="F64" s="31" t="s">
        <v>152</v>
      </c>
      <c r="G64" s="45">
        <v>47</v>
      </c>
      <c r="H64" s="295"/>
      <c r="I64" s="39"/>
      <c r="J64" s="38" t="s">
        <v>4901</v>
      </c>
      <c r="K64" s="38" t="s">
        <v>4904</v>
      </c>
      <c r="L64" s="297" t="s">
        <v>5009</v>
      </c>
      <c r="M64" s="45">
        <v>153</v>
      </c>
      <c r="N64" s="37" t="s">
        <v>4785</v>
      </c>
      <c r="O64" s="295" t="s">
        <v>4382</v>
      </c>
      <c r="P64" s="38"/>
      <c r="Q64" s="38" t="s">
        <v>5255</v>
      </c>
      <c r="R64" s="38" t="s">
        <v>5200</v>
      </c>
      <c r="S64" s="38"/>
      <c r="T64" s="38" t="s">
        <v>5106</v>
      </c>
      <c r="U64" s="345"/>
      <c r="V64" s="39"/>
      <c r="W64" s="39"/>
      <c r="X64" s="39"/>
      <c r="Y64" s="377"/>
    </row>
    <row r="65" spans="1:25" ht="83.25" customHeight="1">
      <c r="A65" s="353"/>
      <c r="B65" s="31" t="s">
        <v>152</v>
      </c>
      <c r="C65" s="55" t="s">
        <v>1016</v>
      </c>
      <c r="D65" s="295" t="s">
        <v>354</v>
      </c>
      <c r="E65" s="37" t="s">
        <v>156</v>
      </c>
      <c r="F65" s="31" t="s">
        <v>152</v>
      </c>
      <c r="G65" s="45">
        <v>47</v>
      </c>
      <c r="H65" s="295"/>
      <c r="I65" s="39"/>
      <c r="J65" s="38" t="s">
        <v>4901</v>
      </c>
      <c r="K65" s="38" t="s">
        <v>4904</v>
      </c>
      <c r="L65" s="297" t="s">
        <v>5010</v>
      </c>
      <c r="M65" s="45">
        <v>153</v>
      </c>
      <c r="N65" s="37" t="s">
        <v>4784</v>
      </c>
      <c r="O65" s="295" t="s">
        <v>4382</v>
      </c>
      <c r="P65" s="38"/>
      <c r="Q65" s="38" t="s">
        <v>5255</v>
      </c>
      <c r="R65" s="38" t="s">
        <v>5206</v>
      </c>
      <c r="S65" s="38"/>
      <c r="T65" s="38" t="s">
        <v>5106</v>
      </c>
      <c r="U65" s="345"/>
      <c r="V65" s="39"/>
      <c r="W65" s="39"/>
      <c r="X65" s="39"/>
      <c r="Y65" s="377"/>
    </row>
    <row r="66" spans="1:25" ht="148.5">
      <c r="A66" s="353"/>
      <c r="B66" s="31" t="s">
        <v>152</v>
      </c>
      <c r="C66" s="55" t="s">
        <v>1017</v>
      </c>
      <c r="D66" s="295" t="s">
        <v>355</v>
      </c>
      <c r="E66" s="37" t="s">
        <v>157</v>
      </c>
      <c r="F66" s="31" t="s">
        <v>152</v>
      </c>
      <c r="G66" s="45">
        <v>47</v>
      </c>
      <c r="H66" s="295"/>
      <c r="I66" s="39"/>
      <c r="J66" s="38" t="s">
        <v>4905</v>
      </c>
      <c r="K66" s="38" t="s">
        <v>4904</v>
      </c>
      <c r="L66" s="297" t="s">
        <v>5011</v>
      </c>
      <c r="M66" s="45">
        <v>153</v>
      </c>
      <c r="N66" s="37" t="s">
        <v>4783</v>
      </c>
      <c r="O66" s="295" t="s">
        <v>4781</v>
      </c>
      <c r="P66" s="38"/>
      <c r="Q66" s="38" t="s">
        <v>5255</v>
      </c>
      <c r="R66" s="38" t="s">
        <v>5203</v>
      </c>
      <c r="S66" s="38"/>
      <c r="T66" s="38" t="s">
        <v>5106</v>
      </c>
      <c r="U66" s="345"/>
      <c r="V66" s="39"/>
      <c r="W66" s="39"/>
      <c r="X66" s="39"/>
      <c r="Y66" s="377"/>
    </row>
    <row r="67" spans="1:25" ht="56.25" customHeight="1">
      <c r="A67" s="353"/>
      <c r="B67" s="31" t="s">
        <v>152</v>
      </c>
      <c r="C67" s="55" t="s">
        <v>1018</v>
      </c>
      <c r="D67" s="295" t="s">
        <v>356</v>
      </c>
      <c r="E67" s="37" t="s">
        <v>158</v>
      </c>
      <c r="F67" s="31" t="s">
        <v>152</v>
      </c>
      <c r="G67" s="45">
        <v>47</v>
      </c>
      <c r="H67" s="295"/>
      <c r="I67" s="39"/>
      <c r="J67" s="38" t="s">
        <v>4901</v>
      </c>
      <c r="K67" s="38" t="s">
        <v>4902</v>
      </c>
      <c r="L67" s="297" t="s">
        <v>455</v>
      </c>
      <c r="M67" s="45">
        <v>153</v>
      </c>
      <c r="N67" s="37" t="s">
        <v>4782</v>
      </c>
      <c r="O67" s="295" t="s">
        <v>4781</v>
      </c>
      <c r="P67" s="38"/>
      <c r="Q67" s="38" t="s">
        <v>5255</v>
      </c>
      <c r="R67" s="38" t="s">
        <v>5207</v>
      </c>
      <c r="S67" s="38"/>
      <c r="T67" s="38" t="s">
        <v>5106</v>
      </c>
      <c r="U67" s="345"/>
      <c r="V67" s="39"/>
      <c r="W67" s="39"/>
      <c r="X67" s="39"/>
      <c r="Y67" s="377"/>
    </row>
    <row r="68" spans="1:25" ht="72.75" customHeight="1">
      <c r="A68" s="353"/>
      <c r="B68" s="31" t="s">
        <v>159</v>
      </c>
      <c r="C68" s="55" t="s">
        <v>1019</v>
      </c>
      <c r="D68" s="295" t="s">
        <v>357</v>
      </c>
      <c r="E68" s="37" t="s">
        <v>160</v>
      </c>
      <c r="F68" s="31" t="s">
        <v>159</v>
      </c>
      <c r="G68" s="45">
        <v>47</v>
      </c>
      <c r="H68" s="295"/>
      <c r="I68" s="39"/>
      <c r="J68" s="38" t="s">
        <v>4906</v>
      </c>
      <c r="K68" s="38" t="s">
        <v>4907</v>
      </c>
      <c r="L68" s="297" t="s">
        <v>5012</v>
      </c>
      <c r="M68" s="45">
        <v>154</v>
      </c>
      <c r="N68" s="37" t="s">
        <v>4780</v>
      </c>
      <c r="O68" s="295" t="s">
        <v>4779</v>
      </c>
      <c r="P68" s="38"/>
      <c r="Q68" s="38" t="s">
        <v>5255</v>
      </c>
      <c r="R68" s="38" t="s">
        <v>5198</v>
      </c>
      <c r="S68" s="38"/>
      <c r="T68" s="38" t="s">
        <v>5106</v>
      </c>
      <c r="U68" s="345"/>
      <c r="V68" s="39"/>
      <c r="W68" s="39"/>
      <c r="X68" s="39"/>
      <c r="Y68" s="377"/>
    </row>
    <row r="69" spans="1:25" ht="51" customHeight="1">
      <c r="A69" s="353"/>
      <c r="B69" s="31" t="s">
        <v>159</v>
      </c>
      <c r="C69" s="55" t="s">
        <v>1020</v>
      </c>
      <c r="D69" s="295" t="s">
        <v>358</v>
      </c>
      <c r="E69" s="37" t="s">
        <v>161</v>
      </c>
      <c r="F69" s="31" t="s">
        <v>159</v>
      </c>
      <c r="G69" s="45">
        <v>47</v>
      </c>
      <c r="H69" s="295"/>
      <c r="I69" s="39"/>
      <c r="J69" s="38" t="s">
        <v>4906</v>
      </c>
      <c r="K69" s="38" t="s">
        <v>4907</v>
      </c>
      <c r="L69" s="297" t="s">
        <v>5013</v>
      </c>
      <c r="M69" s="45">
        <v>154</v>
      </c>
      <c r="N69" s="37" t="s">
        <v>4778</v>
      </c>
      <c r="O69" s="295" t="s">
        <v>4383</v>
      </c>
      <c r="P69" s="38"/>
      <c r="Q69" s="38" t="s">
        <v>5255</v>
      </c>
      <c r="R69" s="38" t="s">
        <v>5205</v>
      </c>
      <c r="S69" s="38"/>
      <c r="T69" s="38" t="s">
        <v>5106</v>
      </c>
      <c r="U69" s="345"/>
      <c r="V69" s="39"/>
      <c r="W69" s="39"/>
      <c r="X69" s="39"/>
      <c r="Y69" s="377"/>
    </row>
    <row r="70" spans="1:25" ht="57" customHeight="1">
      <c r="A70" s="353"/>
      <c r="B70" s="31" t="s">
        <v>159</v>
      </c>
      <c r="C70" s="55" t="s">
        <v>1021</v>
      </c>
      <c r="D70" s="295" t="s">
        <v>359</v>
      </c>
      <c r="E70" s="37" t="s">
        <v>162</v>
      </c>
      <c r="F70" s="31" t="s">
        <v>159</v>
      </c>
      <c r="G70" s="45">
        <v>47</v>
      </c>
      <c r="H70" s="295"/>
      <c r="I70" s="39"/>
      <c r="J70" s="38" t="s">
        <v>4908</v>
      </c>
      <c r="K70" s="38" t="s">
        <v>4907</v>
      </c>
      <c r="L70" s="297" t="s">
        <v>5013</v>
      </c>
      <c r="M70" s="45">
        <v>154</v>
      </c>
      <c r="N70" s="37" t="s">
        <v>4777</v>
      </c>
      <c r="O70" s="295" t="s">
        <v>4776</v>
      </c>
      <c r="P70" s="38"/>
      <c r="Q70" s="38" t="s">
        <v>5255</v>
      </c>
      <c r="R70" s="38" t="s">
        <v>5206</v>
      </c>
      <c r="S70" s="38"/>
      <c r="T70" s="38" t="s">
        <v>5106</v>
      </c>
      <c r="U70" s="345"/>
      <c r="V70" s="39"/>
      <c r="W70" s="39"/>
      <c r="X70" s="39"/>
      <c r="Y70" s="377"/>
    </row>
    <row r="71" spans="1:25" ht="148.5">
      <c r="B71" s="31" t="s">
        <v>163</v>
      </c>
      <c r="C71" s="55" t="s">
        <v>1022</v>
      </c>
      <c r="D71" s="295" t="s">
        <v>360</v>
      </c>
      <c r="E71" s="37" t="s">
        <v>165</v>
      </c>
      <c r="F71" s="31" t="s">
        <v>163</v>
      </c>
      <c r="G71" s="45">
        <v>48</v>
      </c>
      <c r="H71" s="295"/>
      <c r="I71" s="39"/>
      <c r="J71" s="38" t="s">
        <v>4906</v>
      </c>
      <c r="K71" s="38" t="s">
        <v>4909</v>
      </c>
      <c r="L71" s="297" t="s">
        <v>5014</v>
      </c>
      <c r="M71" s="45">
        <v>155</v>
      </c>
      <c r="N71" s="37" t="s">
        <v>4775</v>
      </c>
      <c r="O71" s="295" t="s">
        <v>4774</v>
      </c>
      <c r="P71" s="38"/>
      <c r="Q71" s="38" t="s">
        <v>5255</v>
      </c>
      <c r="R71" s="38" t="s">
        <v>5205</v>
      </c>
      <c r="S71" s="38"/>
      <c r="T71" s="38" t="s">
        <v>5106</v>
      </c>
      <c r="U71" s="345"/>
      <c r="V71" s="39"/>
      <c r="W71" s="39"/>
      <c r="X71" s="39"/>
      <c r="Y71" s="377"/>
    </row>
    <row r="72" spans="1:25" ht="87" customHeight="1">
      <c r="B72" s="31" t="s">
        <v>163</v>
      </c>
      <c r="C72" s="55" t="s">
        <v>1023</v>
      </c>
      <c r="D72" s="295" t="s">
        <v>361</v>
      </c>
      <c r="E72" s="37" t="s">
        <v>166</v>
      </c>
      <c r="F72" s="31" t="s">
        <v>163</v>
      </c>
      <c r="G72" s="45">
        <v>48</v>
      </c>
      <c r="H72" s="295"/>
      <c r="I72" s="39"/>
      <c r="J72" s="38" t="s">
        <v>4906</v>
      </c>
      <c r="K72" s="38" t="s">
        <v>4907</v>
      </c>
      <c r="L72" s="297" t="s">
        <v>5015</v>
      </c>
      <c r="M72" s="45">
        <v>155</v>
      </c>
      <c r="N72" s="37" t="s">
        <v>4773</v>
      </c>
      <c r="O72" s="295" t="s">
        <v>4772</v>
      </c>
      <c r="P72" s="38"/>
      <c r="Q72" s="38" t="s">
        <v>5255</v>
      </c>
      <c r="R72" s="38" t="s">
        <v>5198</v>
      </c>
      <c r="S72" s="38"/>
      <c r="T72" s="38" t="s">
        <v>5106</v>
      </c>
      <c r="U72" s="345"/>
      <c r="V72" s="39"/>
      <c r="W72" s="39"/>
      <c r="X72" s="39"/>
      <c r="Y72" s="377"/>
    </row>
    <row r="73" spans="1:25" ht="54" customHeight="1">
      <c r="B73" s="31" t="s">
        <v>163</v>
      </c>
      <c r="C73" s="55" t="s">
        <v>1024</v>
      </c>
      <c r="D73" s="295" t="s">
        <v>362</v>
      </c>
      <c r="E73" s="37" t="s">
        <v>167</v>
      </c>
      <c r="F73" s="31" t="s">
        <v>163</v>
      </c>
      <c r="G73" s="45">
        <v>48</v>
      </c>
      <c r="H73" s="295"/>
      <c r="I73" s="39"/>
      <c r="J73" s="38" t="s">
        <v>4910</v>
      </c>
      <c r="K73" s="38" t="s">
        <v>4909</v>
      </c>
      <c r="L73" s="297" t="s">
        <v>5014</v>
      </c>
      <c r="M73" s="45">
        <v>155</v>
      </c>
      <c r="N73" s="37" t="s">
        <v>4771</v>
      </c>
      <c r="O73" s="295" t="s">
        <v>4770</v>
      </c>
      <c r="P73" s="38"/>
      <c r="Q73" s="38" t="s">
        <v>5255</v>
      </c>
      <c r="R73" s="38" t="s">
        <v>5198</v>
      </c>
      <c r="S73" s="38"/>
      <c r="T73" s="38" t="s">
        <v>5106</v>
      </c>
      <c r="U73" s="345"/>
      <c r="V73" s="39"/>
      <c r="W73" s="39"/>
      <c r="X73" s="39"/>
      <c r="Y73" s="377"/>
    </row>
    <row r="74" spans="1:25" ht="60.75" customHeight="1">
      <c r="B74" s="31" t="s">
        <v>164</v>
      </c>
      <c r="C74" s="55" t="s">
        <v>1025</v>
      </c>
      <c r="D74" s="295" t="s">
        <v>363</v>
      </c>
      <c r="E74" s="352" t="s">
        <v>168</v>
      </c>
      <c r="F74" s="31" t="s">
        <v>164</v>
      </c>
      <c r="G74" s="45">
        <v>48</v>
      </c>
      <c r="H74" s="295"/>
      <c r="I74" s="39"/>
      <c r="J74" s="38" t="s">
        <v>4906</v>
      </c>
      <c r="K74" s="38" t="s">
        <v>4911</v>
      </c>
      <c r="L74" s="297" t="s">
        <v>5016</v>
      </c>
      <c r="M74" s="45">
        <v>156</v>
      </c>
      <c r="N74" s="37" t="s">
        <v>4769</v>
      </c>
      <c r="O74" s="295" t="s">
        <v>4650</v>
      </c>
      <c r="P74" s="38"/>
      <c r="Q74" s="38" t="s">
        <v>5255</v>
      </c>
      <c r="R74" s="38" t="s">
        <v>5197</v>
      </c>
      <c r="S74" s="38"/>
      <c r="T74" s="38" t="s">
        <v>5106</v>
      </c>
      <c r="U74" s="345"/>
      <c r="V74" s="39"/>
      <c r="W74" s="39"/>
      <c r="X74" s="39"/>
      <c r="Y74" s="377"/>
    </row>
    <row r="75" spans="1:25" ht="52.15" customHeight="1">
      <c r="B75" s="31" t="s">
        <v>164</v>
      </c>
      <c r="C75" s="55" t="s">
        <v>1026</v>
      </c>
      <c r="D75" s="295" t="s">
        <v>364</v>
      </c>
      <c r="E75" s="35" t="s">
        <v>169</v>
      </c>
      <c r="F75" s="31" t="s">
        <v>164</v>
      </c>
      <c r="G75" s="45">
        <v>48</v>
      </c>
      <c r="H75" s="295"/>
      <c r="I75" s="39"/>
      <c r="J75" s="38" t="s">
        <v>4906</v>
      </c>
      <c r="K75" s="38" t="s">
        <v>4907</v>
      </c>
      <c r="L75" s="297" t="s">
        <v>5017</v>
      </c>
      <c r="M75" s="45">
        <v>156</v>
      </c>
      <c r="N75" s="37" t="s">
        <v>4768</v>
      </c>
      <c r="O75" s="295" t="s">
        <v>4650</v>
      </c>
      <c r="P75" s="38"/>
      <c r="Q75" s="38" t="s">
        <v>5255</v>
      </c>
      <c r="R75" s="38" t="s">
        <v>5200</v>
      </c>
      <c r="S75" s="38"/>
      <c r="T75" s="38" t="s">
        <v>5106</v>
      </c>
      <c r="U75" s="345"/>
      <c r="V75" s="39"/>
      <c r="W75" s="39"/>
      <c r="X75" s="39"/>
      <c r="Y75" s="377"/>
    </row>
    <row r="76" spans="1:25" ht="88.9" customHeight="1">
      <c r="B76" s="31" t="s">
        <v>164</v>
      </c>
      <c r="C76" s="55" t="s">
        <v>1027</v>
      </c>
      <c r="D76" s="295" t="s">
        <v>365</v>
      </c>
      <c r="E76" s="37" t="s">
        <v>170</v>
      </c>
      <c r="F76" s="31" t="s">
        <v>164</v>
      </c>
      <c r="G76" s="45">
        <v>48</v>
      </c>
      <c r="H76" s="295"/>
      <c r="I76" s="39"/>
      <c r="J76" s="38" t="s">
        <v>4906</v>
      </c>
      <c r="K76" s="38" t="s">
        <v>4907</v>
      </c>
      <c r="L76" s="297" t="s">
        <v>5018</v>
      </c>
      <c r="M76" s="45">
        <v>156</v>
      </c>
      <c r="N76" s="37" t="s">
        <v>4767</v>
      </c>
      <c r="O76" s="295" t="s">
        <v>4766</v>
      </c>
      <c r="P76" s="38"/>
      <c r="Q76" s="38" t="s">
        <v>5255</v>
      </c>
      <c r="R76" s="38" t="s">
        <v>5205</v>
      </c>
      <c r="S76" s="38"/>
      <c r="T76" s="38" t="s">
        <v>5106</v>
      </c>
      <c r="U76" s="345"/>
      <c r="V76" s="39"/>
      <c r="W76" s="39"/>
      <c r="X76" s="39"/>
      <c r="Y76" s="377"/>
    </row>
    <row r="77" spans="1:25" ht="115.5" customHeight="1">
      <c r="B77" s="38" t="s">
        <v>164</v>
      </c>
      <c r="C77" s="55" t="s">
        <v>1028</v>
      </c>
      <c r="D77" s="295" t="s">
        <v>366</v>
      </c>
      <c r="E77" s="37" t="s">
        <v>171</v>
      </c>
      <c r="F77" s="38" t="s">
        <v>164</v>
      </c>
      <c r="G77" s="45">
        <v>48</v>
      </c>
      <c r="H77" s="295"/>
      <c r="I77" s="39"/>
      <c r="J77" s="38" t="s">
        <v>4908</v>
      </c>
      <c r="K77" s="38" t="s">
        <v>4907</v>
      </c>
      <c r="L77" s="297" t="s">
        <v>5016</v>
      </c>
      <c r="M77" s="45">
        <v>156</v>
      </c>
      <c r="N77" s="351" t="s">
        <v>4765</v>
      </c>
      <c r="O77" s="295" t="s">
        <v>4764</v>
      </c>
      <c r="P77" s="38"/>
      <c r="Q77" s="38" t="s">
        <v>5255</v>
      </c>
      <c r="R77" s="38" t="s">
        <v>5198</v>
      </c>
      <c r="S77" s="38"/>
      <c r="T77" s="38" t="s">
        <v>5106</v>
      </c>
      <c r="U77" s="345"/>
      <c r="V77" s="39"/>
      <c r="W77" s="39"/>
      <c r="X77" s="39"/>
      <c r="Y77" s="377"/>
    </row>
    <row r="78" spans="1:25" ht="52.15" customHeight="1">
      <c r="B78" s="31" t="s">
        <v>172</v>
      </c>
      <c r="C78" s="55" t="s">
        <v>1029</v>
      </c>
      <c r="D78" s="295" t="s">
        <v>367</v>
      </c>
      <c r="E78" s="37" t="s">
        <v>173</v>
      </c>
      <c r="F78" s="31" t="s">
        <v>172</v>
      </c>
      <c r="G78" s="45">
        <v>49</v>
      </c>
      <c r="H78" s="295"/>
      <c r="I78" s="39"/>
      <c r="J78" s="38" t="s">
        <v>4908</v>
      </c>
      <c r="K78" s="38" t="s">
        <v>4909</v>
      </c>
      <c r="L78" s="297" t="s">
        <v>5019</v>
      </c>
      <c r="M78" s="45">
        <v>157</v>
      </c>
      <c r="N78" s="37" t="s">
        <v>4763</v>
      </c>
      <c r="O78" s="295" t="s">
        <v>4759</v>
      </c>
      <c r="P78" s="38"/>
      <c r="Q78" s="38" t="s">
        <v>5255</v>
      </c>
      <c r="R78" s="38" t="s">
        <v>5206</v>
      </c>
      <c r="S78" s="38"/>
      <c r="T78" s="38" t="s">
        <v>5106</v>
      </c>
      <c r="U78" s="345"/>
      <c r="V78" s="39"/>
      <c r="W78" s="39"/>
      <c r="X78" s="39"/>
      <c r="Y78" s="377"/>
    </row>
    <row r="79" spans="1:25" ht="148.5">
      <c r="B79" s="31" t="s">
        <v>172</v>
      </c>
      <c r="C79" s="55" t="s">
        <v>1030</v>
      </c>
      <c r="D79" s="295" t="s">
        <v>368</v>
      </c>
      <c r="E79" s="37" t="s">
        <v>174</v>
      </c>
      <c r="F79" s="31" t="s">
        <v>172</v>
      </c>
      <c r="G79" s="45">
        <v>49</v>
      </c>
      <c r="H79" s="295"/>
      <c r="I79" s="39"/>
      <c r="J79" s="38" t="s">
        <v>4908</v>
      </c>
      <c r="K79" s="38" t="s">
        <v>4907</v>
      </c>
      <c r="L79" s="297" t="s">
        <v>5020</v>
      </c>
      <c r="M79" s="45">
        <v>157</v>
      </c>
      <c r="N79" s="37" t="s">
        <v>4762</v>
      </c>
      <c r="O79" s="295" t="s">
        <v>4759</v>
      </c>
      <c r="P79" s="38"/>
      <c r="Q79" s="38" t="s">
        <v>5255</v>
      </c>
      <c r="R79" s="38" t="s">
        <v>5207</v>
      </c>
      <c r="S79" s="38"/>
      <c r="T79" s="38" t="s">
        <v>5106</v>
      </c>
      <c r="U79" s="345"/>
      <c r="V79" s="39"/>
      <c r="W79" s="39"/>
      <c r="X79" s="39"/>
      <c r="Y79" s="377"/>
    </row>
    <row r="80" spans="1:25" ht="52.5" customHeight="1">
      <c r="B80" s="31" t="s">
        <v>172</v>
      </c>
      <c r="C80" s="55" t="s">
        <v>1031</v>
      </c>
      <c r="D80" s="295" t="s">
        <v>369</v>
      </c>
      <c r="E80" s="37" t="s">
        <v>175</v>
      </c>
      <c r="F80" s="31" t="s">
        <v>172</v>
      </c>
      <c r="G80" s="45">
        <v>49</v>
      </c>
      <c r="H80" s="295"/>
      <c r="I80" s="39"/>
      <c r="J80" s="38" t="s">
        <v>4906</v>
      </c>
      <c r="K80" s="38" t="s">
        <v>4907</v>
      </c>
      <c r="L80" s="297" t="s">
        <v>5021</v>
      </c>
      <c r="M80" s="45">
        <v>157</v>
      </c>
      <c r="N80" s="37" t="s">
        <v>4761</v>
      </c>
      <c r="O80" s="295" t="s">
        <v>4757</v>
      </c>
      <c r="P80" s="38"/>
      <c r="Q80" s="38" t="s">
        <v>5255</v>
      </c>
      <c r="R80" s="38" t="s">
        <v>5206</v>
      </c>
      <c r="S80" s="38"/>
      <c r="T80" s="38" t="s">
        <v>5106</v>
      </c>
      <c r="U80" s="345"/>
      <c r="V80" s="39"/>
      <c r="W80" s="39"/>
      <c r="X80" s="39"/>
      <c r="Y80" s="377"/>
    </row>
    <row r="81" spans="2:25" ht="47.25" customHeight="1">
      <c r="B81" s="31" t="s">
        <v>172</v>
      </c>
      <c r="C81" s="55" t="s">
        <v>1032</v>
      </c>
      <c r="D81" s="295" t="s">
        <v>370</v>
      </c>
      <c r="E81" s="37" t="s">
        <v>176</v>
      </c>
      <c r="F81" s="31" t="s">
        <v>172</v>
      </c>
      <c r="G81" s="45">
        <v>49</v>
      </c>
      <c r="H81" s="295"/>
      <c r="I81" s="39"/>
      <c r="J81" s="38" t="s">
        <v>4906</v>
      </c>
      <c r="K81" s="38" t="s">
        <v>4912</v>
      </c>
      <c r="L81" s="297" t="s">
        <v>5020</v>
      </c>
      <c r="M81" s="45">
        <v>157</v>
      </c>
      <c r="N81" s="37" t="s">
        <v>4760</v>
      </c>
      <c r="O81" s="295" t="s">
        <v>4759</v>
      </c>
      <c r="P81" s="38"/>
      <c r="Q81" s="38" t="s">
        <v>5255</v>
      </c>
      <c r="R81" s="38" t="s">
        <v>5208</v>
      </c>
      <c r="S81" s="38"/>
      <c r="T81" s="38" t="s">
        <v>5106</v>
      </c>
      <c r="U81" s="345"/>
      <c r="V81" s="39"/>
      <c r="W81" s="39"/>
      <c r="X81" s="39"/>
      <c r="Y81" s="377"/>
    </row>
    <row r="82" spans="2:25" ht="50.25" customHeight="1">
      <c r="B82" s="31" t="s">
        <v>172</v>
      </c>
      <c r="C82" s="55" t="s">
        <v>1033</v>
      </c>
      <c r="D82" s="295" t="s">
        <v>371</v>
      </c>
      <c r="E82" s="37" t="s">
        <v>177</v>
      </c>
      <c r="F82" s="31" t="s">
        <v>172</v>
      </c>
      <c r="G82" s="45">
        <v>49</v>
      </c>
      <c r="H82" s="295"/>
      <c r="I82" s="39"/>
      <c r="J82" s="38" t="s">
        <v>4908</v>
      </c>
      <c r="K82" s="38" t="s">
        <v>4907</v>
      </c>
      <c r="L82" s="297" t="s">
        <v>5019</v>
      </c>
      <c r="M82" s="45">
        <v>157</v>
      </c>
      <c r="N82" s="37" t="s">
        <v>4758</v>
      </c>
      <c r="O82" s="295" t="s">
        <v>4757</v>
      </c>
      <c r="P82" s="38"/>
      <c r="Q82" s="38" t="s">
        <v>5255</v>
      </c>
      <c r="R82" s="38" t="s">
        <v>5209</v>
      </c>
      <c r="S82" s="38"/>
      <c r="T82" s="38" t="s">
        <v>5106</v>
      </c>
      <c r="U82" s="345"/>
      <c r="V82" s="39"/>
      <c r="W82" s="39"/>
      <c r="X82" s="39"/>
      <c r="Y82" s="377"/>
    </row>
    <row r="83" spans="2:25" ht="69.75" customHeight="1">
      <c r="B83" s="31" t="s">
        <v>178</v>
      </c>
      <c r="C83" s="55" t="s">
        <v>1034</v>
      </c>
      <c r="D83" s="295" t="s">
        <v>372</v>
      </c>
      <c r="E83" s="37" t="s">
        <v>179</v>
      </c>
      <c r="F83" s="31" t="s">
        <v>178</v>
      </c>
      <c r="G83" s="45">
        <v>49</v>
      </c>
      <c r="H83" s="295"/>
      <c r="I83" s="39"/>
      <c r="J83" s="38" t="s">
        <v>4913</v>
      </c>
      <c r="K83" s="38" t="s">
        <v>4914</v>
      </c>
      <c r="L83" s="297" t="s">
        <v>5022</v>
      </c>
      <c r="M83" s="45">
        <v>191</v>
      </c>
      <c r="N83" s="350" t="s">
        <v>4756</v>
      </c>
      <c r="O83" s="295" t="s">
        <v>4754</v>
      </c>
      <c r="P83" s="38"/>
      <c r="Q83" s="38" t="s">
        <v>5255</v>
      </c>
      <c r="R83" s="38" t="s">
        <v>5211</v>
      </c>
      <c r="S83" s="38"/>
      <c r="T83" s="38" t="s">
        <v>5106</v>
      </c>
      <c r="U83" s="345"/>
      <c r="V83" s="39"/>
      <c r="W83" s="39"/>
      <c r="X83" s="39"/>
      <c r="Y83" s="377"/>
    </row>
    <row r="84" spans="2:25" ht="272.25" customHeight="1">
      <c r="B84" s="31" t="s">
        <v>180</v>
      </c>
      <c r="C84" s="55" t="s">
        <v>1035</v>
      </c>
      <c r="D84" s="295" t="s">
        <v>373</v>
      </c>
      <c r="E84" s="37" t="s">
        <v>181</v>
      </c>
      <c r="F84" s="31" t="s">
        <v>180</v>
      </c>
      <c r="G84" s="45">
        <v>49</v>
      </c>
      <c r="H84" s="295"/>
      <c r="I84" s="39"/>
      <c r="J84" s="38" t="s">
        <v>4915</v>
      </c>
      <c r="K84" s="38" t="s">
        <v>4916</v>
      </c>
      <c r="L84" s="297" t="s">
        <v>5023</v>
      </c>
      <c r="M84" s="45" t="s">
        <v>5024</v>
      </c>
      <c r="N84" s="350" t="s">
        <v>4755</v>
      </c>
      <c r="O84" s="295" t="s">
        <v>4754</v>
      </c>
      <c r="P84" s="38"/>
      <c r="Q84" s="38" t="s">
        <v>5255</v>
      </c>
      <c r="R84" s="38" t="s">
        <v>5211</v>
      </c>
      <c r="S84" s="38"/>
      <c r="T84" s="38" t="s">
        <v>5106</v>
      </c>
      <c r="U84" s="345"/>
      <c r="V84" s="39"/>
      <c r="W84" s="39"/>
      <c r="X84" s="39"/>
      <c r="Y84" s="377"/>
    </row>
    <row r="85" spans="2:25" ht="66">
      <c r="B85" s="31" t="s">
        <v>180</v>
      </c>
      <c r="C85" s="55" t="s">
        <v>1036</v>
      </c>
      <c r="D85" s="295" t="s">
        <v>374</v>
      </c>
      <c r="E85" s="37" t="s">
        <v>182</v>
      </c>
      <c r="F85" s="31" t="s">
        <v>180</v>
      </c>
      <c r="G85" s="45">
        <v>50</v>
      </c>
      <c r="H85" s="295"/>
      <c r="I85" s="39"/>
      <c r="J85" s="38" t="s">
        <v>4915</v>
      </c>
      <c r="K85" s="38" t="s">
        <v>4916</v>
      </c>
      <c r="L85" s="297" t="s">
        <v>5025</v>
      </c>
      <c r="M85" s="45" t="s">
        <v>5026</v>
      </c>
      <c r="N85" s="350" t="s">
        <v>4753</v>
      </c>
      <c r="O85" s="295" t="s">
        <v>4751</v>
      </c>
      <c r="P85" s="38"/>
      <c r="Q85" s="38" t="s">
        <v>5255</v>
      </c>
      <c r="R85" s="38" t="s">
        <v>5212</v>
      </c>
      <c r="S85" s="38"/>
      <c r="T85" s="38" t="s">
        <v>5106</v>
      </c>
      <c r="U85" s="345"/>
      <c r="V85" s="39"/>
      <c r="W85" s="39"/>
      <c r="X85" s="39"/>
      <c r="Y85" s="377"/>
    </row>
    <row r="86" spans="2:25" ht="66">
      <c r="B86" s="31" t="s">
        <v>180</v>
      </c>
      <c r="C86" s="55" t="s">
        <v>1037</v>
      </c>
      <c r="D86" s="295" t="s">
        <v>375</v>
      </c>
      <c r="E86" s="37" t="s">
        <v>183</v>
      </c>
      <c r="F86" s="31" t="s">
        <v>180</v>
      </c>
      <c r="G86" s="45">
        <v>50</v>
      </c>
      <c r="H86" s="295"/>
      <c r="I86" s="39"/>
      <c r="J86" s="38" t="s">
        <v>4915</v>
      </c>
      <c r="K86" s="38" t="s">
        <v>4916</v>
      </c>
      <c r="L86" s="297" t="s">
        <v>5023</v>
      </c>
      <c r="M86" s="45" t="s">
        <v>5024</v>
      </c>
      <c r="N86" s="350" t="s">
        <v>4752</v>
      </c>
      <c r="O86" s="295" t="s">
        <v>4751</v>
      </c>
      <c r="P86" s="38"/>
      <c r="Q86" s="38" t="s">
        <v>5255</v>
      </c>
      <c r="R86" s="38" t="s">
        <v>5210</v>
      </c>
      <c r="S86" s="38"/>
      <c r="T86" s="38" t="s">
        <v>5106</v>
      </c>
      <c r="U86" s="345"/>
      <c r="V86" s="39"/>
      <c r="W86" s="39"/>
      <c r="X86" s="39"/>
      <c r="Y86" s="377"/>
    </row>
    <row r="87" spans="2:25" ht="132">
      <c r="B87" s="31" t="s">
        <v>184</v>
      </c>
      <c r="C87" s="55" t="s">
        <v>1038</v>
      </c>
      <c r="D87" s="295" t="s">
        <v>376</v>
      </c>
      <c r="E87" s="37" t="s">
        <v>185</v>
      </c>
      <c r="F87" s="31" t="s">
        <v>184</v>
      </c>
      <c r="G87" s="45">
        <v>50</v>
      </c>
      <c r="H87" s="295"/>
      <c r="I87" s="39"/>
      <c r="J87" s="38" t="s">
        <v>4915</v>
      </c>
      <c r="K87" s="38" t="s">
        <v>4917</v>
      </c>
      <c r="L87" s="297" t="s">
        <v>5027</v>
      </c>
      <c r="M87" s="45">
        <v>192</v>
      </c>
      <c r="N87" s="350" t="s">
        <v>4750</v>
      </c>
      <c r="O87" s="295" t="s">
        <v>4749</v>
      </c>
      <c r="P87" s="38"/>
      <c r="Q87" s="38" t="s">
        <v>5255</v>
      </c>
      <c r="R87" s="38" t="s">
        <v>5213</v>
      </c>
      <c r="S87" s="38"/>
      <c r="T87" s="38" t="s">
        <v>5106</v>
      </c>
      <c r="U87" s="345"/>
      <c r="V87" s="39"/>
      <c r="W87" s="39"/>
      <c r="X87" s="39"/>
      <c r="Y87" s="377"/>
    </row>
    <row r="88" spans="2:25" ht="148.5">
      <c r="B88" s="38" t="s">
        <v>184</v>
      </c>
      <c r="C88" s="55" t="s">
        <v>1039</v>
      </c>
      <c r="D88" s="295" t="s">
        <v>377</v>
      </c>
      <c r="E88" s="37" t="s">
        <v>186</v>
      </c>
      <c r="F88" s="38" t="s">
        <v>184</v>
      </c>
      <c r="G88" s="45">
        <v>50</v>
      </c>
      <c r="H88" s="295"/>
      <c r="I88" s="39"/>
      <c r="J88" s="38" t="s">
        <v>4915</v>
      </c>
      <c r="K88" s="38" t="s">
        <v>4916</v>
      </c>
      <c r="L88" s="297" t="s">
        <v>5028</v>
      </c>
      <c r="M88" s="45">
        <v>192</v>
      </c>
      <c r="N88" s="349" t="s">
        <v>4748</v>
      </c>
      <c r="O88" s="295" t="s">
        <v>4698</v>
      </c>
      <c r="P88" s="38"/>
      <c r="Q88" s="38" t="s">
        <v>5255</v>
      </c>
      <c r="R88" s="38" t="s">
        <v>5206</v>
      </c>
      <c r="S88" s="38"/>
      <c r="T88" s="38" t="s">
        <v>5106</v>
      </c>
      <c r="U88" s="345"/>
      <c r="V88" s="39"/>
      <c r="W88" s="39"/>
      <c r="X88" s="39"/>
      <c r="Y88" s="377"/>
    </row>
    <row r="89" spans="2:25" ht="63" customHeight="1">
      <c r="B89" s="38" t="s">
        <v>184</v>
      </c>
      <c r="C89" s="55" t="s">
        <v>1040</v>
      </c>
      <c r="D89" s="295" t="s">
        <v>378</v>
      </c>
      <c r="E89" s="37" t="s">
        <v>187</v>
      </c>
      <c r="F89" s="38" t="s">
        <v>184</v>
      </c>
      <c r="G89" s="45">
        <v>50</v>
      </c>
      <c r="H89" s="295"/>
      <c r="I89" s="39"/>
      <c r="J89" s="38" t="s">
        <v>4918</v>
      </c>
      <c r="K89" s="38" t="s">
        <v>4916</v>
      </c>
      <c r="L89" s="297" t="s">
        <v>5027</v>
      </c>
      <c r="M89" s="45">
        <v>192</v>
      </c>
      <c r="N89" s="349" t="s">
        <v>4747</v>
      </c>
      <c r="O89" s="295" t="s">
        <v>4698</v>
      </c>
      <c r="P89" s="38"/>
      <c r="Q89" s="38" t="s">
        <v>5255</v>
      </c>
      <c r="R89" s="38" t="s">
        <v>5205</v>
      </c>
      <c r="S89" s="38"/>
      <c r="T89" s="38" t="s">
        <v>5106</v>
      </c>
      <c r="U89" s="345"/>
      <c r="V89" s="39"/>
      <c r="W89" s="39"/>
      <c r="X89" s="39"/>
      <c r="Y89" s="377"/>
    </row>
    <row r="90" spans="2:25" ht="165">
      <c r="B90" s="38" t="s">
        <v>188</v>
      </c>
      <c r="C90" s="55" t="s">
        <v>1041</v>
      </c>
      <c r="D90" s="295" t="s">
        <v>379</v>
      </c>
      <c r="E90" s="37" t="s">
        <v>189</v>
      </c>
      <c r="F90" s="31" t="s">
        <v>188</v>
      </c>
      <c r="G90" s="45">
        <v>51</v>
      </c>
      <c r="H90" s="295"/>
      <c r="I90" s="39"/>
      <c r="J90" s="38" t="s">
        <v>4913</v>
      </c>
      <c r="K90" s="38" t="s">
        <v>4916</v>
      </c>
      <c r="L90" s="297" t="s">
        <v>5029</v>
      </c>
      <c r="M90" s="45" t="s">
        <v>5030</v>
      </c>
      <c r="N90" s="350" t="s">
        <v>4746</v>
      </c>
      <c r="O90" s="295" t="s">
        <v>4745</v>
      </c>
      <c r="P90" s="38"/>
      <c r="Q90" s="38" t="s">
        <v>5255</v>
      </c>
      <c r="R90" s="38" t="s">
        <v>5214</v>
      </c>
      <c r="S90" s="38"/>
      <c r="T90" s="38" t="s">
        <v>5106</v>
      </c>
      <c r="U90" s="345"/>
      <c r="V90" s="39"/>
      <c r="W90" s="39"/>
      <c r="X90" s="39"/>
      <c r="Y90" s="377"/>
    </row>
    <row r="91" spans="2:25" ht="158.25" customHeight="1">
      <c r="B91" s="38" t="s">
        <v>188</v>
      </c>
      <c r="C91" s="55" t="s">
        <v>1042</v>
      </c>
      <c r="D91" s="295" t="s">
        <v>380</v>
      </c>
      <c r="E91" s="37" t="s">
        <v>190</v>
      </c>
      <c r="F91" s="38" t="s">
        <v>188</v>
      </c>
      <c r="G91" s="45">
        <v>51</v>
      </c>
      <c r="H91" s="295"/>
      <c r="I91" s="39"/>
      <c r="J91" s="38" t="s">
        <v>4915</v>
      </c>
      <c r="K91" s="38" t="s">
        <v>4916</v>
      </c>
      <c r="L91" s="297" t="s">
        <v>5031</v>
      </c>
      <c r="M91" s="45">
        <v>122</v>
      </c>
      <c r="N91" s="349" t="s">
        <v>4744</v>
      </c>
      <c r="O91" s="295" t="s">
        <v>4743</v>
      </c>
      <c r="P91" s="38"/>
      <c r="Q91" s="38" t="s">
        <v>5255</v>
      </c>
      <c r="R91" s="38" t="s">
        <v>5215</v>
      </c>
      <c r="S91" s="38"/>
      <c r="T91" s="38" t="s">
        <v>5106</v>
      </c>
      <c r="U91" s="345"/>
      <c r="V91" s="39"/>
      <c r="W91" s="39"/>
      <c r="X91" s="39"/>
      <c r="Y91" s="377"/>
    </row>
    <row r="92" spans="2:25" ht="60" customHeight="1">
      <c r="B92" s="38" t="s">
        <v>188</v>
      </c>
      <c r="C92" s="55" t="s">
        <v>1043</v>
      </c>
      <c r="D92" s="295" t="s">
        <v>381</v>
      </c>
      <c r="E92" s="37" t="s">
        <v>191</v>
      </c>
      <c r="F92" s="38" t="s">
        <v>188</v>
      </c>
      <c r="G92" s="45">
        <v>51</v>
      </c>
      <c r="H92" s="295"/>
      <c r="I92" s="39"/>
      <c r="J92" s="38" t="s">
        <v>4915</v>
      </c>
      <c r="K92" s="38" t="s">
        <v>4916</v>
      </c>
      <c r="L92" s="297" t="s">
        <v>5033</v>
      </c>
      <c r="M92" s="45">
        <v>124</v>
      </c>
      <c r="N92" s="350" t="s">
        <v>4742</v>
      </c>
      <c r="O92" s="295" t="s">
        <v>4730</v>
      </c>
      <c r="P92" s="38"/>
      <c r="Q92" s="38" t="s">
        <v>5255</v>
      </c>
      <c r="R92" s="38" t="s">
        <v>5198</v>
      </c>
      <c r="S92" s="38"/>
      <c r="T92" s="38" t="s">
        <v>5106</v>
      </c>
      <c r="U92" s="345"/>
      <c r="V92" s="39"/>
      <c r="W92" s="39"/>
      <c r="X92" s="39"/>
      <c r="Y92" s="377"/>
    </row>
    <row r="93" spans="2:25" ht="68.25" customHeight="1">
      <c r="B93" s="31" t="s">
        <v>188</v>
      </c>
      <c r="C93" s="55" t="s">
        <v>1044</v>
      </c>
      <c r="D93" s="295" t="s">
        <v>382</v>
      </c>
      <c r="E93" s="37" t="s">
        <v>192</v>
      </c>
      <c r="F93" s="31" t="s">
        <v>188</v>
      </c>
      <c r="G93" s="45">
        <v>51</v>
      </c>
      <c r="H93" s="295"/>
      <c r="I93" s="39"/>
      <c r="J93" s="38" t="s">
        <v>4915</v>
      </c>
      <c r="K93" s="38" t="s">
        <v>4916</v>
      </c>
      <c r="L93" s="297" t="s">
        <v>5035</v>
      </c>
      <c r="M93" s="45">
        <v>191</v>
      </c>
      <c r="N93" s="350" t="s">
        <v>4741</v>
      </c>
      <c r="O93" s="295" t="s">
        <v>4644</v>
      </c>
      <c r="P93" s="38"/>
      <c r="Q93" s="38" t="s">
        <v>5255</v>
      </c>
      <c r="R93" s="38" t="s">
        <v>5187</v>
      </c>
      <c r="S93" s="38"/>
      <c r="T93" s="38" t="s">
        <v>5106</v>
      </c>
      <c r="U93" s="345"/>
      <c r="V93" s="39"/>
      <c r="W93" s="39"/>
      <c r="X93" s="39"/>
      <c r="Y93" s="377"/>
    </row>
    <row r="94" spans="2:25" ht="77.25" customHeight="1">
      <c r="B94" s="31" t="s">
        <v>193</v>
      </c>
      <c r="C94" s="55" t="s">
        <v>1045</v>
      </c>
      <c r="D94" s="295" t="s">
        <v>383</v>
      </c>
      <c r="E94" s="37" t="s">
        <v>195</v>
      </c>
      <c r="F94" s="31" t="s">
        <v>193</v>
      </c>
      <c r="G94" s="45">
        <v>51</v>
      </c>
      <c r="H94" s="295"/>
      <c r="I94" s="39"/>
      <c r="J94" s="38" t="s">
        <v>4915</v>
      </c>
      <c r="K94" s="38" t="s">
        <v>4916</v>
      </c>
      <c r="L94" s="297" t="s">
        <v>5034</v>
      </c>
      <c r="M94" s="45">
        <v>191</v>
      </c>
      <c r="N94" s="350" t="s">
        <v>4740</v>
      </c>
      <c r="O94" s="295" t="s">
        <v>4739</v>
      </c>
      <c r="P94" s="38"/>
      <c r="Q94" s="38" t="s">
        <v>5255</v>
      </c>
      <c r="R94" s="38" t="s">
        <v>5216</v>
      </c>
      <c r="S94" s="38"/>
      <c r="T94" s="38" t="s">
        <v>5106</v>
      </c>
      <c r="U94" s="345"/>
      <c r="V94" s="39"/>
      <c r="W94" s="39"/>
      <c r="X94" s="39"/>
      <c r="Y94" s="377"/>
    </row>
    <row r="95" spans="2:25" ht="313.5">
      <c r="B95" s="31" t="s">
        <v>193</v>
      </c>
      <c r="C95" s="55" t="s">
        <v>1046</v>
      </c>
      <c r="D95" s="295" t="s">
        <v>384</v>
      </c>
      <c r="E95" s="37" t="s">
        <v>196</v>
      </c>
      <c r="F95" s="31" t="s">
        <v>193</v>
      </c>
      <c r="G95" s="45" t="s">
        <v>194</v>
      </c>
      <c r="H95" s="295"/>
      <c r="I95" s="39"/>
      <c r="J95" s="38" t="s">
        <v>4913</v>
      </c>
      <c r="K95" s="38" t="s">
        <v>4916</v>
      </c>
      <c r="L95" s="297" t="s">
        <v>5036</v>
      </c>
      <c r="M95" s="45">
        <v>122</v>
      </c>
      <c r="N95" s="350" t="s">
        <v>4738</v>
      </c>
      <c r="O95" s="295" t="s">
        <v>4737</v>
      </c>
      <c r="P95" s="38"/>
      <c r="Q95" s="38" t="s">
        <v>5255</v>
      </c>
      <c r="R95" s="38" t="s">
        <v>5217</v>
      </c>
      <c r="S95" s="38"/>
      <c r="T95" s="38" t="s">
        <v>5106</v>
      </c>
      <c r="U95" s="345"/>
      <c r="V95" s="39"/>
      <c r="W95" s="39"/>
      <c r="X95" s="39"/>
      <c r="Y95" s="377"/>
    </row>
    <row r="96" spans="2:25" ht="56.25" customHeight="1">
      <c r="B96" s="38" t="s">
        <v>197</v>
      </c>
      <c r="C96" s="55" t="s">
        <v>1047</v>
      </c>
      <c r="D96" s="295" t="s">
        <v>385</v>
      </c>
      <c r="E96" s="37" t="s">
        <v>198</v>
      </c>
      <c r="F96" s="38" t="s">
        <v>197</v>
      </c>
      <c r="G96" s="45">
        <v>52</v>
      </c>
      <c r="H96" s="295"/>
      <c r="I96" s="39"/>
      <c r="J96" s="38" t="s">
        <v>4913</v>
      </c>
      <c r="K96" s="38" t="s">
        <v>4917</v>
      </c>
      <c r="L96" s="297" t="s">
        <v>5032</v>
      </c>
      <c r="M96" s="45">
        <v>124</v>
      </c>
      <c r="N96" s="350" t="s">
        <v>4736</v>
      </c>
      <c r="O96" s="295" t="s">
        <v>4698</v>
      </c>
      <c r="P96" s="38"/>
      <c r="Q96" s="38" t="s">
        <v>5255</v>
      </c>
      <c r="R96" s="38" t="s">
        <v>5185</v>
      </c>
      <c r="S96" s="38"/>
      <c r="T96" s="38" t="s">
        <v>5106</v>
      </c>
      <c r="U96" s="345"/>
      <c r="V96" s="39"/>
      <c r="W96" s="39"/>
      <c r="X96" s="39"/>
      <c r="Y96" s="377"/>
    </row>
    <row r="97" spans="2:25" ht="66">
      <c r="B97" s="31" t="s">
        <v>197</v>
      </c>
      <c r="C97" s="55" t="s">
        <v>1048</v>
      </c>
      <c r="D97" s="295" t="s">
        <v>386</v>
      </c>
      <c r="E97" s="37" t="s">
        <v>4735</v>
      </c>
      <c r="F97" s="31" t="s">
        <v>197</v>
      </c>
      <c r="G97" s="45">
        <v>52</v>
      </c>
      <c r="H97" s="295"/>
      <c r="I97" s="39"/>
      <c r="J97" s="38" t="s">
        <v>4913</v>
      </c>
      <c r="K97" s="38" t="s">
        <v>4916</v>
      </c>
      <c r="L97" s="295" t="s">
        <v>5037</v>
      </c>
      <c r="M97" s="45">
        <v>191</v>
      </c>
      <c r="N97" s="350" t="s">
        <v>4734</v>
      </c>
      <c r="O97" s="295" t="s">
        <v>4730</v>
      </c>
      <c r="P97" s="38"/>
      <c r="Q97" s="38" t="s">
        <v>5255</v>
      </c>
      <c r="R97" s="38" t="s">
        <v>5218</v>
      </c>
      <c r="S97" s="38"/>
      <c r="T97" s="38" t="s">
        <v>5106</v>
      </c>
      <c r="U97" s="345"/>
      <c r="V97" s="39"/>
      <c r="W97" s="39"/>
      <c r="X97" s="39"/>
      <c r="Y97" s="377"/>
    </row>
    <row r="98" spans="2:25" ht="66">
      <c r="B98" s="31" t="s">
        <v>197</v>
      </c>
      <c r="C98" s="55" t="s">
        <v>1049</v>
      </c>
      <c r="D98" s="295" t="s">
        <v>387</v>
      </c>
      <c r="E98" s="37" t="s">
        <v>199</v>
      </c>
      <c r="F98" s="31" t="s">
        <v>197</v>
      </c>
      <c r="G98" s="45">
        <v>52</v>
      </c>
      <c r="H98" s="295"/>
      <c r="I98" s="39"/>
      <c r="J98" s="38" t="s">
        <v>4919</v>
      </c>
      <c r="K98" s="38" t="s">
        <v>4916</v>
      </c>
      <c r="L98" s="297" t="s">
        <v>5038</v>
      </c>
      <c r="M98" s="45">
        <v>191</v>
      </c>
      <c r="N98" s="350" t="s">
        <v>4729</v>
      </c>
      <c r="O98" s="295" t="s">
        <v>4720</v>
      </c>
      <c r="P98" s="38"/>
      <c r="Q98" s="38" t="s">
        <v>5255</v>
      </c>
      <c r="R98" s="38" t="s">
        <v>5220</v>
      </c>
      <c r="S98" s="38"/>
      <c r="T98" s="38" t="s">
        <v>5106</v>
      </c>
      <c r="U98" s="345"/>
      <c r="V98" s="39"/>
      <c r="W98" s="39"/>
      <c r="X98" s="39"/>
      <c r="Y98" s="377"/>
    </row>
    <row r="99" spans="2:25" ht="66">
      <c r="B99" s="31" t="s">
        <v>197</v>
      </c>
      <c r="C99" s="55" t="s">
        <v>1050</v>
      </c>
      <c r="D99" s="295" t="s">
        <v>388</v>
      </c>
      <c r="E99" s="37" t="s">
        <v>200</v>
      </c>
      <c r="F99" s="31" t="s">
        <v>197</v>
      </c>
      <c r="G99" s="45">
        <v>52</v>
      </c>
      <c r="H99" s="295"/>
      <c r="I99" s="39"/>
      <c r="J99" s="38" t="s">
        <v>4915</v>
      </c>
      <c r="K99" s="38" t="s">
        <v>4920</v>
      </c>
      <c r="L99" s="297" t="s">
        <v>5040</v>
      </c>
      <c r="M99" s="45">
        <v>192</v>
      </c>
      <c r="N99" s="350" t="s">
        <v>4733</v>
      </c>
      <c r="O99" s="295" t="s">
        <v>4732</v>
      </c>
      <c r="P99" s="38"/>
      <c r="Q99" s="38" t="s">
        <v>5255</v>
      </c>
      <c r="R99" s="38" t="s">
        <v>5221</v>
      </c>
      <c r="S99" s="38"/>
      <c r="T99" s="38" t="s">
        <v>5106</v>
      </c>
      <c r="U99" s="345"/>
      <c r="V99" s="39"/>
      <c r="W99" s="39"/>
      <c r="X99" s="39"/>
      <c r="Y99" s="377"/>
    </row>
    <row r="100" spans="2:25" ht="48" customHeight="1">
      <c r="B100" s="31" t="s">
        <v>197</v>
      </c>
      <c r="C100" s="55" t="s">
        <v>1051</v>
      </c>
      <c r="D100" s="295" t="s">
        <v>389</v>
      </c>
      <c r="E100" s="37" t="s">
        <v>201</v>
      </c>
      <c r="F100" s="31" t="s">
        <v>197</v>
      </c>
      <c r="G100" s="45">
        <v>52</v>
      </c>
      <c r="H100" s="295"/>
      <c r="I100" s="39"/>
      <c r="J100" s="38" t="s">
        <v>4915</v>
      </c>
      <c r="K100" s="38" t="s">
        <v>4921</v>
      </c>
      <c r="L100" s="297" t="s">
        <v>5040</v>
      </c>
      <c r="M100" s="45">
        <v>192</v>
      </c>
      <c r="N100" s="350" t="s">
        <v>4731</v>
      </c>
      <c r="O100" s="295" t="s">
        <v>4730</v>
      </c>
      <c r="P100" s="38"/>
      <c r="Q100" s="38" t="s">
        <v>5255</v>
      </c>
      <c r="R100" s="38" t="s">
        <v>5219</v>
      </c>
      <c r="S100" s="38"/>
      <c r="T100" s="38" t="s">
        <v>5106</v>
      </c>
      <c r="U100" s="345"/>
      <c r="V100" s="39"/>
      <c r="W100" s="39"/>
      <c r="X100" s="39"/>
      <c r="Y100" s="377"/>
    </row>
    <row r="101" spans="2:25" ht="66">
      <c r="B101" s="31" t="s">
        <v>197</v>
      </c>
      <c r="C101" s="55" t="s">
        <v>1052</v>
      </c>
      <c r="D101" s="295" t="s">
        <v>390</v>
      </c>
      <c r="E101" s="37" t="s">
        <v>202</v>
      </c>
      <c r="F101" s="31" t="s">
        <v>197</v>
      </c>
      <c r="G101" s="45">
        <v>52</v>
      </c>
      <c r="H101" s="295"/>
      <c r="I101" s="39"/>
      <c r="J101" s="38" t="s">
        <v>4915</v>
      </c>
      <c r="K101" s="38" t="s">
        <v>4916</v>
      </c>
      <c r="L101" s="297" t="s">
        <v>5041</v>
      </c>
      <c r="M101" s="45">
        <v>192</v>
      </c>
      <c r="N101" s="350" t="s">
        <v>4729</v>
      </c>
      <c r="O101" s="295" t="s">
        <v>4720</v>
      </c>
      <c r="P101" s="38"/>
      <c r="Q101" s="38" t="s">
        <v>5255</v>
      </c>
      <c r="R101" s="38" t="s">
        <v>5221</v>
      </c>
      <c r="S101" s="38"/>
      <c r="T101" s="38" t="s">
        <v>5106</v>
      </c>
      <c r="U101" s="345"/>
      <c r="V101" s="39"/>
      <c r="W101" s="39"/>
      <c r="X101" s="39"/>
      <c r="Y101" s="377"/>
    </row>
    <row r="102" spans="2:25" ht="66">
      <c r="B102" s="31" t="s">
        <v>197</v>
      </c>
      <c r="C102" s="55" t="s">
        <v>1053</v>
      </c>
      <c r="D102" s="295" t="s">
        <v>391</v>
      </c>
      <c r="E102" s="37" t="s">
        <v>203</v>
      </c>
      <c r="F102" s="31" t="s">
        <v>197</v>
      </c>
      <c r="G102" s="45">
        <v>53</v>
      </c>
      <c r="H102" s="295"/>
      <c r="I102" s="39"/>
      <c r="J102" s="38" t="s">
        <v>4915</v>
      </c>
      <c r="K102" s="38" t="s">
        <v>4916</v>
      </c>
      <c r="L102" s="297" t="s">
        <v>5042</v>
      </c>
      <c r="M102" s="45">
        <v>192</v>
      </c>
      <c r="N102" s="350" t="s">
        <v>4728</v>
      </c>
      <c r="O102" s="295" t="s">
        <v>4720</v>
      </c>
      <c r="P102" s="38"/>
      <c r="Q102" s="38" t="s">
        <v>5255</v>
      </c>
      <c r="R102" s="38" t="s">
        <v>5222</v>
      </c>
      <c r="S102" s="38"/>
      <c r="T102" s="38" t="s">
        <v>5106</v>
      </c>
      <c r="U102" s="345"/>
      <c r="V102" s="39"/>
      <c r="W102" s="39"/>
      <c r="X102" s="39"/>
      <c r="Y102" s="377"/>
    </row>
    <row r="103" spans="2:25" ht="66">
      <c r="B103" s="31" t="s">
        <v>197</v>
      </c>
      <c r="C103" s="55" t="s">
        <v>1054</v>
      </c>
      <c r="D103" s="295" t="s">
        <v>392</v>
      </c>
      <c r="E103" s="37" t="s">
        <v>4727</v>
      </c>
      <c r="F103" s="31" t="s">
        <v>197</v>
      </c>
      <c r="G103" s="45">
        <v>53</v>
      </c>
      <c r="H103" s="295"/>
      <c r="I103" s="39"/>
      <c r="J103" s="38" t="s">
        <v>4915</v>
      </c>
      <c r="K103" s="38" t="s">
        <v>4917</v>
      </c>
      <c r="L103" s="297" t="s">
        <v>5042</v>
      </c>
      <c r="M103" s="45">
        <v>192</v>
      </c>
      <c r="N103" s="350" t="s">
        <v>4726</v>
      </c>
      <c r="O103" s="295" t="s">
        <v>4720</v>
      </c>
      <c r="P103" s="38"/>
      <c r="Q103" s="38" t="s">
        <v>5255</v>
      </c>
      <c r="R103" s="38" t="s">
        <v>5223</v>
      </c>
      <c r="S103" s="38"/>
      <c r="T103" s="38" t="s">
        <v>5106</v>
      </c>
      <c r="U103" s="345"/>
      <c r="V103" s="39"/>
      <c r="W103" s="39"/>
      <c r="X103" s="39"/>
      <c r="Y103" s="377"/>
    </row>
    <row r="104" spans="2:25" ht="66">
      <c r="B104" s="31" t="s">
        <v>197</v>
      </c>
      <c r="C104" s="55" t="s">
        <v>1055</v>
      </c>
      <c r="D104" s="295" t="s">
        <v>393</v>
      </c>
      <c r="E104" s="37" t="s">
        <v>204</v>
      </c>
      <c r="F104" s="31" t="s">
        <v>197</v>
      </c>
      <c r="G104" s="45">
        <v>53</v>
      </c>
      <c r="H104" s="295"/>
      <c r="I104" s="39"/>
      <c r="J104" s="38" t="s">
        <v>4915</v>
      </c>
      <c r="K104" s="38" t="s">
        <v>4917</v>
      </c>
      <c r="L104" s="297" t="s">
        <v>5039</v>
      </c>
      <c r="M104" s="45">
        <v>192</v>
      </c>
      <c r="N104" s="350" t="s">
        <v>4725</v>
      </c>
      <c r="O104" s="295" t="s">
        <v>4720</v>
      </c>
      <c r="P104" s="38"/>
      <c r="Q104" s="38" t="s">
        <v>5255</v>
      </c>
      <c r="R104" s="38" t="s">
        <v>5219</v>
      </c>
      <c r="S104" s="38"/>
      <c r="T104" s="38" t="s">
        <v>5106</v>
      </c>
      <c r="U104" s="345"/>
      <c r="V104" s="39"/>
      <c r="W104" s="39"/>
      <c r="X104" s="39"/>
      <c r="Y104" s="377"/>
    </row>
    <row r="105" spans="2:25" ht="66">
      <c r="B105" s="31" t="s">
        <v>197</v>
      </c>
      <c r="C105" s="55" t="s">
        <v>1056</v>
      </c>
      <c r="D105" s="295" t="s">
        <v>394</v>
      </c>
      <c r="E105" s="37" t="s">
        <v>205</v>
      </c>
      <c r="F105" s="31" t="s">
        <v>197</v>
      </c>
      <c r="G105" s="45">
        <v>53</v>
      </c>
      <c r="H105" s="295"/>
      <c r="I105" s="39"/>
      <c r="J105" s="38" t="s">
        <v>4915</v>
      </c>
      <c r="K105" s="38" t="s">
        <v>4916</v>
      </c>
      <c r="L105" s="297" t="s">
        <v>5042</v>
      </c>
      <c r="M105" s="45">
        <v>192</v>
      </c>
      <c r="N105" s="350" t="s">
        <v>4724</v>
      </c>
      <c r="O105" s="295" t="s">
        <v>4720</v>
      </c>
      <c r="P105" s="38"/>
      <c r="Q105" s="38" t="s">
        <v>5255</v>
      </c>
      <c r="R105" s="38" t="s">
        <v>5223</v>
      </c>
      <c r="S105" s="38"/>
      <c r="T105" s="38" t="s">
        <v>5106</v>
      </c>
      <c r="U105" s="345"/>
      <c r="V105" s="39"/>
      <c r="W105" s="39"/>
      <c r="X105" s="39"/>
      <c r="Y105" s="377"/>
    </row>
    <row r="106" spans="2:25" ht="66">
      <c r="B106" s="31" t="s">
        <v>197</v>
      </c>
      <c r="C106" s="55" t="s">
        <v>1057</v>
      </c>
      <c r="D106" s="295" t="s">
        <v>395</v>
      </c>
      <c r="E106" s="37" t="s">
        <v>206</v>
      </c>
      <c r="F106" s="31" t="s">
        <v>197</v>
      </c>
      <c r="G106" s="45">
        <v>53</v>
      </c>
      <c r="H106" s="295"/>
      <c r="I106" s="39"/>
      <c r="J106" s="38" t="s">
        <v>4919</v>
      </c>
      <c r="K106" s="38" t="s">
        <v>4917</v>
      </c>
      <c r="L106" s="297" t="s">
        <v>5041</v>
      </c>
      <c r="M106" s="45">
        <v>192</v>
      </c>
      <c r="N106" s="350" t="s">
        <v>4723</v>
      </c>
      <c r="O106" s="295" t="s">
        <v>4720</v>
      </c>
      <c r="P106" s="38"/>
      <c r="Q106" s="38" t="s">
        <v>5255</v>
      </c>
      <c r="R106" s="38" t="s">
        <v>5221</v>
      </c>
      <c r="S106" s="38"/>
      <c r="T106" s="38" t="s">
        <v>5106</v>
      </c>
      <c r="U106" s="345"/>
      <c r="V106" s="39"/>
      <c r="W106" s="39"/>
      <c r="X106" s="39"/>
      <c r="Y106" s="377"/>
    </row>
    <row r="107" spans="2:25" ht="66">
      <c r="B107" s="31" t="s">
        <v>197</v>
      </c>
      <c r="C107" s="55" t="s">
        <v>1058</v>
      </c>
      <c r="D107" s="295" t="s">
        <v>396</v>
      </c>
      <c r="E107" s="37" t="s">
        <v>207</v>
      </c>
      <c r="F107" s="31" t="s">
        <v>197</v>
      </c>
      <c r="G107" s="45">
        <v>53</v>
      </c>
      <c r="H107" s="295"/>
      <c r="I107" s="39"/>
      <c r="J107" s="38" t="s">
        <v>4919</v>
      </c>
      <c r="K107" s="38" t="s">
        <v>4916</v>
      </c>
      <c r="L107" s="297" t="s">
        <v>5042</v>
      </c>
      <c r="M107" s="45">
        <v>192</v>
      </c>
      <c r="N107" s="350" t="s">
        <v>4722</v>
      </c>
      <c r="O107" s="295" t="s">
        <v>4720</v>
      </c>
      <c r="P107" s="38"/>
      <c r="Q107" s="38" t="s">
        <v>5255</v>
      </c>
      <c r="R107" s="38" t="s">
        <v>5223</v>
      </c>
      <c r="S107" s="38"/>
      <c r="T107" s="38" t="s">
        <v>5106</v>
      </c>
      <c r="U107" s="345"/>
      <c r="V107" s="39"/>
      <c r="W107" s="39"/>
      <c r="X107" s="39"/>
      <c r="Y107" s="377"/>
    </row>
    <row r="108" spans="2:25" ht="66">
      <c r="B108" s="31" t="s">
        <v>197</v>
      </c>
      <c r="C108" s="55" t="s">
        <v>1059</v>
      </c>
      <c r="D108" s="295" t="s">
        <v>397</v>
      </c>
      <c r="E108" s="37" t="s">
        <v>208</v>
      </c>
      <c r="F108" s="31" t="s">
        <v>197</v>
      </c>
      <c r="G108" s="45">
        <v>53</v>
      </c>
      <c r="H108" s="295"/>
      <c r="I108" s="39"/>
      <c r="J108" s="38" t="s">
        <v>4922</v>
      </c>
      <c r="K108" s="38" t="s">
        <v>4923</v>
      </c>
      <c r="L108" s="297" t="s">
        <v>5041</v>
      </c>
      <c r="M108" s="45">
        <v>192</v>
      </c>
      <c r="N108" s="350" t="s">
        <v>4721</v>
      </c>
      <c r="O108" s="295" t="s">
        <v>4720</v>
      </c>
      <c r="P108" s="38"/>
      <c r="Q108" s="38" t="s">
        <v>5255</v>
      </c>
      <c r="R108" s="38" t="s">
        <v>5222</v>
      </c>
      <c r="S108" s="38"/>
      <c r="T108" s="38" t="s">
        <v>5106</v>
      </c>
      <c r="U108" s="345"/>
      <c r="V108" s="39"/>
      <c r="W108" s="39"/>
      <c r="X108" s="39"/>
      <c r="Y108" s="377"/>
    </row>
    <row r="109" spans="2:25" ht="187.5" customHeight="1">
      <c r="B109" s="38" t="s">
        <v>209</v>
      </c>
      <c r="C109" s="55" t="s">
        <v>1060</v>
      </c>
      <c r="D109" s="295" t="s">
        <v>398</v>
      </c>
      <c r="E109" s="37" t="s">
        <v>210</v>
      </c>
      <c r="F109" s="38" t="s">
        <v>209</v>
      </c>
      <c r="G109" s="45" t="s">
        <v>211</v>
      </c>
      <c r="H109" s="295"/>
      <c r="I109" s="39"/>
      <c r="J109" s="38" t="s">
        <v>4922</v>
      </c>
      <c r="K109" s="38" t="s">
        <v>4924</v>
      </c>
      <c r="L109" s="295" t="s">
        <v>5043</v>
      </c>
      <c r="M109" s="45">
        <v>142</v>
      </c>
      <c r="N109" s="350" t="s">
        <v>4719</v>
      </c>
      <c r="O109" s="295" t="s">
        <v>4718</v>
      </c>
      <c r="P109" s="38"/>
      <c r="Q109" s="38" t="s">
        <v>5255</v>
      </c>
      <c r="R109" s="38" t="s">
        <v>5221</v>
      </c>
      <c r="S109" s="38"/>
      <c r="T109" s="38" t="s">
        <v>5107</v>
      </c>
      <c r="U109" s="345"/>
      <c r="V109" s="39"/>
      <c r="W109" s="39"/>
      <c r="X109" s="39"/>
      <c r="Y109" s="377"/>
    </row>
    <row r="110" spans="2:25" ht="85.5" customHeight="1">
      <c r="B110" s="31" t="s">
        <v>212</v>
      </c>
      <c r="C110" s="55" t="s">
        <v>1061</v>
      </c>
      <c r="D110" s="295" t="s">
        <v>399</v>
      </c>
      <c r="E110" s="37" t="s">
        <v>213</v>
      </c>
      <c r="F110" s="31" t="s">
        <v>212</v>
      </c>
      <c r="G110" s="45">
        <v>54</v>
      </c>
      <c r="H110" s="295"/>
      <c r="I110" s="39"/>
      <c r="J110" s="38" t="s">
        <v>4922</v>
      </c>
      <c r="K110" s="38" t="s">
        <v>4924</v>
      </c>
      <c r="L110" s="297" t="s">
        <v>5044</v>
      </c>
      <c r="M110" s="45">
        <v>194</v>
      </c>
      <c r="N110" s="37" t="s">
        <v>4717</v>
      </c>
      <c r="O110" s="295" t="s">
        <v>4617</v>
      </c>
      <c r="P110" s="38"/>
      <c r="Q110" s="38" t="s">
        <v>5255</v>
      </c>
      <c r="R110" s="38" t="s">
        <v>5187</v>
      </c>
      <c r="S110" s="38"/>
      <c r="T110" s="38" t="s">
        <v>5107</v>
      </c>
      <c r="U110" s="345"/>
      <c r="V110" s="39"/>
      <c r="W110" s="39"/>
      <c r="X110" s="39"/>
      <c r="Y110" s="377"/>
    </row>
    <row r="111" spans="2:25" ht="185.25" customHeight="1">
      <c r="B111" s="31" t="s">
        <v>212</v>
      </c>
      <c r="C111" s="55" t="s">
        <v>1062</v>
      </c>
      <c r="D111" s="295" t="s">
        <v>400</v>
      </c>
      <c r="E111" s="37" t="s">
        <v>214</v>
      </c>
      <c r="F111" s="31" t="s">
        <v>212</v>
      </c>
      <c r="G111" s="45">
        <v>54</v>
      </c>
      <c r="H111" s="295"/>
      <c r="I111" s="39"/>
      <c r="J111" s="38" t="s">
        <v>4925</v>
      </c>
      <c r="K111" s="38" t="s">
        <v>4924</v>
      </c>
      <c r="L111" s="297" t="s">
        <v>5045</v>
      </c>
      <c r="M111" s="45">
        <v>195</v>
      </c>
      <c r="N111" s="37" t="s">
        <v>4716</v>
      </c>
      <c r="O111" s="295" t="s">
        <v>4715</v>
      </c>
      <c r="P111" s="38"/>
      <c r="Q111" s="38" t="s">
        <v>5255</v>
      </c>
      <c r="R111" s="38" t="s">
        <v>5185</v>
      </c>
      <c r="S111" s="38"/>
      <c r="T111" s="38" t="s">
        <v>5107</v>
      </c>
      <c r="U111" s="345"/>
      <c r="V111" s="39"/>
      <c r="W111" s="39"/>
      <c r="X111" s="39"/>
      <c r="Y111" s="377"/>
    </row>
    <row r="112" spans="2:25" ht="101.25" customHeight="1">
      <c r="B112" s="31" t="s">
        <v>215</v>
      </c>
      <c r="C112" s="55" t="s">
        <v>1063</v>
      </c>
      <c r="D112" s="295" t="s">
        <v>401</v>
      </c>
      <c r="E112" s="37" t="s">
        <v>216</v>
      </c>
      <c r="F112" s="31" t="s">
        <v>215</v>
      </c>
      <c r="G112" s="45">
        <v>54</v>
      </c>
      <c r="H112" s="295"/>
      <c r="I112" s="39"/>
      <c r="J112" s="38" t="s">
        <v>4926</v>
      </c>
      <c r="K112" s="38">
        <v>119</v>
      </c>
      <c r="L112" s="297" t="s">
        <v>5046</v>
      </c>
      <c r="M112" s="45">
        <v>146</v>
      </c>
      <c r="N112" s="37" t="s">
        <v>4714</v>
      </c>
      <c r="O112" s="295" t="s">
        <v>4713</v>
      </c>
      <c r="P112" s="38"/>
      <c r="Q112" s="38" t="s">
        <v>5255</v>
      </c>
      <c r="R112" s="38" t="s">
        <v>5205</v>
      </c>
      <c r="S112" s="38"/>
      <c r="T112" s="38" t="s">
        <v>5107</v>
      </c>
      <c r="U112" s="345"/>
      <c r="V112" s="39"/>
      <c r="W112" s="39"/>
      <c r="X112" s="39"/>
      <c r="Y112" s="377"/>
    </row>
    <row r="113" spans="2:25" ht="115.5">
      <c r="B113" s="31" t="s">
        <v>215</v>
      </c>
      <c r="C113" s="55" t="s">
        <v>1064</v>
      </c>
      <c r="D113" s="295" t="s">
        <v>402</v>
      </c>
      <c r="E113" s="37" t="s">
        <v>217</v>
      </c>
      <c r="F113" s="31" t="s">
        <v>215</v>
      </c>
      <c r="G113" s="45">
        <v>54</v>
      </c>
      <c r="H113" s="295"/>
      <c r="I113" s="39"/>
      <c r="J113" s="38" t="s">
        <v>4927</v>
      </c>
      <c r="K113" s="38">
        <v>9</v>
      </c>
      <c r="L113" s="297" t="s">
        <v>5047</v>
      </c>
      <c r="M113" s="45">
        <v>148</v>
      </c>
      <c r="N113" s="37" t="s">
        <v>4712</v>
      </c>
      <c r="O113" s="295" t="s">
        <v>4711</v>
      </c>
      <c r="P113" s="38"/>
      <c r="Q113" s="38" t="s">
        <v>5255</v>
      </c>
      <c r="R113" s="38" t="s">
        <v>5224</v>
      </c>
      <c r="S113" s="38"/>
      <c r="T113" s="38" t="s">
        <v>5107</v>
      </c>
      <c r="U113" s="345"/>
      <c r="V113" s="39"/>
      <c r="W113" s="39"/>
      <c r="X113" s="39"/>
      <c r="Y113" s="377"/>
    </row>
    <row r="114" spans="2:25" ht="99">
      <c r="B114" s="31" t="s">
        <v>218</v>
      </c>
      <c r="C114" s="55" t="s">
        <v>1065</v>
      </c>
      <c r="D114" s="295" t="s">
        <v>403</v>
      </c>
      <c r="E114" s="37" t="s">
        <v>219</v>
      </c>
      <c r="F114" s="31" t="s">
        <v>218</v>
      </c>
      <c r="G114" s="45">
        <v>55</v>
      </c>
      <c r="H114" s="295"/>
      <c r="I114" s="39"/>
      <c r="J114" s="38" t="s">
        <v>4928</v>
      </c>
      <c r="K114" s="38" t="s">
        <v>4929</v>
      </c>
      <c r="L114" s="297" t="s">
        <v>5048</v>
      </c>
      <c r="M114" s="45">
        <v>148</v>
      </c>
      <c r="N114" s="37" t="s">
        <v>4710</v>
      </c>
      <c r="O114" s="295" t="s">
        <v>4708</v>
      </c>
      <c r="P114" s="38"/>
      <c r="Q114" s="38" t="s">
        <v>5255</v>
      </c>
      <c r="R114" s="38" t="s">
        <v>5186</v>
      </c>
      <c r="S114" s="38"/>
      <c r="T114" s="38" t="s">
        <v>5107</v>
      </c>
      <c r="U114" s="345"/>
      <c r="V114" s="39"/>
      <c r="W114" s="39"/>
      <c r="X114" s="39"/>
      <c r="Y114" s="377"/>
    </row>
    <row r="115" spans="2:25" ht="99">
      <c r="B115" s="31" t="s">
        <v>218</v>
      </c>
      <c r="C115" s="55" t="s">
        <v>1066</v>
      </c>
      <c r="D115" s="295" t="s">
        <v>404</v>
      </c>
      <c r="E115" s="37" t="s">
        <v>220</v>
      </c>
      <c r="F115" s="31" t="s">
        <v>218</v>
      </c>
      <c r="G115" s="45">
        <v>55</v>
      </c>
      <c r="H115" s="295"/>
      <c r="I115" s="39"/>
      <c r="J115" s="38" t="s">
        <v>4928</v>
      </c>
      <c r="K115" s="38" t="s">
        <v>4929</v>
      </c>
      <c r="L115" s="295" t="s">
        <v>5049</v>
      </c>
      <c r="M115" s="45">
        <v>142</v>
      </c>
      <c r="N115" s="37" t="s">
        <v>4709</v>
      </c>
      <c r="O115" s="295" t="s">
        <v>4708</v>
      </c>
      <c r="P115" s="38"/>
      <c r="Q115" s="38" t="s">
        <v>5255</v>
      </c>
      <c r="R115" s="38" t="s">
        <v>5225</v>
      </c>
      <c r="S115" s="38"/>
      <c r="T115" s="38" t="s">
        <v>5107</v>
      </c>
      <c r="U115" s="345"/>
      <c r="V115" s="39"/>
      <c r="W115" s="39"/>
      <c r="X115" s="39"/>
      <c r="Y115" s="377"/>
    </row>
    <row r="116" spans="2:25" ht="49.5">
      <c r="B116" s="31" t="s">
        <v>221</v>
      </c>
      <c r="C116" s="55" t="s">
        <v>1067</v>
      </c>
      <c r="D116" s="295" t="s">
        <v>405</v>
      </c>
      <c r="E116" s="37" t="s">
        <v>222</v>
      </c>
      <c r="F116" s="31" t="s">
        <v>221</v>
      </c>
      <c r="G116" s="45">
        <v>55</v>
      </c>
      <c r="H116" s="295"/>
      <c r="I116" s="39"/>
      <c r="J116" s="38" t="s">
        <v>4928</v>
      </c>
      <c r="K116" s="38" t="s">
        <v>4930</v>
      </c>
      <c r="L116" s="295" t="s">
        <v>5050</v>
      </c>
      <c r="M116" s="45">
        <v>173</v>
      </c>
      <c r="N116" s="350" t="s">
        <v>4707</v>
      </c>
      <c r="O116" s="295" t="s">
        <v>4698</v>
      </c>
      <c r="P116" s="38"/>
      <c r="Q116" s="38" t="s">
        <v>5255</v>
      </c>
      <c r="R116" s="38" t="s">
        <v>5186</v>
      </c>
      <c r="S116" s="38"/>
      <c r="T116" s="38" t="s">
        <v>5107</v>
      </c>
      <c r="U116" s="345"/>
      <c r="V116" s="39"/>
      <c r="W116" s="39"/>
      <c r="X116" s="39"/>
      <c r="Y116" s="377"/>
    </row>
    <row r="117" spans="2:25" ht="49.5">
      <c r="B117" s="31" t="s">
        <v>221</v>
      </c>
      <c r="C117" s="55" t="s">
        <v>1068</v>
      </c>
      <c r="D117" s="295" t="s">
        <v>406</v>
      </c>
      <c r="E117" s="37" t="s">
        <v>223</v>
      </c>
      <c r="F117" s="31" t="s">
        <v>221</v>
      </c>
      <c r="G117" s="45">
        <v>55</v>
      </c>
      <c r="H117" s="295"/>
      <c r="I117" s="39"/>
      <c r="J117" s="38" t="s">
        <v>4928</v>
      </c>
      <c r="K117" s="38" t="s">
        <v>4929</v>
      </c>
      <c r="L117" s="297" t="s">
        <v>5051</v>
      </c>
      <c r="M117" s="45">
        <v>173</v>
      </c>
      <c r="N117" s="350" t="s">
        <v>4706</v>
      </c>
      <c r="O117" s="295" t="s">
        <v>4705</v>
      </c>
      <c r="P117" s="38"/>
      <c r="Q117" s="38" t="s">
        <v>5255</v>
      </c>
      <c r="R117" s="38" t="s">
        <v>5226</v>
      </c>
      <c r="S117" s="38"/>
      <c r="T117" s="38" t="s">
        <v>5107</v>
      </c>
      <c r="U117" s="345"/>
      <c r="V117" s="39"/>
      <c r="W117" s="39"/>
      <c r="X117" s="39"/>
      <c r="Y117" s="377"/>
    </row>
    <row r="118" spans="2:25" ht="33">
      <c r="B118" s="31" t="s">
        <v>221</v>
      </c>
      <c r="C118" s="55" t="s">
        <v>1069</v>
      </c>
      <c r="D118" s="295" t="s">
        <v>407</v>
      </c>
      <c r="E118" s="37" t="s">
        <v>224</v>
      </c>
      <c r="F118" s="31" t="s">
        <v>221</v>
      </c>
      <c r="G118" s="45">
        <v>55</v>
      </c>
      <c r="H118" s="295"/>
      <c r="I118" s="39"/>
      <c r="J118" s="38" t="s">
        <v>4931</v>
      </c>
      <c r="K118" s="38" t="s">
        <v>4932</v>
      </c>
      <c r="L118" s="295" t="s">
        <v>5052</v>
      </c>
      <c r="M118" s="45">
        <v>47</v>
      </c>
      <c r="N118" s="350" t="s">
        <v>4704</v>
      </c>
      <c r="O118" s="295" t="s">
        <v>4698</v>
      </c>
      <c r="P118" s="38"/>
      <c r="Q118" s="38" t="s">
        <v>5255</v>
      </c>
      <c r="R118" s="38" t="s">
        <v>5227</v>
      </c>
      <c r="S118" s="38"/>
      <c r="T118" s="38" t="s">
        <v>5107</v>
      </c>
      <c r="U118" s="345"/>
      <c r="V118" s="39"/>
      <c r="W118" s="39"/>
      <c r="X118" s="39"/>
      <c r="Y118" s="377"/>
    </row>
    <row r="119" spans="2:25" ht="33">
      <c r="B119" s="31" t="s">
        <v>221</v>
      </c>
      <c r="C119" s="55" t="s">
        <v>1070</v>
      </c>
      <c r="D119" s="295" t="s">
        <v>408</v>
      </c>
      <c r="E119" s="37" t="s">
        <v>225</v>
      </c>
      <c r="F119" s="31" t="s">
        <v>221</v>
      </c>
      <c r="G119" s="45">
        <v>55</v>
      </c>
      <c r="H119" s="295"/>
      <c r="I119" s="39"/>
      <c r="J119" s="38" t="s">
        <v>4933</v>
      </c>
      <c r="K119" s="38" t="s">
        <v>4934</v>
      </c>
      <c r="L119" s="297" t="s">
        <v>5053</v>
      </c>
      <c r="M119" s="45">
        <v>131</v>
      </c>
      <c r="N119" s="350" t="s">
        <v>4703</v>
      </c>
      <c r="O119" s="295" t="s">
        <v>4702</v>
      </c>
      <c r="P119" s="38"/>
      <c r="Q119" s="38" t="s">
        <v>5255</v>
      </c>
      <c r="R119" s="38" t="s">
        <v>5228</v>
      </c>
      <c r="S119" s="38"/>
      <c r="T119" s="38" t="s">
        <v>5107</v>
      </c>
      <c r="U119" s="345"/>
      <c r="V119" s="39"/>
      <c r="W119" s="39"/>
      <c r="X119" s="39"/>
      <c r="Y119" s="377"/>
    </row>
    <row r="120" spans="2:25" ht="49.5">
      <c r="B120" s="31" t="s">
        <v>221</v>
      </c>
      <c r="C120" s="55" t="s">
        <v>1071</v>
      </c>
      <c r="D120" s="295" t="s">
        <v>409</v>
      </c>
      <c r="E120" s="37" t="s">
        <v>226</v>
      </c>
      <c r="F120" s="31" t="s">
        <v>221</v>
      </c>
      <c r="G120" s="45">
        <v>56</v>
      </c>
      <c r="H120" s="295"/>
      <c r="I120" s="39"/>
      <c r="J120" s="38" t="s">
        <v>4935</v>
      </c>
      <c r="K120" s="38" t="s">
        <v>4936</v>
      </c>
      <c r="L120" s="297" t="s">
        <v>5054</v>
      </c>
      <c r="M120" s="45">
        <v>131</v>
      </c>
      <c r="N120" s="350" t="s">
        <v>4701</v>
      </c>
      <c r="O120" s="295" t="s">
        <v>4700</v>
      </c>
      <c r="P120" s="38"/>
      <c r="Q120" s="38" t="s">
        <v>5255</v>
      </c>
      <c r="R120" s="38" t="s">
        <v>5186</v>
      </c>
      <c r="S120" s="38"/>
      <c r="T120" s="38" t="s">
        <v>5107</v>
      </c>
      <c r="U120" s="345"/>
      <c r="V120" s="39"/>
      <c r="W120" s="39"/>
      <c r="X120" s="39"/>
      <c r="Y120" s="377"/>
    </row>
    <row r="121" spans="2:25" ht="33">
      <c r="B121" s="31" t="s">
        <v>221</v>
      </c>
      <c r="C121" s="55" t="s">
        <v>1072</v>
      </c>
      <c r="D121" s="295" t="s">
        <v>350</v>
      </c>
      <c r="E121" s="37" t="s">
        <v>227</v>
      </c>
      <c r="F121" s="31" t="s">
        <v>221</v>
      </c>
      <c r="G121" s="45">
        <v>56</v>
      </c>
      <c r="H121" s="295"/>
      <c r="I121" s="39"/>
      <c r="J121" s="38" t="s">
        <v>4933</v>
      </c>
      <c r="K121" s="38" t="s">
        <v>4934</v>
      </c>
      <c r="L121" s="297" t="s">
        <v>5053</v>
      </c>
      <c r="M121" s="45">
        <v>131</v>
      </c>
      <c r="N121" s="350" t="s">
        <v>4699</v>
      </c>
      <c r="O121" s="295" t="s">
        <v>4698</v>
      </c>
      <c r="P121" s="38"/>
      <c r="Q121" s="38" t="s">
        <v>5255</v>
      </c>
      <c r="R121" s="38" t="s">
        <v>5227</v>
      </c>
      <c r="S121" s="38"/>
      <c r="T121" s="38" t="s">
        <v>5107</v>
      </c>
      <c r="U121" s="345"/>
      <c r="V121" s="39"/>
      <c r="W121" s="39"/>
      <c r="X121" s="39"/>
      <c r="Y121" s="377"/>
    </row>
    <row r="122" spans="2:25" ht="49.5">
      <c r="B122" s="31" t="s">
        <v>221</v>
      </c>
      <c r="C122" s="55" t="s">
        <v>1073</v>
      </c>
      <c r="D122" s="295" t="s">
        <v>349</v>
      </c>
      <c r="E122" s="37" t="s">
        <v>228</v>
      </c>
      <c r="F122" s="31" t="s">
        <v>221</v>
      </c>
      <c r="G122" s="45">
        <v>56</v>
      </c>
      <c r="H122" s="295"/>
      <c r="I122" s="39"/>
      <c r="J122" s="38" t="s">
        <v>4933</v>
      </c>
      <c r="K122" s="38" t="s">
        <v>4934</v>
      </c>
      <c r="L122" s="297" t="s">
        <v>5055</v>
      </c>
      <c r="M122" s="45">
        <v>131</v>
      </c>
      <c r="N122" s="350" t="s">
        <v>4697</v>
      </c>
      <c r="O122" s="295" t="s">
        <v>4695</v>
      </c>
      <c r="P122" s="38"/>
      <c r="Q122" s="38" t="s">
        <v>5255</v>
      </c>
      <c r="R122" s="38" t="s">
        <v>5227</v>
      </c>
      <c r="S122" s="38"/>
      <c r="T122" s="38" t="s">
        <v>5107</v>
      </c>
      <c r="U122" s="345"/>
      <c r="V122" s="39"/>
      <c r="W122" s="39"/>
      <c r="X122" s="39"/>
      <c r="Y122" s="377"/>
    </row>
    <row r="123" spans="2:25" ht="264">
      <c r="B123" s="31" t="s">
        <v>221</v>
      </c>
      <c r="C123" s="55" t="s">
        <v>1074</v>
      </c>
      <c r="D123" s="295" t="s">
        <v>348</v>
      </c>
      <c r="E123" s="37" t="s">
        <v>229</v>
      </c>
      <c r="F123" s="31" t="s">
        <v>221</v>
      </c>
      <c r="G123" s="45">
        <v>56</v>
      </c>
      <c r="H123" s="295"/>
      <c r="I123" s="39"/>
      <c r="J123" s="38" t="s">
        <v>4933</v>
      </c>
      <c r="K123" s="38" t="s">
        <v>4937</v>
      </c>
      <c r="L123" s="297" t="s">
        <v>5056</v>
      </c>
      <c r="M123" s="45">
        <v>131</v>
      </c>
      <c r="N123" s="350" t="s">
        <v>4696</v>
      </c>
      <c r="O123" s="295" t="s">
        <v>4695</v>
      </c>
      <c r="P123" s="38"/>
      <c r="Q123" s="38" t="s">
        <v>5255</v>
      </c>
      <c r="R123" s="38" t="s">
        <v>5227</v>
      </c>
      <c r="S123" s="38"/>
      <c r="T123" s="38" t="s">
        <v>5107</v>
      </c>
      <c r="U123" s="345"/>
      <c r="V123" s="39"/>
      <c r="W123" s="39"/>
      <c r="X123" s="39"/>
      <c r="Y123" s="377"/>
    </row>
    <row r="124" spans="2:25" ht="33">
      <c r="B124" s="31" t="s">
        <v>230</v>
      </c>
      <c r="C124" s="55" t="s">
        <v>1075</v>
      </c>
      <c r="D124" s="295" t="s">
        <v>347</v>
      </c>
      <c r="E124" s="37" t="s">
        <v>231</v>
      </c>
      <c r="F124" s="31" t="s">
        <v>230</v>
      </c>
      <c r="G124" s="45">
        <v>56</v>
      </c>
      <c r="H124" s="295"/>
      <c r="I124" s="39"/>
      <c r="J124" s="38" t="s">
        <v>4933</v>
      </c>
      <c r="K124" s="38" t="s">
        <v>4934</v>
      </c>
      <c r="L124" s="361" t="s">
        <v>5054</v>
      </c>
      <c r="M124" s="45">
        <v>131</v>
      </c>
      <c r="N124" s="350" t="s">
        <v>4694</v>
      </c>
      <c r="O124" s="295" t="s">
        <v>525</v>
      </c>
      <c r="P124" s="38"/>
      <c r="Q124" s="38" t="s">
        <v>5255</v>
      </c>
      <c r="R124" s="38" t="s">
        <v>5219</v>
      </c>
      <c r="S124" s="38"/>
      <c r="T124" s="38" t="s">
        <v>5107</v>
      </c>
      <c r="U124" s="345"/>
      <c r="V124" s="39"/>
      <c r="W124" s="39"/>
      <c r="X124" s="39"/>
      <c r="Y124" s="377"/>
    </row>
    <row r="125" spans="2:25" ht="165">
      <c r="B125" s="31" t="s">
        <v>230</v>
      </c>
      <c r="C125" s="55" t="s">
        <v>1076</v>
      </c>
      <c r="D125" s="295" t="s">
        <v>346</v>
      </c>
      <c r="E125" s="37" t="s">
        <v>4693</v>
      </c>
      <c r="F125" s="31" t="s">
        <v>230</v>
      </c>
      <c r="G125" s="45">
        <v>56</v>
      </c>
      <c r="H125" s="295"/>
      <c r="I125" s="39"/>
      <c r="J125" s="38" t="s">
        <v>4938</v>
      </c>
      <c r="K125" s="38" t="s">
        <v>4934</v>
      </c>
      <c r="L125" s="297" t="s">
        <v>5054</v>
      </c>
      <c r="M125" s="45">
        <v>131</v>
      </c>
      <c r="N125" s="350" t="s">
        <v>4692</v>
      </c>
      <c r="O125" s="295" t="s">
        <v>4690</v>
      </c>
      <c r="P125" s="38"/>
      <c r="Q125" s="38" t="s">
        <v>5255</v>
      </c>
      <c r="R125" s="38" t="s">
        <v>5229</v>
      </c>
      <c r="S125" s="38"/>
      <c r="T125" s="38" t="s">
        <v>5107</v>
      </c>
      <c r="U125" s="345"/>
      <c r="V125" s="39"/>
      <c r="W125" s="39"/>
      <c r="X125" s="39"/>
      <c r="Y125" s="377"/>
    </row>
    <row r="126" spans="2:25" ht="165">
      <c r="B126" s="31" t="s">
        <v>230</v>
      </c>
      <c r="C126" s="55" t="s">
        <v>1077</v>
      </c>
      <c r="D126" s="295" t="s">
        <v>345</v>
      </c>
      <c r="E126" s="37" t="s">
        <v>232</v>
      </c>
      <c r="F126" s="31" t="s">
        <v>230</v>
      </c>
      <c r="G126" s="45">
        <v>57</v>
      </c>
      <c r="H126" s="295"/>
      <c r="I126" s="39"/>
      <c r="J126" s="38" t="s">
        <v>4933</v>
      </c>
      <c r="K126" s="38" t="s">
        <v>4934</v>
      </c>
      <c r="L126" s="297" t="s">
        <v>5057</v>
      </c>
      <c r="M126" s="45" t="s">
        <v>5058</v>
      </c>
      <c r="N126" s="350" t="s">
        <v>4691</v>
      </c>
      <c r="O126" s="295" t="s">
        <v>4690</v>
      </c>
      <c r="P126" s="38"/>
      <c r="Q126" s="38" t="s">
        <v>5255</v>
      </c>
      <c r="R126" s="38" t="s">
        <v>5230</v>
      </c>
      <c r="S126" s="38"/>
      <c r="T126" s="38" t="s">
        <v>5107</v>
      </c>
      <c r="U126" s="345"/>
      <c r="V126" s="39"/>
      <c r="W126" s="39"/>
      <c r="X126" s="39"/>
      <c r="Y126" s="377"/>
    </row>
    <row r="127" spans="2:25" ht="165">
      <c r="B127" s="31" t="s">
        <v>230</v>
      </c>
      <c r="C127" s="55" t="s">
        <v>1078</v>
      </c>
      <c r="D127" s="295" t="s">
        <v>344</v>
      </c>
      <c r="E127" s="37" t="s">
        <v>4689</v>
      </c>
      <c r="F127" s="31" t="s">
        <v>230</v>
      </c>
      <c r="G127" s="45">
        <v>57</v>
      </c>
      <c r="H127" s="295"/>
      <c r="I127" s="39"/>
      <c r="J127" s="38" t="s">
        <v>4933</v>
      </c>
      <c r="K127" s="38" t="s">
        <v>4939</v>
      </c>
      <c r="L127" s="297" t="s">
        <v>5059</v>
      </c>
      <c r="M127" s="45" t="s">
        <v>5060</v>
      </c>
      <c r="N127" s="350" t="s">
        <v>4688</v>
      </c>
      <c r="O127" s="295" t="s">
        <v>4687</v>
      </c>
      <c r="P127" s="38"/>
      <c r="Q127" s="38" t="s">
        <v>5255</v>
      </c>
      <c r="R127" s="38" t="s">
        <v>5230</v>
      </c>
      <c r="S127" s="38"/>
      <c r="T127" s="38" t="s">
        <v>5107</v>
      </c>
      <c r="U127" s="345"/>
      <c r="V127" s="39"/>
      <c r="W127" s="39"/>
      <c r="X127" s="39"/>
      <c r="Y127" s="377"/>
    </row>
    <row r="128" spans="2:25" ht="165">
      <c r="B128" s="31" t="s">
        <v>230</v>
      </c>
      <c r="C128" s="55" t="s">
        <v>1079</v>
      </c>
      <c r="D128" s="295" t="s">
        <v>343</v>
      </c>
      <c r="E128" s="37" t="s">
        <v>233</v>
      </c>
      <c r="F128" s="31" t="s">
        <v>230</v>
      </c>
      <c r="G128" s="45">
        <v>57</v>
      </c>
      <c r="H128" s="295"/>
      <c r="I128" s="39"/>
      <c r="J128" s="38" t="s">
        <v>4933</v>
      </c>
      <c r="K128" s="38" t="s">
        <v>4939</v>
      </c>
      <c r="L128" s="297" t="s">
        <v>5040</v>
      </c>
      <c r="M128" s="45">
        <v>192</v>
      </c>
      <c r="N128" s="350" t="s">
        <v>4686</v>
      </c>
      <c r="O128" s="295" t="s">
        <v>4685</v>
      </c>
      <c r="P128" s="38"/>
      <c r="Q128" s="38" t="s">
        <v>5255</v>
      </c>
      <c r="R128" s="38" t="s">
        <v>5231</v>
      </c>
      <c r="S128" s="38"/>
      <c r="T128" s="38" t="s">
        <v>5107</v>
      </c>
      <c r="U128" s="345"/>
      <c r="V128" s="39"/>
      <c r="W128" s="39"/>
      <c r="X128" s="39"/>
      <c r="Y128" s="377"/>
    </row>
    <row r="129" spans="2:25" ht="33">
      <c r="B129" s="31" t="s">
        <v>230</v>
      </c>
      <c r="C129" s="55" t="s">
        <v>1080</v>
      </c>
      <c r="D129" s="295" t="s">
        <v>342</v>
      </c>
      <c r="E129" s="37" t="s">
        <v>234</v>
      </c>
      <c r="F129" s="31" t="s">
        <v>230</v>
      </c>
      <c r="G129" s="45">
        <v>57</v>
      </c>
      <c r="H129" s="295"/>
      <c r="I129" s="39"/>
      <c r="J129" s="38" t="s">
        <v>4933</v>
      </c>
      <c r="K129" s="38" t="s">
        <v>4934</v>
      </c>
      <c r="L129" s="295" t="s">
        <v>5061</v>
      </c>
      <c r="M129" s="45">
        <v>123</v>
      </c>
      <c r="N129" s="350" t="s">
        <v>4684</v>
      </c>
      <c r="O129" s="295" t="s">
        <v>4683</v>
      </c>
      <c r="P129" s="38"/>
      <c r="Q129" s="38" t="s">
        <v>5255</v>
      </c>
      <c r="R129" s="38" t="s">
        <v>5221</v>
      </c>
      <c r="S129" s="38"/>
      <c r="T129" s="38" t="s">
        <v>5107</v>
      </c>
      <c r="U129" s="345"/>
      <c r="V129" s="39"/>
      <c r="W129" s="39"/>
      <c r="X129" s="39"/>
      <c r="Y129" s="377"/>
    </row>
    <row r="130" spans="2:25" ht="165">
      <c r="B130" s="31" t="s">
        <v>235</v>
      </c>
      <c r="C130" s="55" t="s">
        <v>1081</v>
      </c>
      <c r="D130" s="295" t="s">
        <v>341</v>
      </c>
      <c r="E130" s="37" t="s">
        <v>236</v>
      </c>
      <c r="F130" s="31" t="s">
        <v>235</v>
      </c>
      <c r="G130" s="45">
        <v>57</v>
      </c>
      <c r="H130" s="295"/>
      <c r="I130" s="39"/>
      <c r="J130" s="38" t="s">
        <v>4935</v>
      </c>
      <c r="K130" s="38" t="s">
        <v>4939</v>
      </c>
      <c r="L130" s="297" t="s">
        <v>5062</v>
      </c>
      <c r="M130" s="45">
        <v>34</v>
      </c>
      <c r="N130" s="350" t="s">
        <v>4682</v>
      </c>
      <c r="O130" s="295" t="s">
        <v>4384</v>
      </c>
      <c r="P130" s="38"/>
      <c r="Q130" s="38" t="s">
        <v>5255</v>
      </c>
      <c r="R130" s="38" t="s">
        <v>5229</v>
      </c>
      <c r="S130" s="38"/>
      <c r="T130" s="38" t="s">
        <v>5107</v>
      </c>
      <c r="U130" s="345"/>
      <c r="V130" s="39"/>
      <c r="W130" s="39"/>
      <c r="X130" s="39"/>
      <c r="Y130" s="377"/>
    </row>
    <row r="131" spans="2:25" ht="165">
      <c r="B131" s="31" t="s">
        <v>235</v>
      </c>
      <c r="C131" s="55" t="s">
        <v>1082</v>
      </c>
      <c r="D131" s="295" t="s">
        <v>340</v>
      </c>
      <c r="E131" s="37" t="s">
        <v>237</v>
      </c>
      <c r="F131" s="31" t="s">
        <v>235</v>
      </c>
      <c r="G131" s="45">
        <v>57</v>
      </c>
      <c r="H131" s="295"/>
      <c r="I131" s="39"/>
      <c r="J131" s="38" t="s">
        <v>4933</v>
      </c>
      <c r="K131" s="38" t="s">
        <v>4937</v>
      </c>
      <c r="L131" s="297" t="s">
        <v>5053</v>
      </c>
      <c r="M131" s="45">
        <v>131</v>
      </c>
      <c r="N131" s="350" t="s">
        <v>4681</v>
      </c>
      <c r="O131" s="295" t="s">
        <v>4384</v>
      </c>
      <c r="P131" s="38"/>
      <c r="Q131" s="38" t="s">
        <v>5255</v>
      </c>
      <c r="R131" s="38" t="s">
        <v>5229</v>
      </c>
      <c r="S131" s="38"/>
      <c r="T131" s="38" t="s">
        <v>5107</v>
      </c>
      <c r="U131" s="345"/>
      <c r="V131" s="39"/>
      <c r="W131" s="39"/>
      <c r="X131" s="39"/>
      <c r="Y131" s="377"/>
    </row>
    <row r="132" spans="2:25" ht="82.5">
      <c r="B132" s="31" t="s">
        <v>238</v>
      </c>
      <c r="C132" s="55" t="s">
        <v>1083</v>
      </c>
      <c r="D132" s="295" t="s">
        <v>339</v>
      </c>
      <c r="E132" s="37" t="s">
        <v>239</v>
      </c>
      <c r="F132" s="31" t="s">
        <v>238</v>
      </c>
      <c r="G132" s="45">
        <v>58</v>
      </c>
      <c r="H132" s="295"/>
      <c r="I132" s="39"/>
      <c r="J132" s="38" t="s">
        <v>4940</v>
      </c>
      <c r="K132" s="38" t="s">
        <v>4941</v>
      </c>
      <c r="L132" s="297" t="s">
        <v>5053</v>
      </c>
      <c r="M132" s="45">
        <v>131</v>
      </c>
      <c r="N132" s="350" t="s">
        <v>4680</v>
      </c>
      <c r="O132" s="295" t="s">
        <v>4676</v>
      </c>
      <c r="P132" s="38"/>
      <c r="Q132" s="38" t="s">
        <v>5255</v>
      </c>
      <c r="R132" s="38" t="s">
        <v>5232</v>
      </c>
      <c r="S132" s="38"/>
      <c r="T132" s="38" t="s">
        <v>5108</v>
      </c>
      <c r="U132" s="345"/>
      <c r="V132" s="39"/>
      <c r="W132" s="39"/>
      <c r="X132" s="39"/>
      <c r="Y132" s="377"/>
    </row>
    <row r="133" spans="2:25" ht="82.5">
      <c r="B133" s="31" t="s">
        <v>238</v>
      </c>
      <c r="C133" s="55" t="s">
        <v>1084</v>
      </c>
      <c r="D133" s="295" t="s">
        <v>338</v>
      </c>
      <c r="E133" s="37" t="s">
        <v>240</v>
      </c>
      <c r="F133" s="31" t="s">
        <v>238</v>
      </c>
      <c r="G133" s="45">
        <v>58</v>
      </c>
      <c r="H133" s="295"/>
      <c r="I133" s="39"/>
      <c r="J133" s="38" t="s">
        <v>4942</v>
      </c>
      <c r="K133" s="38" t="s">
        <v>4941</v>
      </c>
      <c r="L133" s="297" t="s">
        <v>5063</v>
      </c>
      <c r="M133" s="45">
        <v>142</v>
      </c>
      <c r="N133" s="350" t="s">
        <v>4679</v>
      </c>
      <c r="O133" s="295" t="s">
        <v>4678</v>
      </c>
      <c r="P133" s="38"/>
      <c r="Q133" s="38" t="s">
        <v>5255</v>
      </c>
      <c r="R133" s="38" t="s">
        <v>5221</v>
      </c>
      <c r="S133" s="38"/>
      <c r="T133" s="38" t="s">
        <v>5108</v>
      </c>
      <c r="U133" s="345"/>
      <c r="V133" s="39"/>
      <c r="W133" s="39"/>
      <c r="X133" s="39"/>
      <c r="Y133" s="377"/>
    </row>
    <row r="134" spans="2:25" ht="82.5">
      <c r="B134" s="38" t="s">
        <v>238</v>
      </c>
      <c r="C134" s="55" t="s">
        <v>1085</v>
      </c>
      <c r="D134" s="295" t="s">
        <v>337</v>
      </c>
      <c r="E134" s="37" t="s">
        <v>241</v>
      </c>
      <c r="F134" s="38" t="s">
        <v>238</v>
      </c>
      <c r="G134" s="45">
        <v>58</v>
      </c>
      <c r="H134" s="295"/>
      <c r="I134" s="39"/>
      <c r="J134" s="38" t="s">
        <v>4942</v>
      </c>
      <c r="K134" s="38" t="s">
        <v>4941</v>
      </c>
      <c r="L134" s="297" t="s">
        <v>5064</v>
      </c>
      <c r="M134" s="45">
        <v>142</v>
      </c>
      <c r="N134" s="350" t="s">
        <v>4677</v>
      </c>
      <c r="O134" s="295" t="s">
        <v>4676</v>
      </c>
      <c r="P134" s="38"/>
      <c r="Q134" s="38" t="s">
        <v>5255</v>
      </c>
      <c r="R134" s="38" t="s">
        <v>5232</v>
      </c>
      <c r="S134" s="38"/>
      <c r="T134" s="38" t="s">
        <v>5108</v>
      </c>
      <c r="U134" s="345"/>
      <c r="V134" s="39"/>
      <c r="W134" s="39"/>
      <c r="X134" s="39"/>
      <c r="Y134" s="377"/>
    </row>
    <row r="135" spans="2:25" ht="82.5">
      <c r="B135" s="38" t="s">
        <v>24</v>
      </c>
      <c r="C135" s="55" t="s">
        <v>1086</v>
      </c>
      <c r="D135" s="295" t="s">
        <v>336</v>
      </c>
      <c r="E135" s="37" t="s">
        <v>242</v>
      </c>
      <c r="F135" s="38" t="s">
        <v>24</v>
      </c>
      <c r="G135" s="45">
        <v>58</v>
      </c>
      <c r="H135" s="295"/>
      <c r="I135" s="39"/>
      <c r="J135" s="38" t="s">
        <v>4943</v>
      </c>
      <c r="K135" s="38" t="s">
        <v>4944</v>
      </c>
      <c r="L135" s="297" t="s">
        <v>451</v>
      </c>
      <c r="M135" s="45" t="s">
        <v>5065</v>
      </c>
      <c r="N135" s="350" t="s">
        <v>4675</v>
      </c>
      <c r="O135" s="295" t="s">
        <v>4644</v>
      </c>
      <c r="P135" s="38"/>
      <c r="Q135" s="38" t="s">
        <v>5255</v>
      </c>
      <c r="R135" s="38" t="s">
        <v>5220</v>
      </c>
      <c r="S135" s="38"/>
      <c r="T135" s="38" t="s">
        <v>5108</v>
      </c>
      <c r="U135" s="345"/>
      <c r="V135" s="39"/>
      <c r="W135" s="39"/>
      <c r="X135" s="39"/>
      <c r="Y135" s="377"/>
    </row>
    <row r="136" spans="2:25" ht="82.5">
      <c r="B136" s="38" t="s">
        <v>24</v>
      </c>
      <c r="C136" s="55" t="s">
        <v>1087</v>
      </c>
      <c r="D136" s="295" t="s">
        <v>335</v>
      </c>
      <c r="E136" s="37" t="s">
        <v>243</v>
      </c>
      <c r="F136" s="38" t="s">
        <v>24</v>
      </c>
      <c r="G136" s="45">
        <v>58</v>
      </c>
      <c r="H136" s="295"/>
      <c r="I136" s="39"/>
      <c r="J136" s="38" t="s">
        <v>4945</v>
      </c>
      <c r="K136" s="38">
        <v>88</v>
      </c>
      <c r="L136" s="297" t="s">
        <v>452</v>
      </c>
      <c r="M136" s="45">
        <v>162</v>
      </c>
      <c r="N136" s="350" t="s">
        <v>4674</v>
      </c>
      <c r="O136" s="295" t="s">
        <v>4673</v>
      </c>
      <c r="P136" s="38"/>
      <c r="Q136" s="38" t="s">
        <v>5255</v>
      </c>
      <c r="R136" s="38" t="s">
        <v>5233</v>
      </c>
      <c r="S136" s="38"/>
      <c r="T136" s="38" t="s">
        <v>5108</v>
      </c>
      <c r="U136" s="345"/>
      <c r="V136" s="39"/>
      <c r="W136" s="39"/>
      <c r="X136" s="39"/>
      <c r="Y136" s="377"/>
    </row>
    <row r="137" spans="2:25" ht="82.5">
      <c r="B137" s="38" t="s">
        <v>24</v>
      </c>
      <c r="C137" s="55" t="s">
        <v>1088</v>
      </c>
      <c r="D137" s="295" t="s">
        <v>334</v>
      </c>
      <c r="E137" s="37" t="s">
        <v>244</v>
      </c>
      <c r="F137" s="38" t="s">
        <v>24</v>
      </c>
      <c r="G137" s="45">
        <v>58</v>
      </c>
      <c r="H137" s="295"/>
      <c r="I137" s="39"/>
      <c r="J137" s="38" t="s">
        <v>4946</v>
      </c>
      <c r="K137" s="38" t="s">
        <v>4944</v>
      </c>
      <c r="L137" s="297" t="s">
        <v>5066</v>
      </c>
      <c r="M137" s="45">
        <v>147</v>
      </c>
      <c r="N137" s="350" t="s">
        <v>4672</v>
      </c>
      <c r="O137" s="295" t="s">
        <v>4644</v>
      </c>
      <c r="P137" s="38"/>
      <c r="Q137" s="38" t="s">
        <v>5255</v>
      </c>
      <c r="R137" s="38" t="s">
        <v>5234</v>
      </c>
      <c r="S137" s="38"/>
      <c r="T137" s="38" t="s">
        <v>5108</v>
      </c>
      <c r="U137" s="345"/>
      <c r="V137" s="39"/>
      <c r="W137" s="39"/>
      <c r="X137" s="39"/>
      <c r="Y137" s="377"/>
    </row>
    <row r="138" spans="2:25" ht="82.5">
      <c r="B138" s="38" t="s">
        <v>24</v>
      </c>
      <c r="C138" s="55" t="s">
        <v>1089</v>
      </c>
      <c r="D138" s="295" t="s">
        <v>333</v>
      </c>
      <c r="E138" s="37" t="s">
        <v>245</v>
      </c>
      <c r="F138" s="38" t="s">
        <v>24</v>
      </c>
      <c r="G138" s="45">
        <v>58</v>
      </c>
      <c r="H138" s="295"/>
      <c r="I138" s="39"/>
      <c r="J138" s="38" t="s">
        <v>4943</v>
      </c>
      <c r="K138" s="38" t="s">
        <v>4947</v>
      </c>
      <c r="L138" s="297" t="s">
        <v>5067</v>
      </c>
      <c r="M138" s="45">
        <v>164</v>
      </c>
      <c r="N138" s="350" t="s">
        <v>4671</v>
      </c>
      <c r="O138" s="295" t="s">
        <v>4670</v>
      </c>
      <c r="P138" s="38"/>
      <c r="Q138" s="38" t="s">
        <v>5255</v>
      </c>
      <c r="R138" s="38" t="s">
        <v>5232</v>
      </c>
      <c r="S138" s="38"/>
      <c r="T138" s="38" t="s">
        <v>5108</v>
      </c>
      <c r="U138" s="345"/>
      <c r="V138" s="39"/>
      <c r="W138" s="39"/>
      <c r="X138" s="39"/>
      <c r="Y138" s="377"/>
    </row>
    <row r="139" spans="2:25" ht="97.5" customHeight="1">
      <c r="B139" s="38" t="s">
        <v>24</v>
      </c>
      <c r="C139" s="55" t="s">
        <v>1090</v>
      </c>
      <c r="D139" s="295" t="s">
        <v>332</v>
      </c>
      <c r="E139" s="37" t="s">
        <v>248</v>
      </c>
      <c r="F139" s="38" t="s">
        <v>24</v>
      </c>
      <c r="G139" s="45">
        <v>58</v>
      </c>
      <c r="H139" s="295"/>
      <c r="I139" s="39"/>
      <c r="J139" s="38" t="s">
        <v>4948</v>
      </c>
      <c r="K139" s="38" t="s">
        <v>4949</v>
      </c>
      <c r="L139" s="297" t="s">
        <v>5068</v>
      </c>
      <c r="M139" s="45" t="s">
        <v>5069</v>
      </c>
      <c r="N139" s="350" t="s">
        <v>4669</v>
      </c>
      <c r="O139" s="295" t="s">
        <v>4668</v>
      </c>
      <c r="P139" s="38"/>
      <c r="Q139" s="38" t="s">
        <v>5255</v>
      </c>
      <c r="R139" s="38" t="s">
        <v>5235</v>
      </c>
      <c r="S139" s="38"/>
      <c r="T139" s="38" t="s">
        <v>5108</v>
      </c>
      <c r="U139" s="345"/>
      <c r="V139" s="39"/>
      <c r="W139" s="39"/>
      <c r="X139" s="39"/>
      <c r="Y139" s="377"/>
    </row>
    <row r="140" spans="2:25" ht="82.5">
      <c r="B140" s="38" t="s">
        <v>24</v>
      </c>
      <c r="C140" s="55" t="s">
        <v>1091</v>
      </c>
      <c r="D140" s="295" t="s">
        <v>331</v>
      </c>
      <c r="E140" s="37" t="s">
        <v>249</v>
      </c>
      <c r="F140" s="38" t="s">
        <v>24</v>
      </c>
      <c r="G140" s="45">
        <v>59</v>
      </c>
      <c r="H140" s="295"/>
      <c r="I140" s="39"/>
      <c r="J140" s="38" t="s">
        <v>4950</v>
      </c>
      <c r="K140" s="38">
        <v>12</v>
      </c>
      <c r="L140" s="297" t="s">
        <v>5070</v>
      </c>
      <c r="M140" s="45">
        <v>153</v>
      </c>
      <c r="N140" s="350" t="s">
        <v>4667</v>
      </c>
      <c r="O140" s="295" t="s">
        <v>4666</v>
      </c>
      <c r="P140" s="38"/>
      <c r="Q140" s="38" t="s">
        <v>5255</v>
      </c>
      <c r="R140" s="38" t="s">
        <v>5236</v>
      </c>
      <c r="S140" s="38"/>
      <c r="T140" s="38" t="s">
        <v>5108</v>
      </c>
      <c r="U140" s="345"/>
      <c r="V140" s="39"/>
      <c r="W140" s="39"/>
      <c r="X140" s="39"/>
      <c r="Y140" s="377"/>
    </row>
    <row r="141" spans="2:25" ht="115.5">
      <c r="B141" s="38" t="s">
        <v>246</v>
      </c>
      <c r="C141" s="55" t="s">
        <v>1092</v>
      </c>
      <c r="D141" s="295" t="s">
        <v>330</v>
      </c>
      <c r="E141" s="37" t="s">
        <v>247</v>
      </c>
      <c r="F141" s="38" t="s">
        <v>246</v>
      </c>
      <c r="G141" s="45">
        <v>59</v>
      </c>
      <c r="H141" s="295"/>
      <c r="I141" s="39"/>
      <c r="J141" s="38" t="s">
        <v>4948</v>
      </c>
      <c r="K141" s="38" t="s">
        <v>4949</v>
      </c>
      <c r="L141" s="297" t="s">
        <v>5071</v>
      </c>
      <c r="M141" s="45">
        <v>162</v>
      </c>
      <c r="N141" s="350" t="s">
        <v>4665</v>
      </c>
      <c r="O141" s="295" t="s">
        <v>4664</v>
      </c>
      <c r="P141" s="38"/>
      <c r="Q141" s="38" t="s">
        <v>5255</v>
      </c>
      <c r="R141" s="38" t="s">
        <v>5237</v>
      </c>
      <c r="S141" s="38"/>
      <c r="T141" s="38" t="s">
        <v>5108</v>
      </c>
      <c r="U141" s="345"/>
      <c r="V141" s="39"/>
      <c r="W141" s="39"/>
      <c r="X141" s="39"/>
      <c r="Y141" s="377"/>
    </row>
    <row r="142" spans="2:25" ht="82.5">
      <c r="B142" s="38" t="s">
        <v>246</v>
      </c>
      <c r="C142" s="55" t="s">
        <v>1093</v>
      </c>
      <c r="D142" s="295" t="s">
        <v>329</v>
      </c>
      <c r="E142" s="37" t="s">
        <v>250</v>
      </c>
      <c r="F142" s="38" t="s">
        <v>246</v>
      </c>
      <c r="G142" s="45">
        <v>59</v>
      </c>
      <c r="H142" s="295"/>
      <c r="I142" s="39"/>
      <c r="J142" s="38" t="s">
        <v>4951</v>
      </c>
      <c r="K142" s="38">
        <v>88</v>
      </c>
      <c r="L142" s="297" t="s">
        <v>5072</v>
      </c>
      <c r="M142" s="45">
        <v>162</v>
      </c>
      <c r="N142" s="350" t="s">
        <v>4663</v>
      </c>
      <c r="O142" s="295" t="s">
        <v>4662</v>
      </c>
      <c r="P142" s="38"/>
      <c r="Q142" s="38" t="s">
        <v>5255</v>
      </c>
      <c r="R142" s="38" t="s">
        <v>5223</v>
      </c>
      <c r="S142" s="38"/>
      <c r="T142" s="38" t="s">
        <v>5108</v>
      </c>
      <c r="U142" s="345"/>
      <c r="V142" s="39"/>
      <c r="W142" s="39"/>
      <c r="X142" s="39"/>
      <c r="Y142" s="377"/>
    </row>
    <row r="143" spans="2:25" ht="81.75" customHeight="1">
      <c r="B143" s="38" t="s">
        <v>246</v>
      </c>
      <c r="C143" s="55" t="s">
        <v>1094</v>
      </c>
      <c r="D143" s="295" t="s">
        <v>328</v>
      </c>
      <c r="E143" s="37" t="s">
        <v>251</v>
      </c>
      <c r="F143" s="38" t="s">
        <v>246</v>
      </c>
      <c r="G143" s="45">
        <v>59</v>
      </c>
      <c r="H143" s="295"/>
      <c r="I143" s="39"/>
      <c r="J143" s="38" t="s">
        <v>4952</v>
      </c>
      <c r="K143" s="38">
        <v>87</v>
      </c>
      <c r="L143" s="297" t="s">
        <v>452</v>
      </c>
      <c r="M143" s="45">
        <v>162</v>
      </c>
      <c r="N143" s="350" t="s">
        <v>4661</v>
      </c>
      <c r="O143" s="295" t="s">
        <v>4660</v>
      </c>
      <c r="P143" s="38"/>
      <c r="Q143" s="38" t="s">
        <v>5255</v>
      </c>
      <c r="R143" s="38" t="s">
        <v>5235</v>
      </c>
      <c r="S143" s="38"/>
      <c r="T143" s="38" t="s">
        <v>5108</v>
      </c>
      <c r="U143" s="345"/>
      <c r="V143" s="39"/>
      <c r="W143" s="39"/>
      <c r="X143" s="39"/>
      <c r="Y143" s="377"/>
    </row>
    <row r="144" spans="2:25" ht="82.5">
      <c r="B144" s="38" t="s">
        <v>252</v>
      </c>
      <c r="C144" s="55" t="s">
        <v>1095</v>
      </c>
      <c r="D144" s="295" t="s">
        <v>327</v>
      </c>
      <c r="E144" s="37" t="s">
        <v>253</v>
      </c>
      <c r="F144" s="38" t="s">
        <v>252</v>
      </c>
      <c r="G144" s="45">
        <v>60</v>
      </c>
      <c r="H144" s="295"/>
      <c r="I144" s="39"/>
      <c r="J144" s="38" t="s">
        <v>4953</v>
      </c>
      <c r="K144" s="38">
        <v>96</v>
      </c>
      <c r="L144" s="297" t="s">
        <v>5073</v>
      </c>
      <c r="M144" s="45">
        <v>163</v>
      </c>
      <c r="N144" s="350" t="s">
        <v>4659</v>
      </c>
      <c r="O144" s="295" t="s">
        <v>4658</v>
      </c>
      <c r="P144" s="38"/>
      <c r="Q144" s="38" t="s">
        <v>5255</v>
      </c>
      <c r="R144" s="38" t="s">
        <v>5221</v>
      </c>
      <c r="S144" s="38"/>
      <c r="T144" s="38" t="s">
        <v>5108</v>
      </c>
      <c r="U144" s="345"/>
      <c r="V144" s="39"/>
      <c r="W144" s="39"/>
      <c r="X144" s="39"/>
      <c r="Y144" s="377"/>
    </row>
    <row r="145" spans="2:25" ht="82.5">
      <c r="B145" s="38" t="s">
        <v>252</v>
      </c>
      <c r="C145" s="55" t="s">
        <v>1096</v>
      </c>
      <c r="D145" s="295" t="s">
        <v>326</v>
      </c>
      <c r="E145" s="37" t="s">
        <v>254</v>
      </c>
      <c r="F145" s="38" t="s">
        <v>252</v>
      </c>
      <c r="G145" s="45">
        <v>60</v>
      </c>
      <c r="H145" s="295"/>
      <c r="I145" s="39"/>
      <c r="J145" s="38" t="s">
        <v>4954</v>
      </c>
      <c r="K145" s="38">
        <v>83</v>
      </c>
      <c r="L145" s="297" t="s">
        <v>5074</v>
      </c>
      <c r="M145" s="45">
        <v>163</v>
      </c>
      <c r="N145" s="350" t="s">
        <v>4657</v>
      </c>
      <c r="O145" s="295" t="s">
        <v>4656</v>
      </c>
      <c r="P145" s="38"/>
      <c r="Q145" s="38" t="s">
        <v>5255</v>
      </c>
      <c r="R145" s="38" t="s">
        <v>5221</v>
      </c>
      <c r="S145" s="38"/>
      <c r="T145" s="38" t="s">
        <v>5108</v>
      </c>
      <c r="U145" s="345"/>
      <c r="V145" s="39"/>
      <c r="W145" s="39"/>
      <c r="X145" s="39"/>
      <c r="Y145" s="377"/>
    </row>
    <row r="146" spans="2:25" ht="82.5">
      <c r="B146" s="38" t="s">
        <v>255</v>
      </c>
      <c r="C146" s="55" t="s">
        <v>1097</v>
      </c>
      <c r="D146" s="295" t="s">
        <v>320</v>
      </c>
      <c r="E146" s="37" t="s">
        <v>256</v>
      </c>
      <c r="F146" s="38" t="s">
        <v>255</v>
      </c>
      <c r="G146" s="45">
        <v>60</v>
      </c>
      <c r="H146" s="295"/>
      <c r="I146" s="39"/>
      <c r="J146" s="38" t="s">
        <v>4955</v>
      </c>
      <c r="K146" s="38" t="s">
        <v>4956</v>
      </c>
      <c r="L146" s="297" t="s">
        <v>5075</v>
      </c>
      <c r="M146" s="329" t="s">
        <v>5076</v>
      </c>
      <c r="N146" s="350" t="s">
        <v>4655</v>
      </c>
      <c r="O146" s="295" t="s">
        <v>4385</v>
      </c>
      <c r="P146" s="38"/>
      <c r="Q146" s="38" t="s">
        <v>5255</v>
      </c>
      <c r="R146" s="38" t="s">
        <v>5237</v>
      </c>
      <c r="S146" s="38"/>
      <c r="T146" s="38" t="s">
        <v>5108</v>
      </c>
      <c r="U146" s="345"/>
      <c r="V146" s="39"/>
      <c r="W146" s="39"/>
      <c r="X146" s="39"/>
      <c r="Y146" s="377"/>
    </row>
    <row r="147" spans="2:25" ht="82.5">
      <c r="B147" s="38" t="s">
        <v>255</v>
      </c>
      <c r="C147" s="55" t="s">
        <v>1098</v>
      </c>
      <c r="D147" s="295" t="s">
        <v>321</v>
      </c>
      <c r="E147" s="37" t="s">
        <v>257</v>
      </c>
      <c r="F147" s="38" t="s">
        <v>255</v>
      </c>
      <c r="G147" s="45">
        <v>60</v>
      </c>
      <c r="H147" s="295"/>
      <c r="I147" s="39"/>
      <c r="J147" s="38" t="s">
        <v>4955</v>
      </c>
      <c r="K147" s="38" t="s">
        <v>4957</v>
      </c>
      <c r="L147" s="297" t="s">
        <v>5077</v>
      </c>
      <c r="M147" s="45">
        <v>193</v>
      </c>
      <c r="N147" s="350" t="s">
        <v>4654</v>
      </c>
      <c r="O147" s="295" t="s">
        <v>4385</v>
      </c>
      <c r="P147" s="38"/>
      <c r="Q147" s="38" t="s">
        <v>5255</v>
      </c>
      <c r="R147" s="38" t="s">
        <v>5223</v>
      </c>
      <c r="S147" s="38"/>
      <c r="T147" s="38" t="s">
        <v>5108</v>
      </c>
      <c r="U147" s="345"/>
      <c r="V147" s="39"/>
      <c r="W147" s="39"/>
      <c r="X147" s="39"/>
      <c r="Y147" s="377"/>
    </row>
    <row r="148" spans="2:25" ht="117.75" customHeight="1">
      <c r="B148" s="38" t="s">
        <v>255</v>
      </c>
      <c r="C148" s="55" t="s">
        <v>1099</v>
      </c>
      <c r="D148" s="295" t="s">
        <v>322</v>
      </c>
      <c r="E148" s="37" t="s">
        <v>258</v>
      </c>
      <c r="F148" s="38" t="s">
        <v>255</v>
      </c>
      <c r="G148" s="45">
        <v>60</v>
      </c>
      <c r="H148" s="295"/>
      <c r="I148" s="39"/>
      <c r="J148" s="38" t="s">
        <v>4958</v>
      </c>
      <c r="K148" s="38" t="s">
        <v>4959</v>
      </c>
      <c r="L148" s="295" t="s">
        <v>5078</v>
      </c>
      <c r="M148" s="45">
        <v>129</v>
      </c>
      <c r="N148" s="350" t="s">
        <v>4653</v>
      </c>
      <c r="O148" s="295" t="s">
        <v>4652</v>
      </c>
      <c r="P148" s="38"/>
      <c r="Q148" s="38" t="s">
        <v>5255</v>
      </c>
      <c r="R148" s="38" t="s">
        <v>5238</v>
      </c>
      <c r="S148" s="38"/>
      <c r="T148" s="38" t="s">
        <v>5108</v>
      </c>
      <c r="U148" s="345"/>
      <c r="V148" s="39"/>
      <c r="W148" s="39"/>
      <c r="X148" s="39"/>
      <c r="Y148" s="377"/>
    </row>
    <row r="149" spans="2:25" ht="68.25" customHeight="1">
      <c r="B149" s="38" t="s">
        <v>255</v>
      </c>
      <c r="C149" s="55" t="s">
        <v>1100</v>
      </c>
      <c r="D149" s="295" t="s">
        <v>323</v>
      </c>
      <c r="E149" s="37" t="s">
        <v>259</v>
      </c>
      <c r="F149" s="38" t="s">
        <v>255</v>
      </c>
      <c r="G149" s="45">
        <v>60</v>
      </c>
      <c r="H149" s="295"/>
      <c r="I149" s="39"/>
      <c r="J149" s="38" t="s">
        <v>4955</v>
      </c>
      <c r="K149" s="38" t="s">
        <v>4957</v>
      </c>
      <c r="L149" s="297" t="s">
        <v>5079</v>
      </c>
      <c r="M149" s="45">
        <v>161</v>
      </c>
      <c r="N149" s="350" t="s">
        <v>4651</v>
      </c>
      <c r="O149" s="295" t="s">
        <v>4650</v>
      </c>
      <c r="P149" s="38"/>
      <c r="Q149" s="38" t="s">
        <v>5255</v>
      </c>
      <c r="R149" s="38" t="s">
        <v>5236</v>
      </c>
      <c r="S149" s="38"/>
      <c r="T149" s="38" t="s">
        <v>5108</v>
      </c>
      <c r="U149" s="345"/>
      <c r="V149" s="39"/>
      <c r="W149" s="39"/>
      <c r="X149" s="39"/>
      <c r="Y149" s="377"/>
    </row>
    <row r="150" spans="2:25" ht="82.5">
      <c r="B150" s="38" t="s">
        <v>255</v>
      </c>
      <c r="C150" s="55" t="s">
        <v>1101</v>
      </c>
      <c r="D150" s="295" t="s">
        <v>324</v>
      </c>
      <c r="E150" s="37" t="s">
        <v>260</v>
      </c>
      <c r="F150" s="38" t="s">
        <v>255</v>
      </c>
      <c r="G150" s="45">
        <v>60</v>
      </c>
      <c r="H150" s="295"/>
      <c r="I150" s="39"/>
      <c r="J150" s="38" t="s">
        <v>4958</v>
      </c>
      <c r="K150" s="38" t="s">
        <v>4960</v>
      </c>
      <c r="L150" s="297" t="s">
        <v>5080</v>
      </c>
      <c r="M150" s="329" t="s">
        <v>5081</v>
      </c>
      <c r="N150" s="350" t="s">
        <v>4649</v>
      </c>
      <c r="O150" s="295" t="s">
        <v>4385</v>
      </c>
      <c r="P150" s="38"/>
      <c r="Q150" s="38" t="s">
        <v>5255</v>
      </c>
      <c r="R150" s="38" t="s">
        <v>5239</v>
      </c>
      <c r="S150" s="38"/>
      <c r="T150" s="38" t="s">
        <v>5108</v>
      </c>
      <c r="U150" s="345"/>
      <c r="V150" s="39"/>
      <c r="W150" s="39"/>
      <c r="X150" s="39"/>
      <c r="Y150" s="377"/>
    </row>
    <row r="151" spans="2:25" ht="82.5">
      <c r="B151" s="38" t="s">
        <v>255</v>
      </c>
      <c r="C151" s="55" t="s">
        <v>1102</v>
      </c>
      <c r="D151" s="295" t="s">
        <v>325</v>
      </c>
      <c r="E151" s="37" t="s">
        <v>261</v>
      </c>
      <c r="F151" s="38" t="s">
        <v>255</v>
      </c>
      <c r="G151" s="45">
        <v>60</v>
      </c>
      <c r="H151" s="295"/>
      <c r="I151" s="39"/>
      <c r="J151" s="38" t="s">
        <v>4955</v>
      </c>
      <c r="K151" s="38" t="s">
        <v>4956</v>
      </c>
      <c r="L151" s="297" t="s">
        <v>5082</v>
      </c>
      <c r="M151" s="45">
        <v>195</v>
      </c>
      <c r="N151" s="350" t="s">
        <v>4648</v>
      </c>
      <c r="O151" s="295" t="s">
        <v>4385</v>
      </c>
      <c r="P151" s="38"/>
      <c r="Q151" s="38" t="s">
        <v>5255</v>
      </c>
      <c r="R151" s="38" t="s">
        <v>5238</v>
      </c>
      <c r="S151" s="38"/>
      <c r="T151" s="38" t="s">
        <v>5108</v>
      </c>
      <c r="U151" s="345"/>
      <c r="V151" s="39"/>
      <c r="W151" s="39"/>
      <c r="X151" s="39"/>
      <c r="Y151" s="377"/>
    </row>
    <row r="152" spans="2:25" ht="82.5">
      <c r="B152" s="38" t="s">
        <v>262</v>
      </c>
      <c r="C152" s="55" t="s">
        <v>1103</v>
      </c>
      <c r="D152" s="295" t="s">
        <v>263</v>
      </c>
      <c r="E152" s="37" t="s">
        <v>265</v>
      </c>
      <c r="F152" s="38" t="s">
        <v>262</v>
      </c>
      <c r="G152" s="45">
        <v>61</v>
      </c>
      <c r="H152" s="295"/>
      <c r="I152" s="39"/>
      <c r="J152" s="38" t="s">
        <v>4961</v>
      </c>
      <c r="K152" s="38">
        <v>92</v>
      </c>
      <c r="L152" s="297"/>
      <c r="M152" s="45"/>
      <c r="N152" s="350" t="s">
        <v>4647</v>
      </c>
      <c r="O152" s="295" t="s">
        <v>4646</v>
      </c>
      <c r="P152" s="38"/>
      <c r="Q152" s="38" t="s">
        <v>5255</v>
      </c>
      <c r="R152" s="38" t="s">
        <v>5240</v>
      </c>
      <c r="S152" s="38"/>
      <c r="T152" s="38" t="s">
        <v>5108</v>
      </c>
      <c r="U152" s="345"/>
      <c r="V152" s="39"/>
      <c r="W152" s="39"/>
      <c r="X152" s="39"/>
      <c r="Y152" s="377"/>
    </row>
    <row r="153" spans="2:25" ht="82.5">
      <c r="B153" s="38" t="s">
        <v>262</v>
      </c>
      <c r="C153" s="55" t="s">
        <v>1104</v>
      </c>
      <c r="D153" s="295" t="s">
        <v>264</v>
      </c>
      <c r="E153" s="37" t="s">
        <v>266</v>
      </c>
      <c r="F153" s="38" t="s">
        <v>262</v>
      </c>
      <c r="G153" s="45">
        <v>61</v>
      </c>
      <c r="H153" s="295"/>
      <c r="I153" s="39"/>
      <c r="J153" s="38" t="s">
        <v>4962</v>
      </c>
      <c r="K153" s="38">
        <v>92</v>
      </c>
      <c r="L153" s="297" t="s">
        <v>5083</v>
      </c>
      <c r="M153" s="45">
        <v>192</v>
      </c>
      <c r="N153" s="350" t="s">
        <v>4645</v>
      </c>
      <c r="O153" s="295" t="s">
        <v>4644</v>
      </c>
      <c r="P153" s="38"/>
      <c r="Q153" s="38" t="s">
        <v>5255</v>
      </c>
      <c r="R153" s="38" t="s">
        <v>5241</v>
      </c>
      <c r="S153" s="38"/>
      <c r="T153" s="38" t="s">
        <v>5108</v>
      </c>
      <c r="U153" s="345"/>
      <c r="V153" s="39"/>
      <c r="W153" s="39"/>
      <c r="X153" s="39"/>
      <c r="Y153" s="377"/>
    </row>
    <row r="154" spans="2:25" ht="82.5">
      <c r="B154" s="38" t="s">
        <v>267</v>
      </c>
      <c r="C154" s="55" t="s">
        <v>1105</v>
      </c>
      <c r="D154" s="295" t="s">
        <v>268</v>
      </c>
      <c r="E154" s="37" t="s">
        <v>271</v>
      </c>
      <c r="F154" s="38" t="s">
        <v>267</v>
      </c>
      <c r="G154" s="45">
        <v>61</v>
      </c>
      <c r="H154" s="295"/>
      <c r="I154" s="39"/>
      <c r="J154" s="38" t="s">
        <v>4961</v>
      </c>
      <c r="K154" s="38">
        <v>92</v>
      </c>
      <c r="L154" s="297" t="s">
        <v>5084</v>
      </c>
      <c r="M154" s="45">
        <v>169</v>
      </c>
      <c r="N154" s="350" t="s">
        <v>4643</v>
      </c>
      <c r="O154" s="295" t="s">
        <v>4386</v>
      </c>
      <c r="P154" s="38"/>
      <c r="Q154" s="38" t="s">
        <v>5255</v>
      </c>
      <c r="R154" s="38" t="s">
        <v>5221</v>
      </c>
      <c r="S154" s="38"/>
      <c r="T154" s="38"/>
      <c r="U154" s="345"/>
      <c r="V154" s="39"/>
      <c r="W154" s="39"/>
      <c r="X154" s="39"/>
      <c r="Y154" s="377"/>
    </row>
    <row r="155" spans="2:25" ht="66">
      <c r="B155" s="38" t="s">
        <v>267</v>
      </c>
      <c r="C155" s="55" t="s">
        <v>1106</v>
      </c>
      <c r="D155" s="295" t="s">
        <v>269</v>
      </c>
      <c r="E155" s="37" t="s">
        <v>272</v>
      </c>
      <c r="F155" s="38" t="s">
        <v>267</v>
      </c>
      <c r="G155" s="45">
        <v>61</v>
      </c>
      <c r="H155" s="295"/>
      <c r="I155" s="39"/>
      <c r="J155" s="38" t="s">
        <v>4963</v>
      </c>
      <c r="K155" s="38">
        <v>92</v>
      </c>
      <c r="L155" s="297" t="s">
        <v>5084</v>
      </c>
      <c r="M155" s="45">
        <v>169</v>
      </c>
      <c r="N155" s="350" t="s">
        <v>4642</v>
      </c>
      <c r="O155" s="295" t="s">
        <v>4386</v>
      </c>
      <c r="P155" s="38"/>
      <c r="Q155" s="38" t="s">
        <v>5255</v>
      </c>
      <c r="R155" s="38" t="s">
        <v>5242</v>
      </c>
      <c r="S155" s="38"/>
      <c r="T155" s="38"/>
      <c r="U155" s="345"/>
      <c r="V155" s="39"/>
      <c r="W155" s="39"/>
      <c r="X155" s="39"/>
      <c r="Y155" s="377"/>
    </row>
    <row r="156" spans="2:25" ht="66">
      <c r="B156" s="38" t="s">
        <v>267</v>
      </c>
      <c r="C156" s="55" t="s">
        <v>1107</v>
      </c>
      <c r="D156" s="295" t="s">
        <v>270</v>
      </c>
      <c r="E156" s="37" t="s">
        <v>273</v>
      </c>
      <c r="F156" s="38" t="s">
        <v>267</v>
      </c>
      <c r="G156" s="45">
        <v>61</v>
      </c>
      <c r="H156" s="295"/>
      <c r="I156" s="39"/>
      <c r="J156" s="38"/>
      <c r="K156" s="38"/>
      <c r="L156" s="297" t="s">
        <v>5085</v>
      </c>
      <c r="M156" s="45">
        <v>169</v>
      </c>
      <c r="N156" s="350" t="s">
        <v>4641</v>
      </c>
      <c r="O156" s="295" t="s">
        <v>4386</v>
      </c>
      <c r="P156" s="38"/>
      <c r="Q156" s="38" t="s">
        <v>5255</v>
      </c>
      <c r="R156" s="38" t="s">
        <v>5243</v>
      </c>
      <c r="S156" s="38"/>
      <c r="T156" s="38"/>
      <c r="U156" s="345"/>
      <c r="V156" s="39"/>
      <c r="W156" s="39"/>
      <c r="X156" s="39"/>
      <c r="Y156" s="377"/>
    </row>
    <row r="157" spans="2:25" ht="49.5">
      <c r="B157" s="38" t="s">
        <v>274</v>
      </c>
      <c r="C157" s="55" t="s">
        <v>1108</v>
      </c>
      <c r="D157" s="295" t="s">
        <v>275</v>
      </c>
      <c r="E157" s="35" t="s">
        <v>4640</v>
      </c>
      <c r="F157" s="38" t="s">
        <v>274</v>
      </c>
      <c r="G157" s="45">
        <v>62</v>
      </c>
      <c r="H157" s="295"/>
      <c r="I157" s="39"/>
      <c r="J157" s="38" t="s">
        <v>4964</v>
      </c>
      <c r="K157" s="38">
        <v>93</v>
      </c>
      <c r="L157" s="297" t="s">
        <v>5086</v>
      </c>
      <c r="M157" s="45">
        <v>168</v>
      </c>
      <c r="N157" s="350" t="s">
        <v>4639</v>
      </c>
      <c r="O157" s="295" t="s">
        <v>4379</v>
      </c>
      <c r="P157" s="38"/>
      <c r="Q157" s="38" t="s">
        <v>5255</v>
      </c>
      <c r="R157" s="38" t="s">
        <v>5232</v>
      </c>
      <c r="S157" s="38"/>
      <c r="T157" s="38"/>
      <c r="U157" s="345"/>
      <c r="V157" s="39"/>
      <c r="W157" s="39"/>
      <c r="X157" s="39"/>
      <c r="Y157" s="377"/>
    </row>
    <row r="158" spans="2:25" ht="49.5">
      <c r="B158" s="38" t="s">
        <v>274</v>
      </c>
      <c r="C158" s="55" t="s">
        <v>1109</v>
      </c>
      <c r="D158" s="295" t="s">
        <v>275</v>
      </c>
      <c r="E158" s="37" t="s">
        <v>276</v>
      </c>
      <c r="F158" s="38" t="s">
        <v>274</v>
      </c>
      <c r="G158" s="45">
        <v>62</v>
      </c>
      <c r="H158" s="295"/>
      <c r="I158" s="39"/>
      <c r="J158" s="38" t="s">
        <v>4965</v>
      </c>
      <c r="K158" s="38">
        <v>93</v>
      </c>
      <c r="L158" s="297" t="s">
        <v>456</v>
      </c>
      <c r="M158" s="45">
        <v>168</v>
      </c>
      <c r="N158" s="350" t="s">
        <v>4638</v>
      </c>
      <c r="O158" s="295" t="s">
        <v>4386</v>
      </c>
      <c r="P158" s="38"/>
      <c r="Q158" s="38" t="s">
        <v>5255</v>
      </c>
      <c r="R158" s="38" t="s">
        <v>5237</v>
      </c>
      <c r="S158" s="38"/>
      <c r="T158" s="38"/>
      <c r="U158" s="345"/>
      <c r="V158" s="39"/>
      <c r="W158" s="39"/>
      <c r="X158" s="39"/>
      <c r="Y158" s="377"/>
    </row>
    <row r="159" spans="2:25" ht="115.5">
      <c r="B159" s="38" t="s">
        <v>277</v>
      </c>
      <c r="C159" s="55" t="s">
        <v>1110</v>
      </c>
      <c r="D159" s="295" t="s">
        <v>293</v>
      </c>
      <c r="E159" s="37" t="s">
        <v>278</v>
      </c>
      <c r="F159" s="38" t="s">
        <v>277</v>
      </c>
      <c r="G159" s="45">
        <v>62</v>
      </c>
      <c r="H159" s="295"/>
      <c r="I159" s="39"/>
      <c r="J159" s="38" t="s">
        <v>4942</v>
      </c>
      <c r="K159" s="38" t="s">
        <v>4966</v>
      </c>
      <c r="L159" s="297" t="s">
        <v>5087</v>
      </c>
      <c r="M159" s="45">
        <v>168</v>
      </c>
      <c r="N159" s="350" t="s">
        <v>4637</v>
      </c>
      <c r="O159" s="295" t="s">
        <v>4636</v>
      </c>
      <c r="P159" s="38"/>
      <c r="Q159" s="38" t="s">
        <v>5255</v>
      </c>
      <c r="R159" s="38" t="s">
        <v>5223</v>
      </c>
      <c r="S159" s="38"/>
      <c r="T159" s="38"/>
      <c r="U159" s="345"/>
      <c r="V159" s="39"/>
      <c r="W159" s="39"/>
      <c r="X159" s="39"/>
      <c r="Y159" s="377"/>
    </row>
    <row r="160" spans="2:25" ht="49.5">
      <c r="B160" s="38" t="s">
        <v>277</v>
      </c>
      <c r="C160" s="55" t="s">
        <v>1111</v>
      </c>
      <c r="D160" s="295" t="s">
        <v>292</v>
      </c>
      <c r="E160" s="37" t="s">
        <v>279</v>
      </c>
      <c r="F160" s="38" t="s">
        <v>277</v>
      </c>
      <c r="G160" s="45">
        <v>62</v>
      </c>
      <c r="H160" s="295"/>
      <c r="I160" s="39"/>
      <c r="J160" s="38" t="s">
        <v>4942</v>
      </c>
      <c r="K160" s="38" t="s">
        <v>4967</v>
      </c>
      <c r="L160" s="297" t="s">
        <v>5087</v>
      </c>
      <c r="M160" s="45">
        <v>168</v>
      </c>
      <c r="N160" s="350" t="s">
        <v>4635</v>
      </c>
      <c r="O160" s="295" t="s">
        <v>4634</v>
      </c>
      <c r="P160" s="38"/>
      <c r="Q160" s="38" t="s">
        <v>5255</v>
      </c>
      <c r="R160" s="38" t="s">
        <v>5232</v>
      </c>
      <c r="S160" s="38"/>
      <c r="T160" s="38"/>
      <c r="U160" s="345"/>
      <c r="V160" s="39"/>
      <c r="W160" s="39"/>
      <c r="X160" s="39"/>
      <c r="Y160" s="377"/>
    </row>
    <row r="161" spans="1:26" ht="33">
      <c r="B161" s="38" t="s">
        <v>277</v>
      </c>
      <c r="C161" s="55" t="s">
        <v>1112</v>
      </c>
      <c r="D161" s="295" t="s">
        <v>291</v>
      </c>
      <c r="E161" s="37" t="s">
        <v>280</v>
      </c>
      <c r="F161" s="38" t="s">
        <v>277</v>
      </c>
      <c r="G161" s="45" t="s">
        <v>281</v>
      </c>
      <c r="H161" s="295"/>
      <c r="I161" s="39"/>
      <c r="J161" s="38" t="s">
        <v>4940</v>
      </c>
      <c r="K161" s="38" t="s">
        <v>4941</v>
      </c>
      <c r="L161" s="297" t="s">
        <v>5086</v>
      </c>
      <c r="M161" s="45">
        <v>168</v>
      </c>
      <c r="N161" s="350" t="s">
        <v>4633</v>
      </c>
      <c r="O161" s="295" t="s">
        <v>4632</v>
      </c>
      <c r="P161" s="38"/>
      <c r="Q161" s="38" t="s">
        <v>5255</v>
      </c>
      <c r="R161" s="38" t="s">
        <v>5220</v>
      </c>
      <c r="S161" s="38"/>
      <c r="T161" s="38"/>
      <c r="U161" s="345"/>
      <c r="V161" s="39"/>
      <c r="W161" s="39"/>
      <c r="X161" s="39"/>
      <c r="Y161" s="377"/>
    </row>
    <row r="162" spans="1:26" ht="77.25" customHeight="1">
      <c r="B162" s="38" t="s">
        <v>282</v>
      </c>
      <c r="C162" s="55" t="s">
        <v>1113</v>
      </c>
      <c r="D162" s="295" t="s">
        <v>283</v>
      </c>
      <c r="E162" s="37" t="s">
        <v>287</v>
      </c>
      <c r="F162" s="38" t="s">
        <v>282</v>
      </c>
      <c r="G162" s="45">
        <v>64</v>
      </c>
      <c r="H162" s="295"/>
      <c r="I162" s="39"/>
      <c r="J162" s="38" t="s">
        <v>4926</v>
      </c>
      <c r="K162" s="38" t="s">
        <v>4968</v>
      </c>
      <c r="L162" s="295" t="s">
        <v>5088</v>
      </c>
      <c r="M162" s="45">
        <v>186</v>
      </c>
      <c r="N162" s="350" t="s">
        <v>4631</v>
      </c>
      <c r="O162" s="295" t="s">
        <v>4626</v>
      </c>
      <c r="P162" s="38"/>
      <c r="Q162" s="38" t="s">
        <v>5255</v>
      </c>
      <c r="R162" s="38" t="s">
        <v>5236</v>
      </c>
      <c r="S162" s="38"/>
      <c r="T162" s="38"/>
      <c r="U162" s="345"/>
      <c r="V162" s="39"/>
      <c r="W162" s="39"/>
      <c r="X162" s="39"/>
      <c r="Y162" s="377"/>
    </row>
    <row r="163" spans="1:26" ht="49.5">
      <c r="B163" s="38" t="s">
        <v>282</v>
      </c>
      <c r="C163" s="55" t="s">
        <v>1114</v>
      </c>
      <c r="D163" s="295" t="s">
        <v>284</v>
      </c>
      <c r="E163" s="37" t="s">
        <v>288</v>
      </c>
      <c r="F163" s="38" t="s">
        <v>282</v>
      </c>
      <c r="G163" s="45">
        <v>64</v>
      </c>
      <c r="H163" s="295"/>
      <c r="I163" s="39"/>
      <c r="J163" s="38" t="s">
        <v>4969</v>
      </c>
      <c r="K163" s="38" t="s">
        <v>4968</v>
      </c>
      <c r="L163" s="295" t="s">
        <v>5088</v>
      </c>
      <c r="M163" s="45">
        <v>186</v>
      </c>
      <c r="N163" s="350" t="s">
        <v>4630</v>
      </c>
      <c r="O163" s="295" t="s">
        <v>4626</v>
      </c>
      <c r="P163" s="38"/>
      <c r="Q163" s="38" t="s">
        <v>5255</v>
      </c>
      <c r="R163" s="38" t="s">
        <v>5236</v>
      </c>
      <c r="S163" s="38"/>
      <c r="T163" s="38"/>
      <c r="U163" s="345"/>
      <c r="V163" s="39"/>
      <c r="W163" s="39"/>
      <c r="X163" s="39"/>
      <c r="Y163" s="377"/>
    </row>
    <row r="164" spans="1:26" ht="49.5">
      <c r="B164" s="38" t="s">
        <v>282</v>
      </c>
      <c r="C164" s="55" t="s">
        <v>1115</v>
      </c>
      <c r="D164" s="295" t="s">
        <v>285</v>
      </c>
      <c r="E164" s="37" t="s">
        <v>289</v>
      </c>
      <c r="F164" s="38" t="s">
        <v>282</v>
      </c>
      <c r="G164" s="45">
        <v>64</v>
      </c>
      <c r="H164" s="295"/>
      <c r="I164" s="39"/>
      <c r="J164" s="38" t="s">
        <v>4969</v>
      </c>
      <c r="K164" s="38" t="s">
        <v>4968</v>
      </c>
      <c r="L164" s="295" t="s">
        <v>5088</v>
      </c>
      <c r="M164" s="45">
        <v>186</v>
      </c>
      <c r="N164" s="350" t="s">
        <v>4629</v>
      </c>
      <c r="O164" s="295" t="s">
        <v>4626</v>
      </c>
      <c r="P164" s="38"/>
      <c r="Q164" s="38" t="s">
        <v>5255</v>
      </c>
      <c r="R164" s="38" t="s">
        <v>5241</v>
      </c>
      <c r="S164" s="38"/>
      <c r="T164" s="38"/>
      <c r="U164" s="345"/>
      <c r="V164" s="39"/>
      <c r="W164" s="39"/>
      <c r="X164" s="39"/>
      <c r="Y164" s="377"/>
    </row>
    <row r="165" spans="1:26" ht="49.5">
      <c r="B165" s="38" t="s">
        <v>282</v>
      </c>
      <c r="C165" s="55" t="s">
        <v>1116</v>
      </c>
      <c r="D165" s="295" t="s">
        <v>286</v>
      </c>
      <c r="E165" s="37" t="s">
        <v>290</v>
      </c>
      <c r="F165" s="38" t="s">
        <v>282</v>
      </c>
      <c r="G165" s="45">
        <v>64</v>
      </c>
      <c r="H165" s="295"/>
      <c r="I165" s="39"/>
      <c r="J165" s="38" t="s">
        <v>4970</v>
      </c>
      <c r="K165" s="38" t="s">
        <v>4968</v>
      </c>
      <c r="L165" s="295" t="s">
        <v>5089</v>
      </c>
      <c r="M165" s="45">
        <v>186</v>
      </c>
      <c r="N165" s="350" t="s">
        <v>4628</v>
      </c>
      <c r="O165" s="295" t="s">
        <v>4626</v>
      </c>
      <c r="P165" s="38"/>
      <c r="Q165" s="38" t="s">
        <v>5255</v>
      </c>
      <c r="R165" s="38" t="s">
        <v>5244</v>
      </c>
      <c r="S165" s="38"/>
      <c r="T165" s="38"/>
      <c r="U165" s="345"/>
      <c r="V165" s="39"/>
      <c r="W165" s="39"/>
      <c r="X165" s="39"/>
      <c r="Y165" s="377"/>
    </row>
    <row r="166" spans="1:26" ht="66">
      <c r="B166" s="38" t="s">
        <v>294</v>
      </c>
      <c r="C166" s="55" t="s">
        <v>1117</v>
      </c>
      <c r="D166" s="295" t="s">
        <v>298</v>
      </c>
      <c r="E166" s="37" t="s">
        <v>297</v>
      </c>
      <c r="F166" s="38" t="s">
        <v>294</v>
      </c>
      <c r="G166" s="45">
        <v>65</v>
      </c>
      <c r="H166" s="295"/>
      <c r="I166" s="39"/>
      <c r="J166" s="38" t="s">
        <v>4971</v>
      </c>
      <c r="K166" s="38" t="s">
        <v>4972</v>
      </c>
      <c r="L166" s="295" t="s">
        <v>5090</v>
      </c>
      <c r="M166" s="45">
        <v>187</v>
      </c>
      <c r="N166" s="350" t="s">
        <v>4627</v>
      </c>
      <c r="O166" s="295" t="s">
        <v>4626</v>
      </c>
      <c r="P166" s="38"/>
      <c r="Q166" s="38" t="s">
        <v>5255</v>
      </c>
      <c r="R166" s="38" t="s">
        <v>5238</v>
      </c>
      <c r="S166" s="38"/>
      <c r="T166" s="38"/>
      <c r="U166" s="345"/>
      <c r="V166" s="39"/>
      <c r="W166" s="39"/>
      <c r="X166" s="39"/>
      <c r="Y166" s="377"/>
    </row>
    <row r="167" spans="1:26" ht="49.5">
      <c r="B167" s="38" t="s">
        <v>296</v>
      </c>
      <c r="C167" s="55" t="s">
        <v>1118</v>
      </c>
      <c r="D167" s="295" t="s">
        <v>302</v>
      </c>
      <c r="E167" s="37" t="s">
        <v>299</v>
      </c>
      <c r="F167" s="38" t="s">
        <v>296</v>
      </c>
      <c r="G167" s="45">
        <v>65</v>
      </c>
      <c r="H167" s="295"/>
      <c r="I167" s="39"/>
      <c r="J167" s="38" t="s">
        <v>4974</v>
      </c>
      <c r="K167" s="38" t="s">
        <v>4975</v>
      </c>
      <c r="L167" s="295" t="s">
        <v>5091</v>
      </c>
      <c r="M167" s="45">
        <v>188</v>
      </c>
      <c r="N167" s="350" t="s">
        <v>4625</v>
      </c>
      <c r="O167" s="295" t="s">
        <v>4617</v>
      </c>
      <c r="P167" s="38"/>
      <c r="Q167" s="38" t="s">
        <v>5255</v>
      </c>
      <c r="R167" s="38" t="s">
        <v>5240</v>
      </c>
      <c r="S167" s="38"/>
      <c r="T167" s="38"/>
      <c r="U167" s="345"/>
      <c r="V167" s="39"/>
      <c r="W167" s="39"/>
      <c r="X167" s="39"/>
      <c r="Y167" s="377"/>
    </row>
    <row r="168" spans="1:26" ht="66">
      <c r="B168" s="38" t="s">
        <v>295</v>
      </c>
      <c r="C168" s="55" t="s">
        <v>1119</v>
      </c>
      <c r="D168" s="295" t="s">
        <v>303</v>
      </c>
      <c r="E168" s="37" t="s">
        <v>300</v>
      </c>
      <c r="F168" s="38" t="s">
        <v>296</v>
      </c>
      <c r="G168" s="45">
        <v>65</v>
      </c>
      <c r="H168" s="295"/>
      <c r="I168" s="39"/>
      <c r="J168" s="38" t="s">
        <v>4976</v>
      </c>
      <c r="K168" s="38" t="s">
        <v>4977</v>
      </c>
      <c r="L168" s="295" t="s">
        <v>5091</v>
      </c>
      <c r="M168" s="45">
        <v>188</v>
      </c>
      <c r="N168" s="350" t="s">
        <v>4624</v>
      </c>
      <c r="O168" s="295" t="s">
        <v>4617</v>
      </c>
      <c r="P168" s="38"/>
      <c r="Q168" s="38" t="s">
        <v>5255</v>
      </c>
      <c r="R168" s="38" t="s">
        <v>5245</v>
      </c>
      <c r="S168" s="38"/>
      <c r="T168" s="38"/>
      <c r="U168" s="345"/>
      <c r="V168" s="39"/>
      <c r="W168" s="39"/>
      <c r="X168" s="39"/>
      <c r="Y168" s="377"/>
    </row>
    <row r="169" spans="1:26" ht="49.5">
      <c r="B169" s="38" t="s">
        <v>295</v>
      </c>
      <c r="C169" s="55" t="s">
        <v>1120</v>
      </c>
      <c r="D169" s="295" t="s">
        <v>304</v>
      </c>
      <c r="E169" s="37" t="s">
        <v>301</v>
      </c>
      <c r="F169" s="38" t="s">
        <v>296</v>
      </c>
      <c r="G169" s="45">
        <v>65</v>
      </c>
      <c r="H169" s="295"/>
      <c r="I169" s="39"/>
      <c r="J169" s="38" t="s">
        <v>4974</v>
      </c>
      <c r="K169" s="38" t="s">
        <v>4977</v>
      </c>
      <c r="L169" s="295" t="s">
        <v>5092</v>
      </c>
      <c r="M169" s="45">
        <v>190</v>
      </c>
      <c r="N169" s="350" t="s">
        <v>4623</v>
      </c>
      <c r="O169" s="295" t="s">
        <v>4617</v>
      </c>
      <c r="P169" s="38"/>
      <c r="Q169" s="38" t="s">
        <v>5255</v>
      </c>
      <c r="R169" s="38" t="s">
        <v>5240</v>
      </c>
      <c r="S169" s="38"/>
      <c r="T169" s="38"/>
      <c r="U169" s="345"/>
      <c r="V169" s="39"/>
      <c r="W169" s="39"/>
      <c r="X169" s="39"/>
      <c r="Y169" s="377"/>
    </row>
    <row r="170" spans="1:26" ht="49.5">
      <c r="B170" s="38" t="s">
        <v>305</v>
      </c>
      <c r="C170" s="55" t="s">
        <v>1121</v>
      </c>
      <c r="D170" s="295" t="s">
        <v>306</v>
      </c>
      <c r="E170" s="37" t="s">
        <v>308</v>
      </c>
      <c r="F170" s="38" t="s">
        <v>305</v>
      </c>
      <c r="G170" s="45">
        <v>66</v>
      </c>
      <c r="H170" s="295"/>
      <c r="I170" s="39"/>
      <c r="J170" s="38" t="s">
        <v>4974</v>
      </c>
      <c r="K170" s="38" t="s">
        <v>4977</v>
      </c>
      <c r="L170" s="295" t="s">
        <v>5092</v>
      </c>
      <c r="M170" s="45">
        <v>190</v>
      </c>
      <c r="N170" s="350" t="s">
        <v>4622</v>
      </c>
      <c r="O170" s="295" t="s">
        <v>4617</v>
      </c>
      <c r="P170" s="38"/>
      <c r="Q170" s="38" t="s">
        <v>5255</v>
      </c>
      <c r="R170" s="38" t="s">
        <v>5246</v>
      </c>
      <c r="S170" s="38"/>
      <c r="T170" s="38"/>
      <c r="U170" s="345"/>
      <c r="V170" s="39"/>
      <c r="W170" s="39"/>
      <c r="X170" s="39"/>
      <c r="Y170" s="377"/>
    </row>
    <row r="171" spans="1:26" ht="346.5">
      <c r="B171" s="38" t="s">
        <v>305</v>
      </c>
      <c r="C171" s="55" t="s">
        <v>1122</v>
      </c>
      <c r="D171" s="295" t="s">
        <v>307</v>
      </c>
      <c r="E171" s="37" t="s">
        <v>309</v>
      </c>
      <c r="F171" s="38" t="s">
        <v>305</v>
      </c>
      <c r="G171" s="45">
        <v>66</v>
      </c>
      <c r="H171" s="295"/>
      <c r="I171" s="39"/>
      <c r="J171" s="38" t="s">
        <v>4974</v>
      </c>
      <c r="K171" s="38" t="s">
        <v>4977</v>
      </c>
      <c r="L171" s="295" t="s">
        <v>5093</v>
      </c>
      <c r="M171" s="45" t="s">
        <v>5094</v>
      </c>
      <c r="N171" s="350" t="s">
        <v>4621</v>
      </c>
      <c r="O171" s="295" t="s">
        <v>4619</v>
      </c>
      <c r="P171" s="38"/>
      <c r="Q171" s="38" t="s">
        <v>5255</v>
      </c>
      <c r="R171" s="38" t="s">
        <v>5240</v>
      </c>
      <c r="S171" s="38"/>
      <c r="T171" s="38"/>
      <c r="U171" s="345"/>
      <c r="V171" s="39"/>
      <c r="W171" s="39"/>
      <c r="X171" s="39"/>
      <c r="Y171" s="377"/>
    </row>
    <row r="172" spans="1:26" ht="214.5">
      <c r="B172" s="38" t="s">
        <v>310</v>
      </c>
      <c r="C172" s="55" t="s">
        <v>1123</v>
      </c>
      <c r="D172" s="295" t="s">
        <v>313</v>
      </c>
      <c r="E172" s="37" t="s">
        <v>312</v>
      </c>
      <c r="F172" s="38" t="s">
        <v>310</v>
      </c>
      <c r="G172" s="45" t="s">
        <v>311</v>
      </c>
      <c r="H172" s="295"/>
      <c r="I172" s="39"/>
      <c r="J172" s="38" t="s">
        <v>4974</v>
      </c>
      <c r="K172" s="38" t="s">
        <v>4977</v>
      </c>
      <c r="L172" s="295" t="s">
        <v>5095</v>
      </c>
      <c r="M172" s="45" t="s">
        <v>5096</v>
      </c>
      <c r="N172" s="350" t="s">
        <v>4620</v>
      </c>
      <c r="O172" s="295" t="s">
        <v>4619</v>
      </c>
      <c r="P172" s="38"/>
      <c r="Q172" s="38" t="s">
        <v>5255</v>
      </c>
      <c r="R172" s="38" t="s">
        <v>5240</v>
      </c>
      <c r="S172" s="38"/>
      <c r="T172" s="38"/>
      <c r="U172" s="345"/>
      <c r="V172" s="39"/>
      <c r="W172" s="39"/>
      <c r="X172" s="39"/>
      <c r="Y172" s="377"/>
    </row>
    <row r="173" spans="1:26" ht="313.5">
      <c r="B173" s="38" t="s">
        <v>314</v>
      </c>
      <c r="C173" s="55" t="s">
        <v>1124</v>
      </c>
      <c r="D173" s="295" t="s">
        <v>316</v>
      </c>
      <c r="E173" s="37" t="s">
        <v>315</v>
      </c>
      <c r="F173" s="38" t="s">
        <v>314</v>
      </c>
      <c r="G173" s="45">
        <v>67</v>
      </c>
      <c r="H173" s="295"/>
      <c r="I173" s="39"/>
      <c r="J173" s="38" t="s">
        <v>4973</v>
      </c>
      <c r="K173" s="38" t="s">
        <v>4977</v>
      </c>
      <c r="L173" s="295" t="s">
        <v>5097</v>
      </c>
      <c r="M173" s="45" t="s">
        <v>5098</v>
      </c>
      <c r="N173" s="350" t="s">
        <v>4618</v>
      </c>
      <c r="O173" s="295" t="s">
        <v>4617</v>
      </c>
      <c r="P173" s="38"/>
      <c r="Q173" s="38" t="s">
        <v>5255</v>
      </c>
      <c r="R173" s="38" t="s">
        <v>5240</v>
      </c>
      <c r="S173" s="38"/>
      <c r="T173" s="38"/>
      <c r="U173" s="345"/>
      <c r="V173" s="39"/>
      <c r="W173" s="39"/>
      <c r="X173" s="39"/>
      <c r="Y173" s="377"/>
    </row>
    <row r="174" spans="1:26" ht="115.5">
      <c r="B174" s="38" t="s">
        <v>317</v>
      </c>
      <c r="C174" s="55" t="s">
        <v>1125</v>
      </c>
      <c r="D174" s="295" t="s">
        <v>319</v>
      </c>
      <c r="E174" s="37" t="s">
        <v>318</v>
      </c>
      <c r="F174" s="38" t="s">
        <v>317</v>
      </c>
      <c r="G174" s="45">
        <v>68</v>
      </c>
      <c r="H174" s="295"/>
      <c r="I174" s="39"/>
      <c r="J174" s="38" t="s">
        <v>4974</v>
      </c>
      <c r="K174" s="38" t="s">
        <v>4977</v>
      </c>
      <c r="L174" s="295" t="s">
        <v>5097</v>
      </c>
      <c r="M174" s="45" t="s">
        <v>5099</v>
      </c>
      <c r="N174" s="349" t="s">
        <v>4616</v>
      </c>
      <c r="O174" s="295" t="s">
        <v>4615</v>
      </c>
      <c r="P174" s="38"/>
      <c r="Q174" s="38" t="s">
        <v>5255</v>
      </c>
      <c r="R174" s="38" t="s">
        <v>5236</v>
      </c>
      <c r="S174" s="38"/>
      <c r="T174" s="38"/>
      <c r="U174" s="345"/>
      <c r="V174" s="39"/>
      <c r="W174" s="39"/>
      <c r="X174" s="39"/>
      <c r="Y174" s="377"/>
    </row>
    <row r="175" spans="1:26" s="27" customFormat="1" ht="66">
      <c r="A175" s="51">
        <v>1</v>
      </c>
      <c r="B175" s="300" t="s">
        <v>4303</v>
      </c>
      <c r="C175" s="335" t="s">
        <v>873</v>
      </c>
      <c r="D175" s="343" t="s">
        <v>4586</v>
      </c>
      <c r="E175" s="302" t="s">
        <v>4304</v>
      </c>
      <c r="F175" s="337" t="s">
        <v>4303</v>
      </c>
      <c r="G175" s="337">
        <v>15</v>
      </c>
      <c r="H175" s="319"/>
      <c r="I175" s="318"/>
      <c r="J175" s="337" t="s">
        <v>4978</v>
      </c>
      <c r="K175" s="337" t="s">
        <v>466</v>
      </c>
      <c r="L175" s="338" t="s">
        <v>4305</v>
      </c>
      <c r="M175" s="340" t="s">
        <v>623</v>
      </c>
      <c r="N175" s="336" t="s">
        <v>4306</v>
      </c>
      <c r="O175" s="469" t="s">
        <v>5110</v>
      </c>
      <c r="P175" s="318"/>
      <c r="Q175" s="38" t="s">
        <v>5255</v>
      </c>
      <c r="R175" s="335" t="s">
        <v>4388</v>
      </c>
      <c r="S175" s="300" t="s">
        <v>4307</v>
      </c>
      <c r="T175" s="335" t="s">
        <v>4389</v>
      </c>
      <c r="U175" s="345" t="s">
        <v>5267</v>
      </c>
      <c r="V175" s="345"/>
      <c r="W175" s="346" t="s">
        <v>5257</v>
      </c>
      <c r="X175" s="318"/>
      <c r="Y175" s="318"/>
      <c r="Z175" s="319"/>
    </row>
    <row r="176" spans="1:26" s="23" customFormat="1" ht="66">
      <c r="A176" s="51">
        <v>2</v>
      </c>
      <c r="B176" s="300" t="s">
        <v>4303</v>
      </c>
      <c r="C176" s="335" t="s">
        <v>874</v>
      </c>
      <c r="D176" s="343" t="s">
        <v>4587</v>
      </c>
      <c r="E176" s="302" t="s">
        <v>4308</v>
      </c>
      <c r="F176" s="303" t="s">
        <v>4303</v>
      </c>
      <c r="G176" s="303">
        <v>15</v>
      </c>
      <c r="H176" s="299"/>
      <c r="I176" s="300"/>
      <c r="J176" s="337" t="s">
        <v>4978</v>
      </c>
      <c r="K176" s="303" t="s">
        <v>466</v>
      </c>
      <c r="L176" s="301" t="s">
        <v>4305</v>
      </c>
      <c r="M176" s="304" t="s">
        <v>623</v>
      </c>
      <c r="N176" s="336" t="s">
        <v>4309</v>
      </c>
      <c r="O176" s="346" t="s">
        <v>5111</v>
      </c>
      <c r="P176" s="300"/>
      <c r="Q176" s="38" t="s">
        <v>5255</v>
      </c>
      <c r="R176" s="335" t="s">
        <v>4388</v>
      </c>
      <c r="S176" s="300" t="s">
        <v>4307</v>
      </c>
      <c r="T176" s="335" t="s">
        <v>4390</v>
      </c>
      <c r="U176" s="345" t="s">
        <v>5267</v>
      </c>
      <c r="V176" s="346"/>
      <c r="W176" s="346" t="s">
        <v>5257</v>
      </c>
      <c r="X176" s="300"/>
      <c r="Y176" s="300"/>
      <c r="Z176" s="299"/>
    </row>
    <row r="177" spans="1:26" s="23" customFormat="1" ht="49.5">
      <c r="A177" s="51">
        <v>3</v>
      </c>
      <c r="B177" s="300" t="s">
        <v>4303</v>
      </c>
      <c r="C177" s="335" t="s">
        <v>875</v>
      </c>
      <c r="D177" s="343" t="s">
        <v>4588</v>
      </c>
      <c r="E177" s="302" t="s">
        <v>4310</v>
      </c>
      <c r="F177" s="303" t="s">
        <v>4303</v>
      </c>
      <c r="G177" s="303">
        <v>15</v>
      </c>
      <c r="H177" s="299"/>
      <c r="I177" s="300"/>
      <c r="J177" s="337" t="s">
        <v>4978</v>
      </c>
      <c r="K177" s="303" t="s">
        <v>466</v>
      </c>
      <c r="L177" s="301" t="s">
        <v>4305</v>
      </c>
      <c r="M177" s="304" t="s">
        <v>623</v>
      </c>
      <c r="N177" s="299" t="s">
        <v>550</v>
      </c>
      <c r="O177" s="346" t="s">
        <v>5112</v>
      </c>
      <c r="P177" s="300"/>
      <c r="Q177" s="38" t="s">
        <v>5255</v>
      </c>
      <c r="R177" s="335" t="s">
        <v>4388</v>
      </c>
      <c r="S177" s="300" t="s">
        <v>4307</v>
      </c>
      <c r="T177" s="335" t="s">
        <v>4391</v>
      </c>
      <c r="U177" s="345" t="s">
        <v>5267</v>
      </c>
      <c r="V177" s="346"/>
      <c r="W177" s="346" t="s">
        <v>5257</v>
      </c>
      <c r="X177" s="300"/>
      <c r="Y177" s="300"/>
      <c r="Z177" s="299"/>
    </row>
    <row r="178" spans="1:26" s="23" customFormat="1" ht="33">
      <c r="A178" s="51">
        <v>4</v>
      </c>
      <c r="B178" s="300" t="s">
        <v>4303</v>
      </c>
      <c r="C178" s="335" t="s">
        <v>876</v>
      </c>
      <c r="D178" s="344" t="s">
        <v>4589</v>
      </c>
      <c r="E178" s="305" t="s">
        <v>4311</v>
      </c>
      <c r="F178" s="300" t="s">
        <v>4303</v>
      </c>
      <c r="G178" s="303">
        <v>15</v>
      </c>
      <c r="H178" s="299"/>
      <c r="I178" s="300"/>
      <c r="J178" s="337" t="s">
        <v>4978</v>
      </c>
      <c r="K178" s="300" t="s">
        <v>466</v>
      </c>
      <c r="L178" s="299" t="s">
        <v>4305</v>
      </c>
      <c r="M178" s="306" t="s">
        <v>623</v>
      </c>
      <c r="N178" s="299" t="s">
        <v>551</v>
      </c>
      <c r="O178" s="346" t="s">
        <v>5113</v>
      </c>
      <c r="P178" s="300"/>
      <c r="Q178" s="38" t="s">
        <v>5255</v>
      </c>
      <c r="R178" s="335" t="s">
        <v>4392</v>
      </c>
      <c r="S178" s="335" t="s">
        <v>4307</v>
      </c>
      <c r="T178" s="335" t="s">
        <v>4393</v>
      </c>
      <c r="U178" s="345" t="s">
        <v>5267</v>
      </c>
      <c r="V178" s="346"/>
      <c r="W178" s="346" t="s">
        <v>5257</v>
      </c>
      <c r="X178" s="300"/>
      <c r="Y178" s="300"/>
      <c r="Z178" s="299"/>
    </row>
    <row r="179" spans="1:26" s="23" customFormat="1" ht="49.5">
      <c r="A179" s="51">
        <v>5</v>
      </c>
      <c r="B179" s="300" t="s">
        <v>4303</v>
      </c>
      <c r="C179" s="335" t="s">
        <v>877</v>
      </c>
      <c r="D179" s="301" t="s">
        <v>529</v>
      </c>
      <c r="E179" s="302" t="s">
        <v>4312</v>
      </c>
      <c r="F179" s="303" t="s">
        <v>4303</v>
      </c>
      <c r="G179" s="303">
        <v>15</v>
      </c>
      <c r="H179" s="299"/>
      <c r="I179" s="300"/>
      <c r="J179" s="337" t="s">
        <v>4978</v>
      </c>
      <c r="K179" s="303" t="s">
        <v>466</v>
      </c>
      <c r="L179" s="301" t="s">
        <v>4305</v>
      </c>
      <c r="M179" s="304" t="s">
        <v>623</v>
      </c>
      <c r="N179" s="336" t="s">
        <v>4313</v>
      </c>
      <c r="O179" s="346" t="s">
        <v>5114</v>
      </c>
      <c r="P179" s="300"/>
      <c r="Q179" s="38" t="s">
        <v>5255</v>
      </c>
      <c r="R179" s="335" t="s">
        <v>4388</v>
      </c>
      <c r="S179" s="300" t="s">
        <v>4307</v>
      </c>
      <c r="T179" s="335" t="s">
        <v>4389</v>
      </c>
      <c r="U179" s="345" t="s">
        <v>5267</v>
      </c>
      <c r="V179" s="346"/>
      <c r="W179" s="346" t="s">
        <v>5257</v>
      </c>
      <c r="X179" s="300"/>
      <c r="Y179" s="300"/>
      <c r="Z179" s="299"/>
    </row>
    <row r="180" spans="1:26" s="23" customFormat="1" ht="49.5">
      <c r="A180" s="51">
        <v>6</v>
      </c>
      <c r="B180" s="300" t="s">
        <v>4303</v>
      </c>
      <c r="C180" s="335" t="s">
        <v>878</v>
      </c>
      <c r="D180" s="344" t="s">
        <v>4590</v>
      </c>
      <c r="E180" s="336" t="s">
        <v>4314</v>
      </c>
      <c r="F180" s="300" t="s">
        <v>4303</v>
      </c>
      <c r="G180" s="303">
        <v>15</v>
      </c>
      <c r="H180" s="299"/>
      <c r="I180" s="300"/>
      <c r="J180" s="337" t="s">
        <v>4978</v>
      </c>
      <c r="K180" s="300" t="s">
        <v>466</v>
      </c>
      <c r="L180" s="299" t="s">
        <v>4305</v>
      </c>
      <c r="M180" s="306" t="s">
        <v>623</v>
      </c>
      <c r="N180" s="37" t="s">
        <v>4315</v>
      </c>
      <c r="O180" s="346" t="s">
        <v>5115</v>
      </c>
      <c r="P180" s="300"/>
      <c r="Q180" s="38" t="s">
        <v>5255</v>
      </c>
      <c r="R180" s="335" t="s">
        <v>4392</v>
      </c>
      <c r="S180" s="335" t="s">
        <v>4307</v>
      </c>
      <c r="T180" s="335" t="s">
        <v>4393</v>
      </c>
      <c r="U180" s="345" t="s">
        <v>5267</v>
      </c>
      <c r="V180" s="346"/>
      <c r="W180" s="346" t="s">
        <v>5257</v>
      </c>
      <c r="X180" s="300"/>
      <c r="Y180" s="300"/>
      <c r="Z180" s="299"/>
    </row>
    <row r="181" spans="1:26" s="23" customFormat="1" ht="33">
      <c r="A181" s="51">
        <v>7</v>
      </c>
      <c r="B181" s="300" t="s">
        <v>4303</v>
      </c>
      <c r="C181" s="335" t="s">
        <v>879</v>
      </c>
      <c r="D181" s="299" t="s">
        <v>530</v>
      </c>
      <c r="E181" s="336" t="s">
        <v>4316</v>
      </c>
      <c r="F181" s="300" t="s">
        <v>4303</v>
      </c>
      <c r="G181" s="303">
        <v>15</v>
      </c>
      <c r="H181" s="299"/>
      <c r="I181" s="300"/>
      <c r="J181" s="337" t="s">
        <v>4978</v>
      </c>
      <c r="K181" s="300" t="s">
        <v>466</v>
      </c>
      <c r="L181" s="299" t="s">
        <v>4305</v>
      </c>
      <c r="M181" s="306" t="s">
        <v>623</v>
      </c>
      <c r="N181" s="37" t="s">
        <v>4317</v>
      </c>
      <c r="O181" s="346" t="s">
        <v>5111</v>
      </c>
      <c r="P181" s="300"/>
      <c r="Q181" s="38" t="s">
        <v>5255</v>
      </c>
      <c r="R181" s="335" t="s">
        <v>4392</v>
      </c>
      <c r="S181" s="335" t="s">
        <v>4307</v>
      </c>
      <c r="T181" s="335" t="s">
        <v>4393</v>
      </c>
      <c r="U181" s="345" t="s">
        <v>5267</v>
      </c>
      <c r="V181" s="346"/>
      <c r="W181" s="346" t="s">
        <v>5257</v>
      </c>
      <c r="X181" s="300"/>
      <c r="Y181" s="300"/>
      <c r="Z181" s="299"/>
    </row>
    <row r="182" spans="1:26" s="23" customFormat="1" ht="82.5">
      <c r="A182" s="51">
        <v>8</v>
      </c>
      <c r="B182" s="300" t="s">
        <v>4303</v>
      </c>
      <c r="C182" s="335" t="s">
        <v>880</v>
      </c>
      <c r="D182" s="344" t="s">
        <v>4591</v>
      </c>
      <c r="E182" s="305" t="s">
        <v>4318</v>
      </c>
      <c r="F182" s="300" t="s">
        <v>4303</v>
      </c>
      <c r="G182" s="300">
        <v>15</v>
      </c>
      <c r="H182" s="299"/>
      <c r="I182" s="300"/>
      <c r="J182" s="337" t="s">
        <v>4978</v>
      </c>
      <c r="K182" s="303" t="s">
        <v>466</v>
      </c>
      <c r="L182" s="299" t="s">
        <v>4305</v>
      </c>
      <c r="M182" s="306" t="s">
        <v>623</v>
      </c>
      <c r="N182" s="37" t="s">
        <v>4319</v>
      </c>
      <c r="O182" s="346" t="s">
        <v>5111</v>
      </c>
      <c r="P182" s="300"/>
      <c r="Q182" s="38" t="s">
        <v>5255</v>
      </c>
      <c r="R182" s="335" t="s">
        <v>4388</v>
      </c>
      <c r="S182" s="335" t="s">
        <v>4307</v>
      </c>
      <c r="T182" s="335" t="s">
        <v>4389</v>
      </c>
      <c r="U182" s="345" t="s">
        <v>5267</v>
      </c>
      <c r="V182" s="346"/>
      <c r="W182" s="346" t="s">
        <v>5257</v>
      </c>
      <c r="X182" s="300"/>
      <c r="Y182" s="300"/>
      <c r="Z182" s="299"/>
    </row>
    <row r="183" spans="1:26" s="23" customFormat="1" ht="49.5">
      <c r="A183" s="51">
        <v>9</v>
      </c>
      <c r="B183" s="300" t="s">
        <v>4303</v>
      </c>
      <c r="C183" s="335" t="s">
        <v>881</v>
      </c>
      <c r="D183" s="344" t="s">
        <v>4592</v>
      </c>
      <c r="E183" s="305" t="s">
        <v>4320</v>
      </c>
      <c r="F183" s="300" t="s">
        <v>4303</v>
      </c>
      <c r="G183" s="300">
        <v>15</v>
      </c>
      <c r="H183" s="299"/>
      <c r="I183" s="300"/>
      <c r="J183" s="337" t="s">
        <v>4978</v>
      </c>
      <c r="K183" s="303" t="s">
        <v>466</v>
      </c>
      <c r="L183" s="299" t="s">
        <v>4305</v>
      </c>
      <c r="M183" s="306" t="s">
        <v>623</v>
      </c>
      <c r="N183" s="37" t="s">
        <v>4321</v>
      </c>
      <c r="O183" s="346" t="s">
        <v>5116</v>
      </c>
      <c r="P183" s="300"/>
      <c r="Q183" s="38" t="s">
        <v>5255</v>
      </c>
      <c r="R183" s="335" t="s">
        <v>4388</v>
      </c>
      <c r="S183" s="335" t="s">
        <v>23</v>
      </c>
      <c r="T183" s="335" t="s">
        <v>4389</v>
      </c>
      <c r="U183" s="345" t="s">
        <v>5267</v>
      </c>
      <c r="V183" s="346"/>
      <c r="W183" s="346" t="s">
        <v>5257</v>
      </c>
      <c r="X183" s="300"/>
      <c r="Y183" s="300"/>
      <c r="Z183" s="299"/>
    </row>
    <row r="184" spans="1:26" s="23" customFormat="1" ht="49.5">
      <c r="A184" s="51">
        <v>10</v>
      </c>
      <c r="B184" s="300" t="s">
        <v>4303</v>
      </c>
      <c r="C184" s="335" t="s">
        <v>882</v>
      </c>
      <c r="D184" s="344" t="s">
        <v>4593</v>
      </c>
      <c r="E184" s="305" t="s">
        <v>4322</v>
      </c>
      <c r="F184" s="300" t="s">
        <v>4303</v>
      </c>
      <c r="G184" s="300">
        <v>15</v>
      </c>
      <c r="H184" s="299"/>
      <c r="I184" s="300"/>
      <c r="J184" s="337" t="s">
        <v>4978</v>
      </c>
      <c r="K184" s="303" t="s">
        <v>466</v>
      </c>
      <c r="L184" s="299" t="s">
        <v>4305</v>
      </c>
      <c r="M184" s="306" t="s">
        <v>623</v>
      </c>
      <c r="N184" s="37" t="s">
        <v>4323</v>
      </c>
      <c r="O184" s="346" t="s">
        <v>5111</v>
      </c>
      <c r="P184" s="300"/>
      <c r="Q184" s="38" t="s">
        <v>5255</v>
      </c>
      <c r="R184" s="335" t="s">
        <v>4388</v>
      </c>
      <c r="S184" s="335" t="s">
        <v>4324</v>
      </c>
      <c r="T184" s="335" t="s">
        <v>4389</v>
      </c>
      <c r="U184" s="345" t="s">
        <v>5267</v>
      </c>
      <c r="V184" s="346"/>
      <c r="W184" s="346" t="s">
        <v>5257</v>
      </c>
      <c r="X184" s="300"/>
      <c r="Y184" s="300"/>
      <c r="Z184" s="299"/>
    </row>
    <row r="185" spans="1:26" s="23" customFormat="1" ht="49.5">
      <c r="A185" s="51"/>
      <c r="B185" s="300" t="s">
        <v>4303</v>
      </c>
      <c r="C185" s="335" t="s">
        <v>883</v>
      </c>
      <c r="D185" s="357" t="s">
        <v>4325</v>
      </c>
      <c r="E185" s="357" t="s">
        <v>4325</v>
      </c>
      <c r="F185" s="300"/>
      <c r="G185" s="300"/>
      <c r="H185" s="358" t="s">
        <v>4326</v>
      </c>
      <c r="I185" s="359" t="s">
        <v>4327</v>
      </c>
      <c r="J185" s="364"/>
      <c r="K185" s="364"/>
      <c r="L185" s="301"/>
      <c r="M185" s="303"/>
      <c r="N185" s="299"/>
      <c r="O185" s="363"/>
      <c r="P185" s="303"/>
      <c r="Q185" s="38" t="s">
        <v>5255</v>
      </c>
      <c r="R185" s="303"/>
      <c r="S185" s="303"/>
      <c r="T185" s="339"/>
      <c r="U185" s="345" t="s">
        <v>5267</v>
      </c>
      <c r="V185" s="339"/>
      <c r="W185" s="346" t="s">
        <v>5257</v>
      </c>
      <c r="X185" s="300"/>
      <c r="Y185" s="300"/>
      <c r="Z185" s="299"/>
    </row>
    <row r="186" spans="1:26" s="23" customFormat="1" ht="82.5">
      <c r="A186" s="51">
        <v>11</v>
      </c>
      <c r="B186" s="38" t="s">
        <v>422</v>
      </c>
      <c r="C186" s="298" t="s">
        <v>884</v>
      </c>
      <c r="D186" s="295" t="s">
        <v>4328</v>
      </c>
      <c r="E186" s="37" t="s">
        <v>4329</v>
      </c>
      <c r="F186" s="38" t="s">
        <v>422</v>
      </c>
      <c r="G186" s="296" t="s">
        <v>4330</v>
      </c>
      <c r="H186" s="295"/>
      <c r="I186" s="38"/>
      <c r="J186" s="38" t="s">
        <v>4979</v>
      </c>
      <c r="K186" s="38" t="s">
        <v>4331</v>
      </c>
      <c r="L186" s="297" t="s">
        <v>4332</v>
      </c>
      <c r="M186" s="32" t="s">
        <v>624</v>
      </c>
      <c r="N186" s="37" t="s">
        <v>4333</v>
      </c>
      <c r="O186" s="332" t="s">
        <v>5111</v>
      </c>
      <c r="P186" s="38"/>
      <c r="Q186" s="38" t="s">
        <v>5255</v>
      </c>
      <c r="R186" s="335" t="s">
        <v>4388</v>
      </c>
      <c r="S186" s="38" t="s">
        <v>4307</v>
      </c>
      <c r="T186" s="335" t="s">
        <v>4389</v>
      </c>
      <c r="U186" s="345" t="s">
        <v>5267</v>
      </c>
      <c r="V186" s="346"/>
      <c r="W186" s="346" t="s">
        <v>5257</v>
      </c>
      <c r="X186" s="38"/>
      <c r="Y186" s="38"/>
      <c r="Z186" s="39"/>
    </row>
    <row r="187" spans="1:26" s="23" customFormat="1" ht="66">
      <c r="A187" s="51">
        <v>12</v>
      </c>
      <c r="B187" s="38" t="s">
        <v>422</v>
      </c>
      <c r="C187" s="298" t="s">
        <v>885</v>
      </c>
      <c r="D187" s="295" t="s">
        <v>4594</v>
      </c>
      <c r="E187" s="37" t="s">
        <v>4334</v>
      </c>
      <c r="F187" s="38" t="s">
        <v>422</v>
      </c>
      <c r="G187" s="296" t="s">
        <v>4330</v>
      </c>
      <c r="H187" s="295"/>
      <c r="I187" s="38"/>
      <c r="J187" s="38" t="s">
        <v>4979</v>
      </c>
      <c r="K187" s="38" t="s">
        <v>4331</v>
      </c>
      <c r="L187" s="297" t="s">
        <v>4332</v>
      </c>
      <c r="M187" s="32" t="s">
        <v>624</v>
      </c>
      <c r="N187" s="37" t="s">
        <v>4335</v>
      </c>
      <c r="O187" s="332" t="s">
        <v>5117</v>
      </c>
      <c r="P187" s="38"/>
      <c r="Q187" s="38" t="s">
        <v>5255</v>
      </c>
      <c r="R187" s="335" t="s">
        <v>4388</v>
      </c>
      <c r="S187" s="38" t="s">
        <v>4307</v>
      </c>
      <c r="T187" s="335" t="s">
        <v>4389</v>
      </c>
      <c r="U187" s="345" t="s">
        <v>5267</v>
      </c>
      <c r="V187" s="346"/>
      <c r="W187" s="346" t="s">
        <v>5257</v>
      </c>
      <c r="X187" s="38"/>
      <c r="Y187" s="38"/>
      <c r="Z187" s="39"/>
    </row>
    <row r="188" spans="1:26" s="23" customFormat="1" ht="66">
      <c r="A188" s="51"/>
      <c r="B188" s="38" t="s">
        <v>544</v>
      </c>
      <c r="C188" s="298" t="s">
        <v>893</v>
      </c>
      <c r="D188" s="295" t="s">
        <v>4357</v>
      </c>
      <c r="E188" s="295" t="s">
        <v>4357</v>
      </c>
      <c r="F188" s="38"/>
      <c r="G188" s="296"/>
      <c r="H188" s="295" t="s">
        <v>4358</v>
      </c>
      <c r="I188" s="38" t="s">
        <v>4359</v>
      </c>
      <c r="J188" s="78" t="s">
        <v>4339</v>
      </c>
      <c r="K188" s="78"/>
      <c r="L188" s="39"/>
      <c r="M188" s="38"/>
      <c r="N188" s="295" t="s">
        <v>4357</v>
      </c>
      <c r="O188" s="39" t="s">
        <v>5261</v>
      </c>
      <c r="P188" s="37" t="s">
        <v>5260</v>
      </c>
      <c r="Q188" s="38" t="s">
        <v>4543</v>
      </c>
      <c r="R188" s="335" t="s">
        <v>4388</v>
      </c>
      <c r="S188" s="38" t="s">
        <v>4307</v>
      </c>
      <c r="T188" s="335" t="s">
        <v>4389</v>
      </c>
      <c r="U188" s="345" t="s">
        <v>5267</v>
      </c>
      <c r="V188" s="346"/>
      <c r="W188" s="346" t="s">
        <v>5257</v>
      </c>
      <c r="X188" s="346"/>
      <c r="Y188" s="346"/>
      <c r="Z188" s="346"/>
    </row>
    <row r="189" spans="1:26" s="23" customFormat="1" ht="66">
      <c r="A189" s="51"/>
      <c r="B189" s="38" t="s">
        <v>544</v>
      </c>
      <c r="C189" s="298" t="s">
        <v>894</v>
      </c>
      <c r="D189" s="295" t="s">
        <v>4360</v>
      </c>
      <c r="E189" s="295" t="s">
        <v>5262</v>
      </c>
      <c r="F189" s="38"/>
      <c r="G189" s="296"/>
      <c r="H189" s="295" t="s">
        <v>4358</v>
      </c>
      <c r="I189" s="38" t="s">
        <v>4359</v>
      </c>
      <c r="J189" s="78" t="s">
        <v>4339</v>
      </c>
      <c r="K189" s="78" t="s">
        <v>5265</v>
      </c>
      <c r="L189" s="39"/>
      <c r="M189" s="38"/>
      <c r="N189" s="295" t="s">
        <v>5266</v>
      </c>
      <c r="O189" s="59" t="s">
        <v>5259</v>
      </c>
      <c r="P189" s="37"/>
      <c r="Q189" s="38" t="s">
        <v>4543</v>
      </c>
      <c r="R189" s="335" t="s">
        <v>4388</v>
      </c>
      <c r="S189" s="38" t="s">
        <v>4307</v>
      </c>
      <c r="T189" s="335" t="s">
        <v>4389</v>
      </c>
      <c r="U189" s="345" t="s">
        <v>5267</v>
      </c>
      <c r="V189" s="346"/>
      <c r="W189" s="346" t="s">
        <v>5257</v>
      </c>
      <c r="X189" s="346"/>
      <c r="Y189" s="346"/>
      <c r="Z189" s="346"/>
    </row>
    <row r="190" spans="1:26" s="23" customFormat="1" ht="49.5">
      <c r="A190" s="51">
        <v>13</v>
      </c>
      <c r="B190" s="38" t="s">
        <v>424</v>
      </c>
      <c r="C190" s="298" t="s">
        <v>913</v>
      </c>
      <c r="D190" s="295" t="s">
        <v>4419</v>
      </c>
      <c r="E190" s="37" t="s">
        <v>540</v>
      </c>
      <c r="F190" s="38" t="s">
        <v>424</v>
      </c>
      <c r="G190" s="296">
        <v>16</v>
      </c>
      <c r="H190" s="296"/>
      <c r="I190" s="38"/>
      <c r="J190" s="38" t="s">
        <v>4979</v>
      </c>
      <c r="K190" s="38">
        <v>11</v>
      </c>
      <c r="L190" s="317" t="s">
        <v>5100</v>
      </c>
      <c r="M190" s="32">
        <v>58</v>
      </c>
      <c r="N190" s="37" t="s">
        <v>556</v>
      </c>
      <c r="O190" s="37" t="s">
        <v>540</v>
      </c>
      <c r="P190" s="38"/>
      <c r="Q190" s="38" t="s">
        <v>5255</v>
      </c>
      <c r="R190" s="38" t="s">
        <v>4422</v>
      </c>
      <c r="S190" s="346"/>
      <c r="T190" s="38"/>
      <c r="U190" s="345" t="s">
        <v>5267</v>
      </c>
      <c r="V190" s="38"/>
      <c r="W190" s="346" t="s">
        <v>5257</v>
      </c>
      <c r="X190" s="39"/>
      <c r="Y190" s="39"/>
      <c r="Z190" s="39"/>
    </row>
    <row r="191" spans="1:26" s="23" customFormat="1" ht="49.5">
      <c r="A191" s="51">
        <v>14</v>
      </c>
      <c r="B191" s="38" t="s">
        <v>424</v>
      </c>
      <c r="C191" s="298" t="s">
        <v>914</v>
      </c>
      <c r="D191" s="295" t="s">
        <v>4420</v>
      </c>
      <c r="E191" s="37" t="s">
        <v>541</v>
      </c>
      <c r="F191" s="38" t="s">
        <v>424</v>
      </c>
      <c r="G191" s="296">
        <v>16</v>
      </c>
      <c r="H191" s="296"/>
      <c r="I191" s="38"/>
      <c r="J191" s="38" t="s">
        <v>4979</v>
      </c>
      <c r="K191" s="38">
        <v>11</v>
      </c>
      <c r="L191" s="317" t="s">
        <v>5100</v>
      </c>
      <c r="M191" s="32">
        <v>58</v>
      </c>
      <c r="N191" s="37" t="s">
        <v>557</v>
      </c>
      <c r="O191" s="37" t="s">
        <v>541</v>
      </c>
      <c r="P191" s="38"/>
      <c r="Q191" s="38" t="s">
        <v>5255</v>
      </c>
      <c r="R191" s="38" t="s">
        <v>4422</v>
      </c>
      <c r="S191" s="346"/>
      <c r="T191" s="38"/>
      <c r="U191" s="345" t="s">
        <v>5267</v>
      </c>
      <c r="V191" s="38"/>
      <c r="W191" s="346" t="s">
        <v>5257</v>
      </c>
      <c r="X191" s="39"/>
      <c r="Y191" s="39"/>
      <c r="Z191" s="39"/>
    </row>
    <row r="192" spans="1:26" s="23" customFormat="1" ht="49.5">
      <c r="A192" s="51">
        <v>15</v>
      </c>
      <c r="B192" s="38" t="s">
        <v>424</v>
      </c>
      <c r="C192" s="298" t="s">
        <v>915</v>
      </c>
      <c r="D192" s="295" t="s">
        <v>4421</v>
      </c>
      <c r="E192" s="37" t="s">
        <v>542</v>
      </c>
      <c r="F192" s="38" t="s">
        <v>424</v>
      </c>
      <c r="G192" s="296">
        <v>16</v>
      </c>
      <c r="H192" s="296"/>
      <c r="I192" s="38"/>
      <c r="J192" s="38" t="s">
        <v>4979</v>
      </c>
      <c r="K192" s="38">
        <v>11</v>
      </c>
      <c r="L192" s="317" t="s">
        <v>446</v>
      </c>
      <c r="M192" s="32">
        <v>58</v>
      </c>
      <c r="N192" s="37" t="s">
        <v>558</v>
      </c>
      <c r="O192" s="37" t="s">
        <v>542</v>
      </c>
      <c r="P192" s="38"/>
      <c r="Q192" s="38" t="s">
        <v>5255</v>
      </c>
      <c r="R192" s="38" t="s">
        <v>4422</v>
      </c>
      <c r="S192" s="346"/>
      <c r="T192" s="38"/>
      <c r="U192" s="345" t="s">
        <v>5267</v>
      </c>
      <c r="V192" s="38"/>
      <c r="W192" s="346" t="s">
        <v>5257</v>
      </c>
      <c r="X192" s="39"/>
      <c r="Y192" s="39"/>
      <c r="Z192" s="39"/>
    </row>
    <row r="193" spans="1:26" s="23" customFormat="1" ht="66">
      <c r="A193" s="51">
        <v>47</v>
      </c>
      <c r="B193" s="91" t="s">
        <v>546</v>
      </c>
      <c r="C193" s="70" t="s">
        <v>5268</v>
      </c>
      <c r="D193" s="71" t="s">
        <v>635</v>
      </c>
      <c r="E193" s="71" t="s">
        <v>635</v>
      </c>
      <c r="F193" s="78"/>
      <c r="G193" s="84"/>
      <c r="H193" s="84" t="s">
        <v>4584</v>
      </c>
      <c r="I193" s="78" t="s">
        <v>4585</v>
      </c>
      <c r="J193" s="78"/>
      <c r="K193" s="84"/>
      <c r="L193" s="78"/>
      <c r="M193" s="78"/>
      <c r="N193" s="71" t="s">
        <v>635</v>
      </c>
      <c r="O193" s="434"/>
      <c r="P193" s="470"/>
      <c r="Q193" s="38" t="s">
        <v>841</v>
      </c>
      <c r="R193" s="471" t="s">
        <v>5343</v>
      </c>
      <c r="S193" s="471"/>
      <c r="T193" s="471"/>
      <c r="U193" s="345" t="s">
        <v>5267</v>
      </c>
      <c r="V193" s="346"/>
      <c r="W193" s="346" t="s">
        <v>5257</v>
      </c>
      <c r="X193" s="39"/>
      <c r="Y193" s="39"/>
      <c r="Z193" s="39"/>
    </row>
    <row r="194" spans="1:26" ht="66">
      <c r="A194" s="51">
        <v>48</v>
      </c>
      <c r="B194" s="91" t="s">
        <v>546</v>
      </c>
      <c r="C194" s="91" t="s">
        <v>5269</v>
      </c>
      <c r="D194" s="92" t="s">
        <v>639</v>
      </c>
      <c r="E194" s="92" t="s">
        <v>639</v>
      </c>
      <c r="F194" s="107"/>
      <c r="G194" s="107"/>
      <c r="H194" s="91" t="s">
        <v>636</v>
      </c>
      <c r="I194" s="107" t="s">
        <v>4585</v>
      </c>
      <c r="J194" s="78"/>
      <c r="K194" s="107"/>
      <c r="L194" s="107"/>
      <c r="M194" s="107"/>
      <c r="N194" s="92" t="s">
        <v>639</v>
      </c>
      <c r="O194" s="107"/>
      <c r="P194" s="92"/>
      <c r="Q194" s="38" t="s">
        <v>841</v>
      </c>
      <c r="R194" s="471" t="s">
        <v>5343</v>
      </c>
      <c r="S194" s="56"/>
      <c r="T194" s="331"/>
      <c r="U194" s="345" t="s">
        <v>5267</v>
      </c>
      <c r="V194" s="346"/>
      <c r="W194" s="346" t="s">
        <v>5257</v>
      </c>
      <c r="X194" s="39"/>
      <c r="Y194" s="39"/>
      <c r="Z194" s="39"/>
    </row>
    <row r="195" spans="1:26" ht="66">
      <c r="B195" s="315" t="s">
        <v>444</v>
      </c>
      <c r="C195" s="95" t="s">
        <v>5413</v>
      </c>
      <c r="D195" s="442" t="s">
        <v>5414</v>
      </c>
      <c r="E195" s="443" t="s">
        <v>5410</v>
      </c>
      <c r="F195" s="437" t="s">
        <v>444</v>
      </c>
      <c r="G195" s="97">
        <v>26</v>
      </c>
      <c r="H195" s="97"/>
      <c r="I195" s="308"/>
      <c r="J195" s="444" t="s">
        <v>5417</v>
      </c>
      <c r="K195" s="315">
        <v>76</v>
      </c>
      <c r="L195" s="445" t="s">
        <v>5416</v>
      </c>
      <c r="M195" s="99">
        <v>119</v>
      </c>
      <c r="N195" s="446" t="s">
        <v>6742</v>
      </c>
      <c r="O195" s="446" t="s">
        <v>6743</v>
      </c>
      <c r="P195" s="447"/>
      <c r="Q195" s="101" t="s">
        <v>4543</v>
      </c>
      <c r="R195" s="95" t="s">
        <v>6741</v>
      </c>
      <c r="S195" s="61"/>
      <c r="T195" s="448"/>
      <c r="U195" s="449" t="s">
        <v>6736</v>
      </c>
      <c r="V195" s="450"/>
      <c r="W195" s="451" t="s">
        <v>6737</v>
      </c>
      <c r="X195" s="452" t="s">
        <v>6738</v>
      </c>
      <c r="Y195" s="448"/>
      <c r="Z195" s="436"/>
    </row>
    <row r="196" spans="1:26" ht="121.5">
      <c r="B196" s="95" t="s">
        <v>445</v>
      </c>
      <c r="C196" s="96" t="s">
        <v>4500</v>
      </c>
      <c r="D196" s="100" t="s">
        <v>5774</v>
      </c>
      <c r="E196" s="307" t="s">
        <v>6739</v>
      </c>
      <c r="F196" s="437" t="s">
        <v>445</v>
      </c>
      <c r="G196" s="453">
        <v>35</v>
      </c>
      <c r="H196" s="454"/>
      <c r="I196" s="455"/>
      <c r="J196" s="455" t="s">
        <v>5767</v>
      </c>
      <c r="K196" s="308">
        <v>77</v>
      </c>
      <c r="L196" s="456" t="s">
        <v>5768</v>
      </c>
      <c r="M196" s="454">
        <v>120</v>
      </c>
      <c r="N196" s="446" t="s">
        <v>6735</v>
      </c>
      <c r="O196" s="446" t="s">
        <v>6740</v>
      </c>
      <c r="P196" s="446"/>
      <c r="Q196" s="101" t="s">
        <v>4543</v>
      </c>
      <c r="R196" s="95" t="s">
        <v>6741</v>
      </c>
      <c r="S196" s="61"/>
      <c r="T196" s="448"/>
      <c r="U196" s="449" t="s">
        <v>6736</v>
      </c>
      <c r="V196" s="450" t="s">
        <v>6735</v>
      </c>
      <c r="W196" s="450" t="s">
        <v>4501</v>
      </c>
      <c r="X196" s="448"/>
      <c r="Y196" s="448"/>
      <c r="Z196" s="436"/>
    </row>
    <row r="197" spans="1:26" ht="165">
      <c r="B197" s="437" t="s">
        <v>445</v>
      </c>
      <c r="C197" s="309" t="s">
        <v>4502</v>
      </c>
      <c r="D197" s="457" t="s">
        <v>5776</v>
      </c>
      <c r="E197" s="307" t="s">
        <v>5777</v>
      </c>
      <c r="F197" s="437" t="s">
        <v>445</v>
      </c>
      <c r="G197" s="453">
        <v>35</v>
      </c>
      <c r="H197" s="454"/>
      <c r="I197" s="455"/>
      <c r="J197" s="455" t="s">
        <v>5767</v>
      </c>
      <c r="K197" s="308">
        <v>77</v>
      </c>
      <c r="L197" s="456" t="s">
        <v>5768</v>
      </c>
      <c r="M197" s="454">
        <v>120</v>
      </c>
      <c r="N197" s="391" t="s">
        <v>5778</v>
      </c>
      <c r="O197" s="404" t="s">
        <v>6745</v>
      </c>
      <c r="P197" s="448"/>
      <c r="Q197" s="101" t="s">
        <v>4543</v>
      </c>
      <c r="R197" s="95" t="s">
        <v>6741</v>
      </c>
      <c r="S197" s="61"/>
      <c r="T197" s="448"/>
      <c r="U197" s="458" t="s">
        <v>6746</v>
      </c>
      <c r="V197" s="459"/>
      <c r="W197" s="392" t="s">
        <v>6744</v>
      </c>
      <c r="X197" s="460" t="s">
        <v>6747</v>
      </c>
      <c r="Y197" s="448"/>
      <c r="Z197" s="436"/>
    </row>
    <row r="198" spans="1:26" s="23" customFormat="1" ht="87.75" customHeight="1">
      <c r="A198" s="51"/>
      <c r="B198" s="308" t="s">
        <v>444</v>
      </c>
      <c r="C198" s="309" t="s">
        <v>5411</v>
      </c>
      <c r="D198" s="461" t="s">
        <v>5421</v>
      </c>
      <c r="E198" s="462" t="s">
        <v>5422</v>
      </c>
      <c r="F198" s="308" t="s">
        <v>444</v>
      </c>
      <c r="G198" s="311">
        <v>26</v>
      </c>
      <c r="H198" s="311"/>
      <c r="I198" s="308"/>
      <c r="J198" s="455"/>
      <c r="K198" s="455"/>
      <c r="L198" s="455" t="s">
        <v>5417</v>
      </c>
      <c r="M198" s="308">
        <v>76</v>
      </c>
      <c r="N198" s="463" t="s">
        <v>5416</v>
      </c>
      <c r="O198" s="314">
        <v>119</v>
      </c>
      <c r="P198" s="307"/>
      <c r="Q198" s="308" t="s">
        <v>4543</v>
      </c>
      <c r="R198" s="308"/>
      <c r="S198" s="308"/>
      <c r="T198" s="464"/>
      <c r="U198" s="465"/>
      <c r="V198" s="466"/>
      <c r="W198" s="467" t="s">
        <v>5257</v>
      </c>
      <c r="X198" s="467"/>
      <c r="Y198" s="468"/>
    </row>
    <row r="199" spans="1:26" s="23" customFormat="1" ht="99">
      <c r="A199" s="51">
        <v>52</v>
      </c>
      <c r="B199" s="308" t="s">
        <v>444</v>
      </c>
      <c r="C199" s="309" t="s">
        <v>5412</v>
      </c>
      <c r="D199" s="461" t="s">
        <v>5406</v>
      </c>
      <c r="E199" s="461" t="s">
        <v>649</v>
      </c>
      <c r="F199" s="308"/>
      <c r="G199" s="311"/>
      <c r="H199" s="311" t="s">
        <v>636</v>
      </c>
      <c r="I199" s="308" t="s">
        <v>643</v>
      </c>
      <c r="J199" s="455"/>
      <c r="K199" s="455"/>
      <c r="L199" s="455"/>
      <c r="M199" s="308"/>
      <c r="N199" s="463"/>
      <c r="O199" s="314"/>
      <c r="P199" s="307" t="s">
        <v>4582</v>
      </c>
      <c r="Q199" s="308" t="s">
        <v>4543</v>
      </c>
      <c r="R199" s="308" t="s">
        <v>16</v>
      </c>
      <c r="S199" s="308" t="s">
        <v>4526</v>
      </c>
      <c r="T199" s="464"/>
      <c r="U199" s="465"/>
      <c r="V199" s="466"/>
      <c r="W199" s="467" t="s">
        <v>5257</v>
      </c>
      <c r="X199" s="467"/>
      <c r="Y199" s="468"/>
    </row>
    <row r="200" spans="1:26" ht="165">
      <c r="B200" s="95" t="s">
        <v>442</v>
      </c>
      <c r="C200" s="95" t="s">
        <v>5325</v>
      </c>
      <c r="D200" s="518" t="s">
        <v>775</v>
      </c>
      <c r="E200" s="519" t="s">
        <v>776</v>
      </c>
      <c r="F200" s="101" t="s">
        <v>8</v>
      </c>
      <c r="G200" s="101">
        <v>32</v>
      </c>
      <c r="H200" s="95"/>
      <c r="I200" s="101"/>
      <c r="J200" s="315" t="s">
        <v>4614</v>
      </c>
      <c r="K200" s="95" t="s">
        <v>5168</v>
      </c>
      <c r="L200" s="315" t="s">
        <v>777</v>
      </c>
      <c r="M200" s="315" t="s">
        <v>778</v>
      </c>
      <c r="N200" s="98" t="s">
        <v>779</v>
      </c>
      <c r="O200" s="99" t="s">
        <v>780</v>
      </c>
      <c r="P200" s="520" t="s">
        <v>781</v>
      </c>
      <c r="Q200" s="521"/>
      <c r="R200" s="522" t="s">
        <v>841</v>
      </c>
      <c r="S200" s="315" t="s">
        <v>763</v>
      </c>
      <c r="T200" s="523" t="s">
        <v>632</v>
      </c>
      <c r="U200" s="315" t="s">
        <v>4510</v>
      </c>
      <c r="V200" s="451"/>
      <c r="W200" s="451"/>
      <c r="X200" s="451"/>
      <c r="Y200" s="62"/>
    </row>
    <row r="201" spans="1:26" ht="198">
      <c r="B201" s="95" t="s">
        <v>442</v>
      </c>
      <c r="C201" s="95" t="s">
        <v>5326</v>
      </c>
      <c r="D201" s="524" t="s">
        <v>782</v>
      </c>
      <c r="E201" s="525" t="s">
        <v>783</v>
      </c>
      <c r="F201" s="101" t="s">
        <v>8</v>
      </c>
      <c r="G201" s="101">
        <v>32</v>
      </c>
      <c r="H201" s="95"/>
      <c r="I201" s="101"/>
      <c r="J201" s="315" t="s">
        <v>4614</v>
      </c>
      <c r="K201" s="95" t="s">
        <v>5169</v>
      </c>
      <c r="L201" s="315" t="s">
        <v>777</v>
      </c>
      <c r="M201" s="315" t="s">
        <v>778</v>
      </c>
      <c r="N201" s="98" t="s">
        <v>779</v>
      </c>
      <c r="O201" s="99" t="s">
        <v>780</v>
      </c>
      <c r="P201" s="526" t="s">
        <v>784</v>
      </c>
      <c r="Q201" s="521"/>
      <c r="R201" s="522" t="s">
        <v>841</v>
      </c>
      <c r="S201" s="527" t="s">
        <v>785</v>
      </c>
      <c r="T201" s="523" t="s">
        <v>10</v>
      </c>
      <c r="U201" s="315" t="s">
        <v>4510</v>
      </c>
      <c r="V201" s="451"/>
      <c r="W201" s="451"/>
      <c r="X201" s="451"/>
      <c r="Y201" s="62"/>
    </row>
    <row r="202" spans="1:26" ht="132">
      <c r="B202" s="95" t="s">
        <v>442</v>
      </c>
      <c r="C202" s="95" t="s">
        <v>5327</v>
      </c>
      <c r="D202" s="524" t="s">
        <v>786</v>
      </c>
      <c r="E202" s="525" t="s">
        <v>787</v>
      </c>
      <c r="F202" s="101" t="s">
        <v>8</v>
      </c>
      <c r="G202" s="101">
        <v>32</v>
      </c>
      <c r="H202" s="95"/>
      <c r="I202" s="101"/>
      <c r="J202" s="315" t="s">
        <v>4614</v>
      </c>
      <c r="K202" s="95" t="s">
        <v>5170</v>
      </c>
      <c r="L202" s="315" t="s">
        <v>777</v>
      </c>
      <c r="M202" s="315" t="s">
        <v>778</v>
      </c>
      <c r="N202" s="98" t="s">
        <v>779</v>
      </c>
      <c r="O202" s="99" t="s">
        <v>780</v>
      </c>
      <c r="P202" s="526" t="s">
        <v>788</v>
      </c>
      <c r="Q202" s="521"/>
      <c r="R202" s="522" t="s">
        <v>841</v>
      </c>
      <c r="S202" s="527" t="s">
        <v>785</v>
      </c>
      <c r="T202" s="523" t="s">
        <v>10</v>
      </c>
      <c r="U202" s="315" t="s">
        <v>4510</v>
      </c>
      <c r="V202" s="451"/>
      <c r="W202" s="451"/>
      <c r="X202" s="451"/>
      <c r="Y202" s="62"/>
    </row>
    <row r="203" spans="1:26" ht="148.5">
      <c r="B203" s="95" t="s">
        <v>442</v>
      </c>
      <c r="C203" s="95" t="s">
        <v>5328</v>
      </c>
      <c r="D203" s="524" t="s">
        <v>789</v>
      </c>
      <c r="E203" s="525" t="s">
        <v>790</v>
      </c>
      <c r="F203" s="101" t="s">
        <v>8</v>
      </c>
      <c r="G203" s="101">
        <v>32</v>
      </c>
      <c r="H203" s="95"/>
      <c r="I203" s="101"/>
      <c r="J203" s="315" t="s">
        <v>4614</v>
      </c>
      <c r="K203" s="95" t="s">
        <v>5171</v>
      </c>
      <c r="L203" s="315" t="s">
        <v>777</v>
      </c>
      <c r="M203" s="315" t="s">
        <v>778</v>
      </c>
      <c r="N203" s="98" t="s">
        <v>779</v>
      </c>
      <c r="O203" s="99" t="s">
        <v>780</v>
      </c>
      <c r="P203" s="526" t="s">
        <v>791</v>
      </c>
      <c r="Q203" s="521"/>
      <c r="R203" s="522" t="s">
        <v>841</v>
      </c>
      <c r="S203" s="527" t="s">
        <v>785</v>
      </c>
      <c r="T203" s="523" t="s">
        <v>632</v>
      </c>
      <c r="U203" s="315" t="s">
        <v>4510</v>
      </c>
      <c r="V203" s="451"/>
      <c r="W203" s="451"/>
      <c r="X203" s="451"/>
      <c r="Y203" s="62"/>
    </row>
    <row r="204" spans="1:26" ht="165">
      <c r="B204" s="95" t="s">
        <v>442</v>
      </c>
      <c r="C204" s="95" t="s">
        <v>5333</v>
      </c>
      <c r="D204" s="524" t="s">
        <v>804</v>
      </c>
      <c r="E204" s="525" t="s">
        <v>805</v>
      </c>
      <c r="F204" s="101" t="s">
        <v>8</v>
      </c>
      <c r="G204" s="101">
        <v>32</v>
      </c>
      <c r="H204" s="95"/>
      <c r="I204" s="101"/>
      <c r="J204" s="315" t="s">
        <v>4614</v>
      </c>
      <c r="K204" s="95" t="s">
        <v>5176</v>
      </c>
      <c r="L204" s="315" t="s">
        <v>777</v>
      </c>
      <c r="M204" s="315" t="s">
        <v>778</v>
      </c>
      <c r="N204" s="98" t="s">
        <v>779</v>
      </c>
      <c r="O204" s="99" t="s">
        <v>780</v>
      </c>
      <c r="P204" s="526" t="s">
        <v>806</v>
      </c>
      <c r="Q204" s="521"/>
      <c r="R204" s="522" t="s">
        <v>841</v>
      </c>
      <c r="S204" s="528" t="s">
        <v>785</v>
      </c>
      <c r="T204" s="523" t="s">
        <v>10</v>
      </c>
      <c r="U204" s="315" t="s">
        <v>4510</v>
      </c>
      <c r="V204" s="451"/>
      <c r="W204" s="451"/>
      <c r="X204" s="451"/>
      <c r="Y204" s="62"/>
    </row>
    <row r="205" spans="1:26" ht="82.5">
      <c r="B205" s="95" t="s">
        <v>442</v>
      </c>
      <c r="C205" s="95" t="s">
        <v>5335</v>
      </c>
      <c r="D205" s="524" t="s">
        <v>810</v>
      </c>
      <c r="E205" s="525" t="s">
        <v>811</v>
      </c>
      <c r="F205" s="101" t="s">
        <v>8</v>
      </c>
      <c r="G205" s="101">
        <v>32</v>
      </c>
      <c r="H205" s="95"/>
      <c r="I205" s="101"/>
      <c r="J205" s="315" t="s">
        <v>4614</v>
      </c>
      <c r="K205" s="95" t="s">
        <v>5178</v>
      </c>
      <c r="L205" s="315" t="s">
        <v>777</v>
      </c>
      <c r="M205" s="315" t="s">
        <v>778</v>
      </c>
      <c r="N205" s="98" t="s">
        <v>779</v>
      </c>
      <c r="O205" s="99" t="s">
        <v>780</v>
      </c>
      <c r="P205" s="526" t="s">
        <v>812</v>
      </c>
      <c r="Q205" s="521"/>
      <c r="R205" s="522" t="s">
        <v>841</v>
      </c>
      <c r="S205" s="527" t="s">
        <v>785</v>
      </c>
      <c r="T205" s="523" t="s">
        <v>632</v>
      </c>
      <c r="U205" s="315" t="s">
        <v>4510</v>
      </c>
      <c r="V205" s="451"/>
      <c r="W205" s="451"/>
      <c r="X205" s="451"/>
      <c r="Y205" s="62"/>
    </row>
    <row r="206" spans="1:26" ht="132">
      <c r="B206" s="95" t="s">
        <v>442</v>
      </c>
      <c r="C206" s="95" t="s">
        <v>5337</v>
      </c>
      <c r="D206" s="524" t="s">
        <v>816</v>
      </c>
      <c r="E206" s="525" t="s">
        <v>817</v>
      </c>
      <c r="F206" s="101" t="s">
        <v>8</v>
      </c>
      <c r="G206" s="101">
        <v>32</v>
      </c>
      <c r="H206" s="95"/>
      <c r="I206" s="101"/>
      <c r="J206" s="315" t="s">
        <v>4614</v>
      </c>
      <c r="K206" s="95" t="s">
        <v>5180</v>
      </c>
      <c r="L206" s="315" t="s">
        <v>777</v>
      </c>
      <c r="M206" s="315" t="s">
        <v>778</v>
      </c>
      <c r="N206" s="98" t="s">
        <v>779</v>
      </c>
      <c r="O206" s="99" t="s">
        <v>780</v>
      </c>
      <c r="P206" s="526" t="s">
        <v>818</v>
      </c>
      <c r="Q206" s="521"/>
      <c r="R206" s="522" t="s">
        <v>841</v>
      </c>
      <c r="S206" s="527" t="s">
        <v>785</v>
      </c>
      <c r="T206" s="523" t="s">
        <v>632</v>
      </c>
      <c r="U206" s="315" t="s">
        <v>4510</v>
      </c>
      <c r="V206" s="451"/>
      <c r="W206" s="451"/>
      <c r="X206" s="451"/>
      <c r="Y206" s="62"/>
    </row>
    <row r="207" spans="1:26" ht="148.5">
      <c r="B207" s="95" t="s">
        <v>442</v>
      </c>
      <c r="C207" s="95" t="s">
        <v>5338</v>
      </c>
      <c r="D207" s="524" t="s">
        <v>819</v>
      </c>
      <c r="E207" s="525" t="s">
        <v>820</v>
      </c>
      <c r="F207" s="101" t="s">
        <v>8</v>
      </c>
      <c r="G207" s="101">
        <v>32</v>
      </c>
      <c r="H207" s="95"/>
      <c r="I207" s="101"/>
      <c r="J207" s="315" t="s">
        <v>4614</v>
      </c>
      <c r="K207" s="95" t="s">
        <v>5181</v>
      </c>
      <c r="L207" s="315" t="s">
        <v>777</v>
      </c>
      <c r="M207" s="315" t="s">
        <v>778</v>
      </c>
      <c r="N207" s="98" t="s">
        <v>779</v>
      </c>
      <c r="O207" s="99" t="s">
        <v>780</v>
      </c>
      <c r="P207" s="526" t="s">
        <v>821</v>
      </c>
      <c r="Q207" s="521"/>
      <c r="R207" s="522" t="s">
        <v>841</v>
      </c>
      <c r="S207" s="527" t="s">
        <v>785</v>
      </c>
      <c r="T207" s="523" t="s">
        <v>10</v>
      </c>
      <c r="U207" s="315" t="s">
        <v>4510</v>
      </c>
      <c r="V207" s="451"/>
      <c r="W207" s="451"/>
      <c r="X207" s="451"/>
      <c r="Y207" s="62"/>
    </row>
  </sheetData>
  <autoFilter ref="A6:X194"/>
  <mergeCells count="13">
    <mergeCell ref="R5:R6"/>
    <mergeCell ref="S5:S6"/>
    <mergeCell ref="T5:T6"/>
    <mergeCell ref="U5:X5"/>
    <mergeCell ref="N5:N6"/>
    <mergeCell ref="P5:P6"/>
    <mergeCell ref="Q5:Q6"/>
    <mergeCell ref="O5:O6"/>
    <mergeCell ref="F5:M5"/>
    <mergeCell ref="B5:B6"/>
    <mergeCell ref="C5:C6"/>
    <mergeCell ref="D5:D6"/>
    <mergeCell ref="E5:E6"/>
  </mergeCells>
  <phoneticPr fontId="15" type="noConversion"/>
  <conditionalFormatting sqref="A4:A16">
    <cfRule type="cellIs" dxfId="251" priority="326" stopIfTrue="1" operator="equal">
      <formula>#REF!=N</formula>
    </cfRule>
  </conditionalFormatting>
  <conditionalFormatting sqref="A21:A100">
    <cfRule type="cellIs" dxfId="250" priority="325" stopIfTrue="1" operator="equal">
      <formula>#REF!=N</formula>
    </cfRule>
  </conditionalFormatting>
  <conditionalFormatting sqref="A175:A187">
    <cfRule type="cellIs" dxfId="249" priority="192" stopIfTrue="1" operator="equal">
      <formula>#REF!=N</formula>
    </cfRule>
  </conditionalFormatting>
  <conditionalFormatting sqref="A190:A194">
    <cfRule type="cellIs" dxfId="248" priority="51" stopIfTrue="1" operator="equal">
      <formula>#REF!=N</formula>
    </cfRule>
  </conditionalFormatting>
  <conditionalFormatting sqref="A198:A199">
    <cfRule type="cellIs" dxfId="247" priority="9" stopIfTrue="1" operator="equal">
      <formula>#REF!=N</formula>
    </cfRule>
  </conditionalFormatting>
  <conditionalFormatting sqref="B177:B185">
    <cfRule type="expression" dxfId="246" priority="223" stopIfTrue="1">
      <formula>#REF!&lt;&gt;"Y"</formula>
    </cfRule>
  </conditionalFormatting>
  <conditionalFormatting sqref="B195">
    <cfRule type="expression" dxfId="245" priority="19" stopIfTrue="1">
      <formula>#REF!&lt;&gt;"Y"</formula>
    </cfRule>
  </conditionalFormatting>
  <conditionalFormatting sqref="B175:C176">
    <cfRule type="expression" dxfId="244" priority="228" stopIfTrue="1">
      <formula>#REF!&lt;&gt;"Y"</formula>
    </cfRule>
  </conditionalFormatting>
  <conditionalFormatting sqref="B186:C187">
    <cfRule type="expression" dxfId="243" priority="183" stopIfTrue="1">
      <formula>#REF!&lt;&gt;"Y"</formula>
    </cfRule>
  </conditionalFormatting>
  <conditionalFormatting sqref="B198:C199 F198:O199">
    <cfRule type="expression" dxfId="242" priority="7" stopIfTrue="1">
      <formula>#REF!&lt;&gt;"Y"</formula>
    </cfRule>
  </conditionalFormatting>
  <conditionalFormatting sqref="B196:E197">
    <cfRule type="expression" dxfId="241" priority="14" stopIfTrue="1">
      <formula>#REF!&lt;&gt;"Y"</formula>
    </cfRule>
  </conditionalFormatting>
  <conditionalFormatting sqref="B4:M4 B5:F5">
    <cfRule type="expression" dxfId="240" priority="329" stopIfTrue="1">
      <formula>#REF!&lt;&gt;"Y"</formula>
    </cfRule>
  </conditionalFormatting>
  <conditionalFormatting sqref="B190:M192">
    <cfRule type="expression" dxfId="239" priority="126" stopIfTrue="1">
      <formula>#REF!&lt;&gt;"Y"</formula>
    </cfRule>
  </conditionalFormatting>
  <conditionalFormatting sqref="C7:C185">
    <cfRule type="expression" dxfId="238" priority="218" stopIfTrue="1">
      <formula>#REF!&lt;&gt;"Y"</formula>
    </cfRule>
  </conditionalFormatting>
  <conditionalFormatting sqref="C193:I193">
    <cfRule type="expression" dxfId="237" priority="47" stopIfTrue="1">
      <formula>#REF!&lt;&gt;"Y"</formula>
    </cfRule>
  </conditionalFormatting>
  <conditionalFormatting sqref="D200:D207">
    <cfRule type="expression" dxfId="236" priority="4" stopIfTrue="1">
      <formula>#REF!&lt;&gt;"Y"</formula>
    </cfRule>
  </conditionalFormatting>
  <conditionalFormatting sqref="D7:E16">
    <cfRule type="expression" dxfId="235" priority="324" stopIfTrue="1">
      <formula>#REF!&lt;&gt;"Y"</formula>
    </cfRule>
  </conditionalFormatting>
  <conditionalFormatting sqref="D175:I187">
    <cfRule type="expression" dxfId="234" priority="179" stopIfTrue="1">
      <formula>#REF!&lt;&gt;"Y"</formula>
    </cfRule>
  </conditionalFormatting>
  <conditionalFormatting sqref="E200:E201">
    <cfRule type="expression" dxfId="233" priority="6" stopIfTrue="1">
      <formula>#REF!&lt;&gt;"Y"</formula>
    </cfRule>
  </conditionalFormatting>
  <conditionalFormatting sqref="E205:E207">
    <cfRule type="expression" dxfId="232" priority="5" stopIfTrue="1">
      <formula>#REF!&lt;&gt;"Y"</formula>
    </cfRule>
  </conditionalFormatting>
  <conditionalFormatting sqref="F195:F197">
    <cfRule type="expression" dxfId="231" priority="30" stopIfTrue="1">
      <formula>#REF!&lt;&gt;"Y"</formula>
    </cfRule>
  </conditionalFormatting>
  <conditionalFormatting sqref="F6:M6">
    <cfRule type="expression" dxfId="230" priority="328" stopIfTrue="1">
      <formula>#REF!&lt;&gt;"Y"</formula>
    </cfRule>
  </conditionalFormatting>
  <conditionalFormatting sqref="G9:G15">
    <cfRule type="expression" dxfId="229" priority="330" stopIfTrue="1">
      <formula>#REF!&lt;&gt;"Y"</formula>
    </cfRule>
  </conditionalFormatting>
  <conditionalFormatting sqref="G17:G174">
    <cfRule type="expression" dxfId="228" priority="321" stopIfTrue="1">
      <formula>#REF!&lt;&gt;"Y"</formula>
    </cfRule>
  </conditionalFormatting>
  <conditionalFormatting sqref="G16:I16">
    <cfRule type="expression" dxfId="227" priority="319" stopIfTrue="1">
      <formula>#REF!&lt;&gt;"Y"</formula>
    </cfRule>
  </conditionalFormatting>
  <conditionalFormatting sqref="G195:M195">
    <cfRule type="expression" dxfId="226" priority="17" stopIfTrue="1">
      <formula>#REF!&lt;&gt;"Y"</formula>
    </cfRule>
  </conditionalFormatting>
  <conditionalFormatting sqref="H196:M197">
    <cfRule type="expression" dxfId="225" priority="11" stopIfTrue="1">
      <formula>#REF!&lt;&gt;"Y"</formula>
    </cfRule>
  </conditionalFormatting>
  <conditionalFormatting sqref="I182:I185">
    <cfRule type="expression" dxfId="224" priority="293" stopIfTrue="1">
      <formula>#REF!&lt;&gt;"Y"</formula>
    </cfRule>
  </conditionalFormatting>
  <conditionalFormatting sqref="I177:K177">
    <cfRule type="expression" dxfId="223" priority="148" stopIfTrue="1">
      <formula>#REF!&lt;&gt;"Y"</formula>
    </cfRule>
  </conditionalFormatting>
  <conditionalFormatting sqref="I179:K179">
    <cfRule type="expression" dxfId="222" priority="147" stopIfTrue="1">
      <formula>#REF!&lt;&gt;"Y"</formula>
    </cfRule>
  </conditionalFormatting>
  <conditionalFormatting sqref="J193:J194">
    <cfRule type="expression" dxfId="221" priority="39" stopIfTrue="1">
      <formula>#REF!&lt;&gt;"Y"</formula>
    </cfRule>
  </conditionalFormatting>
  <conditionalFormatting sqref="J200:J207">
    <cfRule type="expression" dxfId="220" priority="2" stopIfTrue="1">
      <formula>#REF!&lt;&gt;"Y"</formula>
    </cfRule>
  </conditionalFormatting>
  <conditionalFormatting sqref="J175:K176 J178:K178">
    <cfRule type="expression" dxfId="219" priority="167" stopIfTrue="1">
      <formula>#REF!&lt;&gt;"Y"</formula>
    </cfRule>
  </conditionalFormatting>
  <conditionalFormatting sqref="J180:K187">
    <cfRule type="expression" dxfId="218" priority="145" stopIfTrue="1">
      <formula>#REF!&lt;&gt;"Y"</formula>
    </cfRule>
  </conditionalFormatting>
  <conditionalFormatting sqref="J7:M16">
    <cfRule type="expression" dxfId="217" priority="139" stopIfTrue="1">
      <formula>#REF!&lt;&gt;"Y"</formula>
    </cfRule>
  </conditionalFormatting>
  <conditionalFormatting sqref="K193:O193">
    <cfRule type="expression" dxfId="216" priority="37" stopIfTrue="1">
      <formula>#REF!&lt;&gt;"Y"</formula>
    </cfRule>
  </conditionalFormatting>
  <conditionalFormatting sqref="L175:M187">
    <cfRule type="expression" dxfId="215" priority="127" stopIfTrue="1">
      <formula>#REF!&lt;&gt;"Y"</formula>
    </cfRule>
  </conditionalFormatting>
  <conditionalFormatting sqref="L200:O207">
    <cfRule type="expression" dxfId="214" priority="3" stopIfTrue="1">
      <formula>#REF!&lt;&gt;"Y"</formula>
    </cfRule>
  </conditionalFormatting>
  <conditionalFormatting sqref="M17:M23">
    <cfRule type="expression" dxfId="213" priority="138" stopIfTrue="1">
      <formula>#REF!&lt;&gt;"Y"</formula>
    </cfRule>
  </conditionalFormatting>
  <conditionalFormatting sqref="M27:M28">
    <cfRule type="expression" dxfId="212" priority="137" stopIfTrue="1">
      <formula>#REF!&lt;&gt;"Y"</formula>
    </cfRule>
  </conditionalFormatting>
  <conditionalFormatting sqref="M30:M38">
    <cfRule type="expression" dxfId="211" priority="136" stopIfTrue="1">
      <formula>#REF!&lt;&gt;"Y"</formula>
    </cfRule>
  </conditionalFormatting>
  <conditionalFormatting sqref="M41:M174">
    <cfRule type="expression" dxfId="210" priority="84" stopIfTrue="1">
      <formula>#REF!&lt;&gt;"Y"</formula>
    </cfRule>
  </conditionalFormatting>
  <conditionalFormatting sqref="N7:N11">
    <cfRule type="expression" dxfId="209" priority="313" stopIfTrue="1">
      <formula>#REF!&lt;&gt;"Y"</formula>
    </cfRule>
  </conditionalFormatting>
  <conditionalFormatting sqref="N185:O185">
    <cfRule type="expression" dxfId="208" priority="311" stopIfTrue="1">
      <formula>#REF!&lt;&gt;"Y"</formula>
    </cfRule>
  </conditionalFormatting>
  <conditionalFormatting sqref="N204:O207">
    <cfRule type="expression" dxfId="207" priority="1" stopIfTrue="1">
      <formula>#REF!&lt;&gt;"Y"</formula>
    </cfRule>
  </conditionalFormatting>
  <conditionalFormatting sqref="O190:O192">
    <cfRule type="expression" dxfId="206" priority="34" stopIfTrue="1">
      <formula>#REF!&lt;&gt;"Y"</formula>
    </cfRule>
  </conditionalFormatting>
  <conditionalFormatting sqref="R188:R194">
    <cfRule type="expression" dxfId="205" priority="36" stopIfTrue="1">
      <formula>#REF!&lt;&gt;"Y"</formula>
    </cfRule>
  </conditionalFormatting>
  <conditionalFormatting sqref="R4:S5">
    <cfRule type="expression" dxfId="204" priority="331" stopIfTrue="1">
      <formula>#REF!&lt;&gt;"Y"</formula>
    </cfRule>
  </conditionalFormatting>
  <conditionalFormatting sqref="R7:S16">
    <cfRule type="expression" dxfId="203" priority="83" stopIfTrue="1">
      <formula>#REF!&lt;&gt;"Y"</formula>
    </cfRule>
  </conditionalFormatting>
  <conditionalFormatting sqref="R175:T187">
    <cfRule type="expression" dxfId="202" priority="173" stopIfTrue="1">
      <formula>#REF!&lt;&gt;"Y"</formula>
    </cfRule>
  </conditionalFormatting>
  <conditionalFormatting sqref="S188:S189">
    <cfRule type="expression" dxfId="201" priority="56" stopIfTrue="1">
      <formula>#REF!&lt;&gt;"Y"</formula>
    </cfRule>
  </conditionalFormatting>
  <conditionalFormatting sqref="S193:T193">
    <cfRule type="expression" dxfId="200" priority="41" stopIfTrue="1">
      <formula>#REF!&lt;&gt;"Y"</formula>
    </cfRule>
  </conditionalFormatting>
  <conditionalFormatting sqref="S198:T199 Y198:Y199">
    <cfRule type="expression" dxfId="199" priority="8" stopIfTrue="1">
      <formula>#REF!&lt;&gt;"Y"</formula>
    </cfRule>
  </conditionalFormatting>
  <conditionalFormatting sqref="T188:T192">
    <cfRule type="expression" dxfId="198" priority="54" stopIfTrue="1">
      <formula>#REF!&lt;&gt;"Y"</formula>
    </cfRule>
  </conditionalFormatting>
  <conditionalFormatting sqref="U197">
    <cfRule type="expression" dxfId="197" priority="10" stopIfTrue="1">
      <formula>#REF!&lt;&gt;"Y"</formula>
    </cfRule>
  </conditionalFormatting>
  <conditionalFormatting sqref="U4:W6 F7:G8 H7:I15 V7:Y16">
    <cfRule type="expression" dxfId="196" priority="323" stopIfTrue="1">
      <formula>#REF!&lt;&gt;"Y"</formula>
    </cfRule>
  </conditionalFormatting>
  <conditionalFormatting sqref="U196:W196">
    <cfRule type="expression" dxfId="195" priority="21" stopIfTrue="1">
      <formula>#REF!&lt;&gt;"Y"</formula>
    </cfRule>
  </conditionalFormatting>
  <conditionalFormatting sqref="U195:X195">
    <cfRule type="expression" dxfId="194" priority="16" stopIfTrue="1">
      <formula>#REF!&lt;&gt;"Y"</formula>
    </cfRule>
  </conditionalFormatting>
  <conditionalFormatting sqref="V185">
    <cfRule type="expression" dxfId="193" priority="215" stopIfTrue="1">
      <formula>#REF!&lt;&gt;"Y"</formula>
    </cfRule>
  </conditionalFormatting>
  <conditionalFormatting sqref="X190:Y194">
    <cfRule type="expression" dxfId="192" priority="171" stopIfTrue="1">
      <formula>#REF!&lt;&gt;"Y"</formula>
    </cfRule>
  </conditionalFormatting>
  <conditionalFormatting sqref="Z175:Z187">
    <cfRule type="expression" dxfId="191" priority="189" stopIfTrue="1">
      <formula>#REF!&lt;&gt;"Y"</formula>
    </cfRule>
  </conditionalFormatting>
  <dataValidations count="6">
    <dataValidation type="list" allowBlank="1" showInputMessage="1" showErrorMessage="1" sqref="S1:S6 S59:S61 S120:S123 S850:S1048576 T193:T194">
      <formula1>"상,중,하"</formula1>
    </dataValidation>
    <dataValidation type="list" allowBlank="1" showInputMessage="1" showErrorMessage="1" sqref="F1:F6 F850:F1048576 F193:F194 F200:F207">
      <formula1>"SFR-007, SFR-008, SFR-009, CNR-001, CNR-002, SIR-003, PMR-001"</formula1>
    </dataValidation>
    <dataValidation type="list" allowBlank="1" showInputMessage="1" showErrorMessage="1" sqref="B1:B4 B850:B1048576 B193:B195 B200:B207">
      <formula1>"SFR-007, SFR-008, SFR-009, CNR-001, CNR-002, SIR-003, PMR-001, 기타"</formula1>
    </dataValidation>
    <dataValidation type="list" allowBlank="1" showInputMessage="1" showErrorMessage="1" sqref="U4:W4 V59:W61">
      <formula1>"Y, N"</formula1>
    </dataValidation>
    <dataValidation type="list" allowBlank="1" showInputMessage="1" showErrorMessage="1" sqref="R4">
      <formula1>"미작성,작성중,작성완료,N/A"</formula1>
    </dataValidation>
    <dataValidation type="list" allowBlank="1" showInputMessage="1" showErrorMessage="1" sqref="R200:R207">
      <formula1>"수용,미수용,보류"</formula1>
    </dataValidation>
  </dataValidations>
  <printOptions horizontalCentered="1"/>
  <pageMargins left="0.78740157480314965" right="0.78740157480314965" top="0.78740157480314965" bottom="0.78740157480314965" header="0.39370078740157483" footer="0.39370078740157483"/>
  <pageSetup paperSize="8" scale="36" fitToHeight="0" orientation="landscape" r:id="rId1"/>
  <headerFooter differentFirst="1" alignWithMargins="0">
    <oddFooter>&amp;C&amp;"맑은 고딕,보통"- &amp;P -&amp;R&amp;G</oddFooter>
    <firstFooter>&amp;C-6-</firstFooter>
  </headerFooter>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cellIs" priority="78" stopIfTrue="1" operator="equal" id="{C6AC4205-93D4-4F1A-8683-7E8D3DF358C3}">
            <xm:f>'4.아키텍쳐 및 개발환경'!#REF!=N</xm:f>
            <x14:dxf>
              <fill>
                <patternFill>
                  <bgColor indexed="47"/>
                </patternFill>
              </fill>
            </x14:dxf>
          </x14:cfRule>
          <xm:sqref>A188:A189</xm:sqref>
        </x14:conditionalFormatting>
        <x14:conditionalFormatting xmlns:xm="http://schemas.microsoft.com/office/excel/2006/main">
          <x14:cfRule type="expression" priority="60" stopIfTrue="1" id="{085BFDE6-3745-48E6-9ABE-A77EB784F093}">
            <xm:f>'4.아키텍쳐 및 개발환경'!#REF!&lt;&gt;"Y"</xm:f>
            <x14:dxf>
              <fill>
                <patternFill patternType="none">
                  <bgColor indexed="65"/>
                </patternFill>
              </fill>
            </x14:dxf>
          </x14:cfRule>
          <xm:sqref>B188:E189</xm:sqref>
        </x14:conditionalFormatting>
        <x14:conditionalFormatting xmlns:xm="http://schemas.microsoft.com/office/excel/2006/main">
          <x14:cfRule type="expression" priority="74" stopIfTrue="1" id="{6DF28ADD-9506-4E23-9410-5ADA8EAA8E56}">
            <xm:f>'4.아키텍쳐 및 개발환경'!#REF!&lt;&gt;"Y"</xm:f>
            <x14:dxf>
              <fill>
                <patternFill patternType="none">
                  <bgColor indexed="65"/>
                </patternFill>
              </fill>
            </x14:dxf>
          </x14:cfRule>
          <xm:sqref>F188</xm:sqref>
        </x14:conditionalFormatting>
        <x14:conditionalFormatting xmlns:xm="http://schemas.microsoft.com/office/excel/2006/main">
          <x14:cfRule type="expression" priority="70" stopIfTrue="1" id="{97AADD55-7964-4BBE-ABA1-D8934A041DEE}">
            <xm:f>'4.아키텍쳐 및 개발환경'!#REF!&lt;&gt;"Y"</xm:f>
            <x14:dxf>
              <fill>
                <patternFill patternType="none">
                  <bgColor indexed="65"/>
                </patternFill>
              </fill>
            </x14:dxf>
          </x14:cfRule>
          <xm:sqref>F189:M189</xm:sqref>
        </x14:conditionalFormatting>
        <x14:conditionalFormatting xmlns:xm="http://schemas.microsoft.com/office/excel/2006/main">
          <x14:cfRule type="expression" priority="75" stopIfTrue="1" id="{20C79B15-7687-406E-A8BD-95B24A840B59}">
            <xm:f>'4.아키텍쳐 및 개발환경'!#REF!&lt;&gt;"Y"</xm:f>
            <x14:dxf>
              <fill>
                <patternFill patternType="none">
                  <bgColor indexed="65"/>
                </patternFill>
              </fill>
            </x14:dxf>
          </x14:cfRule>
          <xm:sqref>G188:M188</xm:sqref>
        </x14:conditionalFormatting>
        <x14:conditionalFormatting xmlns:xm="http://schemas.microsoft.com/office/excel/2006/main">
          <x14:cfRule type="expression" priority="52" stopIfTrue="1" id="{C86F4D4D-796E-486B-9069-ABEF62E26D73}">
            <xm:f>'4.아키텍쳐 및 개발환경'!#REF!&lt;&gt;"Y"</xm:f>
            <x14:dxf>
              <fill>
                <patternFill patternType="none">
                  <bgColor indexed="65"/>
                </patternFill>
              </fill>
            </x14:dxf>
          </x14:cfRule>
          <xm:sqref>N188:N189</xm:sqref>
        </x14:conditionalFormatting>
        <x14:conditionalFormatting xmlns:xm="http://schemas.microsoft.com/office/excel/2006/main">
          <x14:cfRule type="expression" priority="79" stopIfTrue="1" id="{0958885F-3C57-4F4D-8746-62AD9E37C192}">
            <xm:f>'C:\Users\onpoom-DTS-045\Downloads\[LXPFA_PM_요구사항 추적표_통합v0.91_230705(고경남).xlsx]4.아키텍쳐 및 개발환경'!#REF!&lt;&gt;"Y"</xm:f>
            <x14:dxf>
              <fill>
                <patternFill patternType="none">
                  <bgColor indexed="65"/>
                </patternFill>
              </fill>
            </x14:dxf>
          </x14:cfRule>
          <xm:sqref>R17:R174</xm:sqref>
        </x14:conditionalFormatting>
        <x14:conditionalFormatting xmlns:xm="http://schemas.microsoft.com/office/excel/2006/main">
          <x14:cfRule type="expression" priority="35" stopIfTrue="1" id="{6E6261DE-51C6-47D9-80E1-16FC7F8BA70C}">
            <xm:f>'C:\Users\YSHAN_MSI\Documents\03.요구사항명세서\20230301\[LXDTPF_요구사항정의서(파인)_수정필요_iot.xlsx]3.요구사항정의(기능)'!#REF!&lt;&gt;"Y"</xm:f>
            <x14:dxf>
              <fill>
                <patternFill patternType="none">
                  <bgColor indexed="65"/>
                </patternFill>
              </fill>
            </x14:dxf>
          </x14:cfRule>
          <xm:sqref>R193:R194</xm:sqref>
        </x14:conditionalFormatting>
        <x14:conditionalFormatting xmlns:xm="http://schemas.microsoft.com/office/excel/2006/main">
          <x14:cfRule type="expression" priority="40" stopIfTrue="1" id="{B19535DB-D0FC-4C54-90E4-CF7377F0E6E7}">
            <xm:f>'C:\Users\YSHAN_MSI\Documents\03.요구사항명세서\20230301\[LXDTPF_요구사항정의서(파인)_수정필요_iot.xlsx]3.요구사항정의(기능)'!#REF!&lt;&gt;"Y"</xm:f>
            <x14:dxf>
              <fill>
                <patternFill patternType="none">
                  <bgColor indexed="65"/>
                </patternFill>
              </fill>
            </x14:dxf>
          </x14:cfRule>
          <xm:sqref>S193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20"/>
  <sheetViews>
    <sheetView zoomScale="60" zoomScaleNormal="60" workbookViewId="0">
      <selection activeCell="J37" sqref="J37"/>
    </sheetView>
  </sheetViews>
  <sheetFormatPr defaultRowHeight="16.5"/>
  <cols>
    <col min="1" max="1" width="12" style="416" customWidth="1"/>
    <col min="2" max="2" width="22.28515625" style="416" customWidth="1"/>
    <col min="3" max="3" width="23" style="416" bestFit="1" customWidth="1"/>
    <col min="4" max="4" width="72.140625" style="416" customWidth="1"/>
    <col min="5" max="5" width="11.7109375" style="416" customWidth="1"/>
    <col min="6" max="6" width="9.140625" style="416" customWidth="1"/>
    <col min="7" max="7" width="7.28515625" style="416" customWidth="1"/>
    <col min="8" max="8" width="25.85546875" style="416" customWidth="1"/>
    <col min="9" max="9" width="47.7109375" style="416" customWidth="1"/>
    <col min="10" max="10" width="59" style="416" customWidth="1"/>
    <col min="11" max="11" width="25.85546875" style="416" customWidth="1"/>
    <col min="12" max="12" width="46" style="416" customWidth="1"/>
    <col min="13" max="13" width="79.7109375" style="416" customWidth="1"/>
    <col min="14" max="15" width="25.85546875" style="416" customWidth="1"/>
    <col min="16" max="16" width="14.85546875" style="416" customWidth="1"/>
    <col min="17" max="17" width="32.42578125" style="416" customWidth="1"/>
    <col min="18" max="18" width="24.42578125" style="416" bestFit="1" customWidth="1"/>
    <col min="19" max="19" width="28" style="416" bestFit="1" customWidth="1"/>
    <col min="20" max="22" width="10.28515625" style="416" customWidth="1"/>
    <col min="23" max="23" width="9.140625" style="421"/>
    <col min="24" max="28" width="10.28515625" style="416" customWidth="1"/>
    <col min="29" max="16384" width="9.140625" style="416"/>
  </cols>
  <sheetData>
    <row r="1" spans="1:29" ht="54">
      <c r="A1" s="418" t="s">
        <v>5995</v>
      </c>
      <c r="B1" s="418" t="s">
        <v>5996</v>
      </c>
      <c r="C1" s="418" t="s">
        <v>5997</v>
      </c>
      <c r="D1" s="419" t="s">
        <v>5998</v>
      </c>
      <c r="E1" s="418" t="s">
        <v>5999</v>
      </c>
      <c r="F1" s="418" t="s">
        <v>6000</v>
      </c>
      <c r="G1" s="418" t="s">
        <v>6001</v>
      </c>
      <c r="H1" s="428" t="s">
        <v>6002</v>
      </c>
      <c r="I1" s="428" t="s">
        <v>6003</v>
      </c>
      <c r="J1" s="428" t="s">
        <v>6004</v>
      </c>
      <c r="K1" s="428" t="s">
        <v>6005</v>
      </c>
      <c r="L1" s="428" t="s">
        <v>6006</v>
      </c>
      <c r="M1" s="427" t="s">
        <v>6007</v>
      </c>
      <c r="N1" s="426" t="s">
        <v>6008</v>
      </c>
      <c r="O1" s="426" t="s">
        <v>6009</v>
      </c>
      <c r="P1" s="426" t="s">
        <v>6010</v>
      </c>
      <c r="Q1" s="426" t="s">
        <v>6011</v>
      </c>
      <c r="R1" s="426" t="s">
        <v>6012</v>
      </c>
      <c r="S1" s="426" t="s">
        <v>6013</v>
      </c>
      <c r="T1" s="418" t="s">
        <v>6014</v>
      </c>
      <c r="U1" s="418" t="s">
        <v>6015</v>
      </c>
      <c r="V1" s="418" t="s">
        <v>6016</v>
      </c>
      <c r="W1" s="419" t="s">
        <v>6017</v>
      </c>
      <c r="X1" s="420" t="s">
        <v>6018</v>
      </c>
      <c r="Y1" s="420" t="s">
        <v>6019</v>
      </c>
      <c r="Z1" s="420" t="s">
        <v>6020</v>
      </c>
      <c r="AA1" s="420" t="s">
        <v>6021</v>
      </c>
      <c r="AB1" s="420" t="s">
        <v>6022</v>
      </c>
      <c r="AC1" s="419" t="s">
        <v>1144</v>
      </c>
    </row>
    <row r="2" spans="1:29" ht="27">
      <c r="A2" s="413" t="s">
        <v>544</v>
      </c>
      <c r="B2" s="417" t="s">
        <v>6023</v>
      </c>
      <c r="C2" s="413" t="s">
        <v>886</v>
      </c>
      <c r="D2" s="414" t="s">
        <v>6024</v>
      </c>
      <c r="E2" s="413" t="s">
        <v>6025</v>
      </c>
      <c r="F2" s="413" t="s">
        <v>6026</v>
      </c>
      <c r="G2" s="413" t="s">
        <v>6027</v>
      </c>
      <c r="H2" s="413" t="s">
        <v>4001</v>
      </c>
      <c r="I2" s="409" t="s">
        <v>1630</v>
      </c>
      <c r="J2" s="417" t="s">
        <v>1634</v>
      </c>
      <c r="K2" s="417" t="s">
        <v>6028</v>
      </c>
      <c r="L2" s="417" t="s">
        <v>6029</v>
      </c>
      <c r="M2" s="414" t="s">
        <v>6024</v>
      </c>
      <c r="N2" s="412" t="s">
        <v>4001</v>
      </c>
      <c r="O2" s="412" t="s">
        <v>6030</v>
      </c>
      <c r="P2" s="423" t="s">
        <v>6031</v>
      </c>
      <c r="Q2" s="423" t="s">
        <v>6032</v>
      </c>
      <c r="R2" s="423" t="s">
        <v>6033</v>
      </c>
      <c r="S2" s="423" t="s">
        <v>6033</v>
      </c>
      <c r="T2" s="423"/>
      <c r="U2" s="423"/>
      <c r="V2" s="423"/>
      <c r="W2" s="429" t="s">
        <v>6034</v>
      </c>
      <c r="X2" s="423"/>
      <c r="Y2" s="423"/>
      <c r="Z2" s="423"/>
      <c r="AA2" s="423"/>
      <c r="AB2" s="423"/>
      <c r="AC2" s="423"/>
    </row>
    <row r="3" spans="1:29" ht="27">
      <c r="A3" s="413" t="s">
        <v>544</v>
      </c>
      <c r="B3" s="417" t="s">
        <v>6023</v>
      </c>
      <c r="C3" s="413" t="s">
        <v>886</v>
      </c>
      <c r="D3" s="414" t="s">
        <v>4336</v>
      </c>
      <c r="E3" s="413" t="s">
        <v>6025</v>
      </c>
      <c r="F3" s="413" t="s">
        <v>6026</v>
      </c>
      <c r="G3" s="413" t="s">
        <v>6027</v>
      </c>
      <c r="H3" s="413" t="s">
        <v>4002</v>
      </c>
      <c r="I3" s="409" t="s">
        <v>1630</v>
      </c>
      <c r="J3" s="417" t="s">
        <v>1634</v>
      </c>
      <c r="K3" s="417" t="s">
        <v>6028</v>
      </c>
      <c r="L3" s="417" t="s">
        <v>6035</v>
      </c>
      <c r="M3" s="414" t="s">
        <v>4336</v>
      </c>
      <c r="N3" s="412" t="s">
        <v>4002</v>
      </c>
      <c r="O3" s="412" t="s">
        <v>6036</v>
      </c>
      <c r="P3" s="423" t="s">
        <v>6031</v>
      </c>
      <c r="Q3" s="423" t="s">
        <v>6037</v>
      </c>
      <c r="R3" s="423" t="s">
        <v>6033</v>
      </c>
      <c r="S3" s="423" t="s">
        <v>6033</v>
      </c>
      <c r="T3" s="423"/>
      <c r="U3" s="423"/>
      <c r="V3" s="423"/>
      <c r="W3" s="429" t="s">
        <v>6034</v>
      </c>
      <c r="X3" s="423"/>
      <c r="Y3" s="423"/>
      <c r="Z3" s="423"/>
      <c r="AA3" s="423"/>
      <c r="AB3" s="423"/>
      <c r="AC3" s="423"/>
    </row>
    <row r="4" spans="1:29" ht="27">
      <c r="A4" s="413" t="s">
        <v>544</v>
      </c>
      <c r="B4" s="417" t="s">
        <v>6023</v>
      </c>
      <c r="C4" s="413" t="s">
        <v>886</v>
      </c>
      <c r="D4" s="414" t="s">
        <v>4336</v>
      </c>
      <c r="E4" s="413" t="s">
        <v>6025</v>
      </c>
      <c r="F4" s="413" t="s">
        <v>6026</v>
      </c>
      <c r="G4" s="413" t="s">
        <v>6027</v>
      </c>
      <c r="H4" s="413" t="s">
        <v>4003</v>
      </c>
      <c r="I4" s="409" t="s">
        <v>1630</v>
      </c>
      <c r="J4" s="417" t="s">
        <v>1634</v>
      </c>
      <c r="K4" s="417" t="s">
        <v>6028</v>
      </c>
      <c r="L4" s="417" t="s">
        <v>6038</v>
      </c>
      <c r="M4" s="414" t="s">
        <v>4336</v>
      </c>
      <c r="N4" s="412" t="s">
        <v>4003</v>
      </c>
      <c r="O4" s="412" t="s">
        <v>6039</v>
      </c>
      <c r="P4" s="423" t="s">
        <v>6031</v>
      </c>
      <c r="Q4" s="423" t="s">
        <v>6040</v>
      </c>
      <c r="R4" s="423" t="s">
        <v>6033</v>
      </c>
      <c r="S4" s="423" t="s">
        <v>6033</v>
      </c>
      <c r="T4" s="423"/>
      <c r="U4" s="423"/>
      <c r="V4" s="423"/>
      <c r="W4" s="429" t="s">
        <v>6034</v>
      </c>
      <c r="X4" s="423"/>
      <c r="Y4" s="423"/>
      <c r="Z4" s="423"/>
      <c r="AA4" s="423"/>
      <c r="AB4" s="423"/>
      <c r="AC4" s="423"/>
    </row>
    <row r="5" spans="1:29" ht="27">
      <c r="A5" s="413" t="s">
        <v>544</v>
      </c>
      <c r="B5" s="417" t="s">
        <v>6023</v>
      </c>
      <c r="C5" s="413" t="s">
        <v>886</v>
      </c>
      <c r="D5" s="414" t="s">
        <v>4336</v>
      </c>
      <c r="E5" s="413" t="s">
        <v>6025</v>
      </c>
      <c r="F5" s="413" t="s">
        <v>6026</v>
      </c>
      <c r="G5" s="413" t="s">
        <v>6027</v>
      </c>
      <c r="H5" s="413" t="s">
        <v>4004</v>
      </c>
      <c r="I5" s="409" t="s">
        <v>1630</v>
      </c>
      <c r="J5" s="417" t="s">
        <v>1634</v>
      </c>
      <c r="K5" s="417" t="s">
        <v>6028</v>
      </c>
      <c r="L5" s="417" t="s">
        <v>6041</v>
      </c>
      <c r="M5" s="414" t="s">
        <v>4336</v>
      </c>
      <c r="N5" s="412" t="s">
        <v>4004</v>
      </c>
      <c r="O5" s="412" t="s">
        <v>6042</v>
      </c>
      <c r="P5" s="423" t="s">
        <v>6031</v>
      </c>
      <c r="Q5" s="423" t="s">
        <v>6043</v>
      </c>
      <c r="R5" s="423" t="s">
        <v>6033</v>
      </c>
      <c r="S5" s="423" t="s">
        <v>6033</v>
      </c>
      <c r="T5" s="423"/>
      <c r="U5" s="423"/>
      <c r="V5" s="423"/>
      <c r="W5" s="429" t="s">
        <v>6034</v>
      </c>
      <c r="X5" s="423"/>
      <c r="Y5" s="423"/>
      <c r="Z5" s="423"/>
      <c r="AA5" s="423"/>
      <c r="AB5" s="423"/>
      <c r="AC5" s="423"/>
    </row>
    <row r="6" spans="1:29" ht="27">
      <c r="A6" s="413" t="s">
        <v>544</v>
      </c>
      <c r="B6" s="417" t="s">
        <v>6023</v>
      </c>
      <c r="C6" s="413" t="s">
        <v>886</v>
      </c>
      <c r="D6" s="414" t="s">
        <v>4336</v>
      </c>
      <c r="E6" s="413" t="s">
        <v>6025</v>
      </c>
      <c r="F6" s="413" t="s">
        <v>6026</v>
      </c>
      <c r="G6" s="413" t="s">
        <v>6027</v>
      </c>
      <c r="H6" s="413" t="s">
        <v>4005</v>
      </c>
      <c r="I6" s="409" t="s">
        <v>1630</v>
      </c>
      <c r="J6" s="417" t="s">
        <v>1634</v>
      </c>
      <c r="K6" s="417" t="s">
        <v>6028</v>
      </c>
      <c r="L6" s="417" t="s">
        <v>6044</v>
      </c>
      <c r="M6" s="414" t="s">
        <v>4336</v>
      </c>
      <c r="N6" s="412" t="s">
        <v>4005</v>
      </c>
      <c r="O6" s="412" t="s">
        <v>6045</v>
      </c>
      <c r="P6" s="423" t="s">
        <v>6031</v>
      </c>
      <c r="Q6" s="423" t="s">
        <v>6046</v>
      </c>
      <c r="R6" s="423" t="s">
        <v>6046</v>
      </c>
      <c r="S6" s="423" t="s">
        <v>6046</v>
      </c>
      <c r="T6" s="423"/>
      <c r="U6" s="423"/>
      <c r="V6" s="423"/>
      <c r="W6" s="429" t="s">
        <v>6034</v>
      </c>
      <c r="X6" s="423"/>
      <c r="Y6" s="423"/>
      <c r="Z6" s="423"/>
      <c r="AA6" s="423"/>
      <c r="AB6" s="423"/>
      <c r="AC6" s="423"/>
    </row>
    <row r="7" spans="1:29" ht="27">
      <c r="A7" s="413" t="s">
        <v>544</v>
      </c>
      <c r="B7" s="417" t="s">
        <v>6023</v>
      </c>
      <c r="C7" s="413" t="s">
        <v>886</v>
      </c>
      <c r="D7" s="414" t="s">
        <v>6024</v>
      </c>
      <c r="E7" s="413" t="s">
        <v>6025</v>
      </c>
      <c r="F7" s="413" t="s">
        <v>6026</v>
      </c>
      <c r="G7" s="413" t="s">
        <v>6027</v>
      </c>
      <c r="H7" s="413" t="s">
        <v>4006</v>
      </c>
      <c r="I7" s="409" t="s">
        <v>1630</v>
      </c>
      <c r="J7" s="417" t="s">
        <v>1634</v>
      </c>
      <c r="K7" s="417" t="s">
        <v>6028</v>
      </c>
      <c r="L7" s="417" t="s">
        <v>6047</v>
      </c>
      <c r="M7" s="414" t="s">
        <v>6024</v>
      </c>
      <c r="N7" s="412" t="s">
        <v>4006</v>
      </c>
      <c r="O7" s="412" t="s">
        <v>6048</v>
      </c>
      <c r="P7" s="423" t="s">
        <v>6031</v>
      </c>
      <c r="Q7" s="423" t="s">
        <v>6049</v>
      </c>
      <c r="R7" s="423" t="s">
        <v>6050</v>
      </c>
      <c r="S7" s="423" t="s">
        <v>6050</v>
      </c>
      <c r="T7" s="423"/>
      <c r="U7" s="423"/>
      <c r="V7" s="423"/>
      <c r="W7" s="429" t="s">
        <v>6034</v>
      </c>
      <c r="X7" s="423"/>
      <c r="Y7" s="423"/>
      <c r="Z7" s="423"/>
      <c r="AA7" s="423"/>
      <c r="AB7" s="423"/>
      <c r="AC7" s="423"/>
    </row>
    <row r="8" spans="1:29" ht="27">
      <c r="A8" s="413" t="s">
        <v>544</v>
      </c>
      <c r="B8" s="417" t="s">
        <v>6023</v>
      </c>
      <c r="C8" s="413" t="s">
        <v>886</v>
      </c>
      <c r="D8" s="414" t="s">
        <v>4336</v>
      </c>
      <c r="E8" s="413" t="s">
        <v>6025</v>
      </c>
      <c r="F8" s="413" t="s">
        <v>6026</v>
      </c>
      <c r="G8" s="413" t="s">
        <v>6027</v>
      </c>
      <c r="H8" s="413" t="s">
        <v>4007</v>
      </c>
      <c r="I8" s="409" t="s">
        <v>1630</v>
      </c>
      <c r="J8" s="417" t="s">
        <v>1634</v>
      </c>
      <c r="K8" s="417" t="s">
        <v>1642</v>
      </c>
      <c r="L8" s="417" t="s">
        <v>6051</v>
      </c>
      <c r="M8" s="414" t="s">
        <v>4336</v>
      </c>
      <c r="N8" s="412" t="s">
        <v>4007</v>
      </c>
      <c r="O8" s="412" t="s">
        <v>6052</v>
      </c>
      <c r="P8" s="423" t="s">
        <v>6031</v>
      </c>
      <c r="Q8" s="423" t="s">
        <v>6053</v>
      </c>
      <c r="R8" s="423" t="s">
        <v>6054</v>
      </c>
      <c r="S8" s="423" t="s">
        <v>6054</v>
      </c>
      <c r="T8" s="423"/>
      <c r="U8" s="423"/>
      <c r="V8" s="423"/>
      <c r="W8" s="429" t="s">
        <v>6034</v>
      </c>
      <c r="X8" s="423"/>
      <c r="Y8" s="423"/>
      <c r="Z8" s="423"/>
      <c r="AA8" s="423"/>
      <c r="AB8" s="423"/>
      <c r="AC8" s="423"/>
    </row>
    <row r="9" spans="1:29" ht="27">
      <c r="A9" s="413" t="s">
        <v>544</v>
      </c>
      <c r="B9" s="417" t="s">
        <v>6023</v>
      </c>
      <c r="C9" s="413" t="s">
        <v>886</v>
      </c>
      <c r="D9" s="414" t="s">
        <v>4336</v>
      </c>
      <c r="E9" s="413" t="s">
        <v>6025</v>
      </c>
      <c r="F9" s="413" t="s">
        <v>6026</v>
      </c>
      <c r="G9" s="413" t="s">
        <v>6027</v>
      </c>
      <c r="H9" s="413" t="s">
        <v>4008</v>
      </c>
      <c r="I9" s="409" t="s">
        <v>1630</v>
      </c>
      <c r="J9" s="417" t="s">
        <v>1634</v>
      </c>
      <c r="K9" s="417" t="s">
        <v>1642</v>
      </c>
      <c r="L9" s="417" t="s">
        <v>6055</v>
      </c>
      <c r="M9" s="414" t="s">
        <v>4336</v>
      </c>
      <c r="N9" s="412" t="s">
        <v>4008</v>
      </c>
      <c r="O9" s="412" t="s">
        <v>6056</v>
      </c>
      <c r="P9" s="423" t="s">
        <v>6031</v>
      </c>
      <c r="Q9" s="423" t="s">
        <v>6053</v>
      </c>
      <c r="R9" s="423" t="s">
        <v>6057</v>
      </c>
      <c r="S9" s="423" t="s">
        <v>6057</v>
      </c>
      <c r="T9" s="423"/>
      <c r="U9" s="423"/>
      <c r="V9" s="423"/>
      <c r="W9" s="429" t="s">
        <v>6034</v>
      </c>
      <c r="X9" s="423"/>
      <c r="Y9" s="423"/>
      <c r="Z9" s="423"/>
      <c r="AA9" s="423"/>
      <c r="AB9" s="423"/>
      <c r="AC9" s="423"/>
    </row>
    <row r="10" spans="1:29" ht="27">
      <c r="A10" s="413" t="s">
        <v>544</v>
      </c>
      <c r="B10" s="417" t="s">
        <v>6023</v>
      </c>
      <c r="C10" s="413" t="s">
        <v>886</v>
      </c>
      <c r="D10" s="414" t="s">
        <v>4336</v>
      </c>
      <c r="E10" s="413" t="s">
        <v>6025</v>
      </c>
      <c r="F10" s="413" t="s">
        <v>6026</v>
      </c>
      <c r="G10" s="413" t="s">
        <v>6027</v>
      </c>
      <c r="H10" s="413" t="s">
        <v>4009</v>
      </c>
      <c r="I10" s="409" t="s">
        <v>1630</v>
      </c>
      <c r="J10" s="417" t="s">
        <v>1634</v>
      </c>
      <c r="K10" s="417" t="s">
        <v>1642</v>
      </c>
      <c r="L10" s="417" t="s">
        <v>6058</v>
      </c>
      <c r="M10" s="414" t="s">
        <v>4336</v>
      </c>
      <c r="N10" s="412" t="s">
        <v>4009</v>
      </c>
      <c r="O10" s="412" t="s">
        <v>6059</v>
      </c>
      <c r="P10" s="423" t="s">
        <v>6031</v>
      </c>
      <c r="Q10" s="423" t="s">
        <v>6053</v>
      </c>
      <c r="R10" s="423" t="s">
        <v>6060</v>
      </c>
      <c r="S10" s="423" t="s">
        <v>6060</v>
      </c>
      <c r="T10" s="423"/>
      <c r="U10" s="423"/>
      <c r="V10" s="423"/>
      <c r="W10" s="429" t="s">
        <v>6034</v>
      </c>
      <c r="X10" s="423"/>
      <c r="Y10" s="423"/>
      <c r="Z10" s="423"/>
      <c r="AA10" s="423"/>
      <c r="AB10" s="423"/>
      <c r="AC10" s="423"/>
    </row>
    <row r="11" spans="1:29" ht="27">
      <c r="A11" s="413" t="s">
        <v>544</v>
      </c>
      <c r="B11" s="417" t="s">
        <v>6023</v>
      </c>
      <c r="C11" s="413" t="s">
        <v>886</v>
      </c>
      <c r="D11" s="414" t="s">
        <v>4336</v>
      </c>
      <c r="E11" s="413" t="s">
        <v>6025</v>
      </c>
      <c r="F11" s="413" t="s">
        <v>6026</v>
      </c>
      <c r="G11" s="413" t="s">
        <v>6027</v>
      </c>
      <c r="H11" s="413" t="s">
        <v>4010</v>
      </c>
      <c r="I11" s="409" t="s">
        <v>1630</v>
      </c>
      <c r="J11" s="417" t="s">
        <v>1634</v>
      </c>
      <c r="K11" s="417" t="s">
        <v>1642</v>
      </c>
      <c r="L11" s="417" t="s">
        <v>6061</v>
      </c>
      <c r="M11" s="414" t="s">
        <v>4336</v>
      </c>
      <c r="N11" s="412" t="s">
        <v>4010</v>
      </c>
      <c r="O11" s="412" t="s">
        <v>6062</v>
      </c>
      <c r="P11" s="423" t="s">
        <v>6031</v>
      </c>
      <c r="Q11" s="423" t="s">
        <v>6053</v>
      </c>
      <c r="R11" s="423" t="s">
        <v>6063</v>
      </c>
      <c r="S11" s="423" t="s">
        <v>6063</v>
      </c>
      <c r="T11" s="423"/>
      <c r="U11" s="423"/>
      <c r="V11" s="423"/>
      <c r="W11" s="429" t="s">
        <v>6034</v>
      </c>
      <c r="X11" s="423"/>
      <c r="Y11" s="423"/>
      <c r="Z11" s="423"/>
      <c r="AA11" s="423"/>
      <c r="AB11" s="423"/>
      <c r="AC11" s="423"/>
    </row>
    <row r="12" spans="1:29" ht="27">
      <c r="A12" s="413" t="s">
        <v>544</v>
      </c>
      <c r="B12" s="417" t="s">
        <v>6023</v>
      </c>
      <c r="C12" s="413" t="s">
        <v>886</v>
      </c>
      <c r="D12" s="414" t="s">
        <v>4336</v>
      </c>
      <c r="E12" s="413" t="s">
        <v>6025</v>
      </c>
      <c r="F12" s="413" t="s">
        <v>6026</v>
      </c>
      <c r="G12" s="413" t="s">
        <v>6027</v>
      </c>
      <c r="H12" s="413" t="s">
        <v>4011</v>
      </c>
      <c r="I12" s="409" t="s">
        <v>1630</v>
      </c>
      <c r="J12" s="417" t="s">
        <v>1634</v>
      </c>
      <c r="K12" s="417" t="s">
        <v>1642</v>
      </c>
      <c r="L12" s="417" t="s">
        <v>6064</v>
      </c>
      <c r="M12" s="414" t="s">
        <v>4336</v>
      </c>
      <c r="N12" s="412" t="s">
        <v>4011</v>
      </c>
      <c r="O12" s="412" t="s">
        <v>6065</v>
      </c>
      <c r="P12" s="423" t="s">
        <v>6031</v>
      </c>
      <c r="Q12" s="423" t="s">
        <v>6053</v>
      </c>
      <c r="R12" s="423" t="s">
        <v>6066</v>
      </c>
      <c r="S12" s="423" t="s">
        <v>6066</v>
      </c>
      <c r="T12" s="423"/>
      <c r="U12" s="423"/>
      <c r="V12" s="423"/>
      <c r="W12" s="429" t="s">
        <v>6034</v>
      </c>
      <c r="X12" s="423"/>
      <c r="Y12" s="423"/>
      <c r="Z12" s="423"/>
      <c r="AA12" s="423"/>
      <c r="AB12" s="423"/>
      <c r="AC12" s="423"/>
    </row>
    <row r="13" spans="1:29" ht="27">
      <c r="A13" s="413" t="s">
        <v>544</v>
      </c>
      <c r="B13" s="417" t="s">
        <v>6023</v>
      </c>
      <c r="C13" s="413" t="s">
        <v>886</v>
      </c>
      <c r="D13" s="414" t="s">
        <v>4336</v>
      </c>
      <c r="E13" s="413" t="s">
        <v>6025</v>
      </c>
      <c r="F13" s="413" t="s">
        <v>6026</v>
      </c>
      <c r="G13" s="413" t="s">
        <v>6027</v>
      </c>
      <c r="H13" s="413" t="s">
        <v>4012</v>
      </c>
      <c r="I13" s="409" t="s">
        <v>1630</v>
      </c>
      <c r="J13" s="417" t="s">
        <v>1634</v>
      </c>
      <c r="K13" s="417" t="s">
        <v>1642</v>
      </c>
      <c r="L13" s="417" t="s">
        <v>6067</v>
      </c>
      <c r="M13" s="414" t="s">
        <v>4336</v>
      </c>
      <c r="N13" s="412" t="s">
        <v>4012</v>
      </c>
      <c r="O13" s="412" t="s">
        <v>6068</v>
      </c>
      <c r="P13" s="423" t="s">
        <v>6031</v>
      </c>
      <c r="Q13" s="423" t="s">
        <v>6053</v>
      </c>
      <c r="R13" s="423" t="s">
        <v>6069</v>
      </c>
      <c r="S13" s="423" t="s">
        <v>6069</v>
      </c>
      <c r="T13" s="423"/>
      <c r="U13" s="423"/>
      <c r="V13" s="423"/>
      <c r="W13" s="429" t="s">
        <v>6034</v>
      </c>
      <c r="X13" s="423"/>
      <c r="Y13" s="423"/>
      <c r="Z13" s="423"/>
      <c r="AA13" s="423"/>
      <c r="AB13" s="423"/>
      <c r="AC13" s="423"/>
    </row>
    <row r="14" spans="1:29" ht="27">
      <c r="A14" s="413" t="s">
        <v>544</v>
      </c>
      <c r="B14" s="417" t="s">
        <v>6023</v>
      </c>
      <c r="C14" s="413" t="s">
        <v>888</v>
      </c>
      <c r="D14" s="414" t="s">
        <v>6070</v>
      </c>
      <c r="E14" s="413" t="s">
        <v>6025</v>
      </c>
      <c r="F14" s="413" t="s">
        <v>6026</v>
      </c>
      <c r="G14" s="413" t="s">
        <v>6027</v>
      </c>
      <c r="H14" s="413" t="s">
        <v>4013</v>
      </c>
      <c r="I14" s="414" t="s">
        <v>4339</v>
      </c>
      <c r="J14" s="417" t="s">
        <v>1634</v>
      </c>
      <c r="K14" s="417" t="s">
        <v>1650</v>
      </c>
      <c r="L14" s="417" t="s">
        <v>6071</v>
      </c>
      <c r="M14" s="414" t="s">
        <v>6070</v>
      </c>
      <c r="N14" s="412" t="s">
        <v>4013</v>
      </c>
      <c r="O14" s="412" t="s">
        <v>6072</v>
      </c>
      <c r="P14" s="423" t="s">
        <v>6031</v>
      </c>
      <c r="Q14" s="423" t="s">
        <v>6073</v>
      </c>
      <c r="R14" s="423" t="s">
        <v>6074</v>
      </c>
      <c r="S14" s="423" t="s">
        <v>6074</v>
      </c>
      <c r="T14" s="423"/>
      <c r="U14" s="423"/>
      <c r="V14" s="423"/>
      <c r="W14" s="429" t="s">
        <v>6034</v>
      </c>
      <c r="X14" s="423"/>
      <c r="Y14" s="423"/>
      <c r="Z14" s="423"/>
      <c r="AA14" s="423"/>
      <c r="AB14" s="423"/>
      <c r="AC14" s="423"/>
    </row>
    <row r="15" spans="1:29" ht="27">
      <c r="A15" s="413" t="s">
        <v>544</v>
      </c>
      <c r="B15" s="417" t="s">
        <v>6023</v>
      </c>
      <c r="C15" s="413" t="s">
        <v>888</v>
      </c>
      <c r="D15" s="414" t="s">
        <v>6070</v>
      </c>
      <c r="E15" s="413" t="s">
        <v>6025</v>
      </c>
      <c r="F15" s="413" t="s">
        <v>6026</v>
      </c>
      <c r="G15" s="413" t="s">
        <v>6027</v>
      </c>
      <c r="H15" s="413" t="s">
        <v>4014</v>
      </c>
      <c r="I15" s="414" t="s">
        <v>4339</v>
      </c>
      <c r="J15" s="417" t="s">
        <v>1634</v>
      </c>
      <c r="K15" s="417" t="s">
        <v>1650</v>
      </c>
      <c r="L15" s="417" t="s">
        <v>6075</v>
      </c>
      <c r="M15" s="414" t="s">
        <v>6070</v>
      </c>
      <c r="N15" s="412" t="s">
        <v>4014</v>
      </c>
      <c r="O15" s="412" t="s">
        <v>6076</v>
      </c>
      <c r="P15" s="423" t="s">
        <v>6031</v>
      </c>
      <c r="Q15" s="423" t="s">
        <v>6073</v>
      </c>
      <c r="R15" s="423" t="s">
        <v>6077</v>
      </c>
      <c r="S15" s="423" t="s">
        <v>6077</v>
      </c>
      <c r="T15" s="423"/>
      <c r="U15" s="423"/>
      <c r="V15" s="423"/>
      <c r="W15" s="429" t="s">
        <v>6034</v>
      </c>
      <c r="X15" s="423"/>
      <c r="Y15" s="423"/>
      <c r="Z15" s="423"/>
      <c r="AA15" s="423"/>
      <c r="AB15" s="423"/>
      <c r="AC15" s="423"/>
    </row>
    <row r="16" spans="1:29" ht="27">
      <c r="A16" s="413" t="s">
        <v>544</v>
      </c>
      <c r="B16" s="417" t="s">
        <v>6023</v>
      </c>
      <c r="C16" s="413" t="s">
        <v>888</v>
      </c>
      <c r="D16" s="414" t="s">
        <v>6070</v>
      </c>
      <c r="E16" s="413" t="s">
        <v>6025</v>
      </c>
      <c r="F16" s="413" t="s">
        <v>6026</v>
      </c>
      <c r="G16" s="413" t="s">
        <v>6027</v>
      </c>
      <c r="H16" s="413" t="s">
        <v>4015</v>
      </c>
      <c r="I16" s="414" t="s">
        <v>4339</v>
      </c>
      <c r="J16" s="417" t="s">
        <v>1634</v>
      </c>
      <c r="K16" s="417" t="s">
        <v>1650</v>
      </c>
      <c r="L16" s="417" t="s">
        <v>6078</v>
      </c>
      <c r="M16" s="414" t="s">
        <v>6070</v>
      </c>
      <c r="N16" s="412" t="s">
        <v>4015</v>
      </c>
      <c r="O16" s="412" t="s">
        <v>6079</v>
      </c>
      <c r="P16" s="423" t="s">
        <v>6031</v>
      </c>
      <c r="Q16" s="423" t="s">
        <v>6073</v>
      </c>
      <c r="R16" s="423" t="s">
        <v>6080</v>
      </c>
      <c r="S16" s="423" t="s">
        <v>6080</v>
      </c>
      <c r="T16" s="423"/>
      <c r="U16" s="423"/>
      <c r="V16" s="423"/>
      <c r="W16" s="429" t="s">
        <v>6034</v>
      </c>
      <c r="X16" s="423"/>
      <c r="Y16" s="423"/>
      <c r="Z16" s="423"/>
      <c r="AA16" s="423"/>
      <c r="AB16" s="423"/>
      <c r="AC16" s="423"/>
    </row>
    <row r="17" spans="1:29" ht="27">
      <c r="A17" s="413" t="s">
        <v>544</v>
      </c>
      <c r="B17" s="417" t="s">
        <v>6023</v>
      </c>
      <c r="C17" s="413" t="s">
        <v>888</v>
      </c>
      <c r="D17" s="414" t="s">
        <v>6070</v>
      </c>
      <c r="E17" s="413" t="s">
        <v>6025</v>
      </c>
      <c r="F17" s="413" t="s">
        <v>6026</v>
      </c>
      <c r="G17" s="413" t="s">
        <v>6027</v>
      </c>
      <c r="H17" s="413" t="s">
        <v>4016</v>
      </c>
      <c r="I17" s="414" t="s">
        <v>4339</v>
      </c>
      <c r="J17" s="417" t="s">
        <v>1634</v>
      </c>
      <c r="K17" s="417" t="s">
        <v>1650</v>
      </c>
      <c r="L17" s="417" t="s">
        <v>6081</v>
      </c>
      <c r="M17" s="414" t="s">
        <v>6070</v>
      </c>
      <c r="N17" s="412" t="s">
        <v>4016</v>
      </c>
      <c r="O17" s="412" t="s">
        <v>6082</v>
      </c>
      <c r="P17" s="423" t="s">
        <v>6031</v>
      </c>
      <c r="Q17" s="423" t="s">
        <v>6073</v>
      </c>
      <c r="R17" s="423" t="s">
        <v>6083</v>
      </c>
      <c r="S17" s="423" t="s">
        <v>6083</v>
      </c>
      <c r="T17" s="423"/>
      <c r="U17" s="423"/>
      <c r="V17" s="423"/>
      <c r="W17" s="429" t="s">
        <v>6034</v>
      </c>
      <c r="X17" s="423"/>
      <c r="Y17" s="423"/>
      <c r="Z17" s="423"/>
      <c r="AA17" s="423"/>
      <c r="AB17" s="423"/>
      <c r="AC17" s="423"/>
    </row>
    <row r="18" spans="1:29" ht="27">
      <c r="A18" s="413" t="s">
        <v>544</v>
      </c>
      <c r="B18" s="417" t="s">
        <v>6023</v>
      </c>
      <c r="C18" s="413" t="s">
        <v>888</v>
      </c>
      <c r="D18" s="414" t="s">
        <v>6070</v>
      </c>
      <c r="E18" s="413" t="s">
        <v>6025</v>
      </c>
      <c r="F18" s="413" t="s">
        <v>6026</v>
      </c>
      <c r="G18" s="413" t="s">
        <v>6027</v>
      </c>
      <c r="H18" s="413" t="s">
        <v>4017</v>
      </c>
      <c r="I18" s="414" t="s">
        <v>4339</v>
      </c>
      <c r="J18" s="417" t="s">
        <v>1634</v>
      </c>
      <c r="K18" s="417" t="s">
        <v>1650</v>
      </c>
      <c r="L18" s="417" t="s">
        <v>6084</v>
      </c>
      <c r="M18" s="414" t="s">
        <v>6070</v>
      </c>
      <c r="N18" s="412" t="s">
        <v>4017</v>
      </c>
      <c r="O18" s="412" t="s">
        <v>6085</v>
      </c>
      <c r="P18" s="423" t="s">
        <v>6031</v>
      </c>
      <c r="Q18" s="423" t="s">
        <v>6086</v>
      </c>
      <c r="R18" s="423" t="s">
        <v>6087</v>
      </c>
      <c r="S18" s="423" t="s">
        <v>6087</v>
      </c>
      <c r="T18" s="423"/>
      <c r="U18" s="423"/>
      <c r="V18" s="423"/>
      <c r="W18" s="429" t="s">
        <v>6034</v>
      </c>
      <c r="X18" s="423"/>
      <c r="Y18" s="423"/>
      <c r="Z18" s="423"/>
      <c r="AA18" s="423"/>
      <c r="AB18" s="423"/>
      <c r="AC18" s="423"/>
    </row>
    <row r="19" spans="1:29" ht="27">
      <c r="A19" s="413" t="s">
        <v>544</v>
      </c>
      <c r="B19" s="417" t="s">
        <v>6023</v>
      </c>
      <c r="C19" s="413" t="s">
        <v>888</v>
      </c>
      <c r="D19" s="414" t="s">
        <v>6070</v>
      </c>
      <c r="E19" s="413" t="s">
        <v>6025</v>
      </c>
      <c r="F19" s="413" t="s">
        <v>6026</v>
      </c>
      <c r="G19" s="413" t="s">
        <v>6027</v>
      </c>
      <c r="H19" s="413" t="s">
        <v>4018</v>
      </c>
      <c r="I19" s="414" t="s">
        <v>4339</v>
      </c>
      <c r="J19" s="417" t="s">
        <v>1634</v>
      </c>
      <c r="K19" s="417" t="s">
        <v>1650</v>
      </c>
      <c r="L19" s="417" t="s">
        <v>6088</v>
      </c>
      <c r="M19" s="414" t="s">
        <v>6070</v>
      </c>
      <c r="N19" s="412" t="s">
        <v>4018</v>
      </c>
      <c r="O19" s="412" t="s">
        <v>6089</v>
      </c>
      <c r="P19" s="423" t="s">
        <v>6031</v>
      </c>
      <c r="Q19" s="423" t="s">
        <v>6086</v>
      </c>
      <c r="R19" s="423" t="s">
        <v>6090</v>
      </c>
      <c r="S19" s="423" t="s">
        <v>6090</v>
      </c>
      <c r="T19" s="423"/>
      <c r="U19" s="423"/>
      <c r="V19" s="423"/>
      <c r="W19" s="429" t="s">
        <v>6034</v>
      </c>
      <c r="X19" s="423"/>
      <c r="Y19" s="423"/>
      <c r="Z19" s="423"/>
      <c r="AA19" s="423"/>
      <c r="AB19" s="423"/>
      <c r="AC19" s="423"/>
    </row>
    <row r="20" spans="1:29" ht="27">
      <c r="A20" s="413" t="s">
        <v>544</v>
      </c>
      <c r="B20" s="417" t="s">
        <v>6023</v>
      </c>
      <c r="C20" s="413" t="s">
        <v>888</v>
      </c>
      <c r="D20" s="414" t="s">
        <v>6070</v>
      </c>
      <c r="E20" s="413" t="s">
        <v>6025</v>
      </c>
      <c r="F20" s="413" t="s">
        <v>6026</v>
      </c>
      <c r="G20" s="413" t="s">
        <v>6027</v>
      </c>
      <c r="H20" s="413" t="s">
        <v>4019</v>
      </c>
      <c r="I20" s="414" t="s">
        <v>4339</v>
      </c>
      <c r="J20" s="417" t="s">
        <v>1634</v>
      </c>
      <c r="K20" s="417" t="s">
        <v>1650</v>
      </c>
      <c r="L20" s="417" t="s">
        <v>6091</v>
      </c>
      <c r="M20" s="414" t="s">
        <v>6070</v>
      </c>
      <c r="N20" s="412" t="s">
        <v>4019</v>
      </c>
      <c r="O20" s="412" t="s">
        <v>6092</v>
      </c>
      <c r="P20" s="423" t="s">
        <v>6031</v>
      </c>
      <c r="Q20" s="423" t="s">
        <v>6086</v>
      </c>
      <c r="R20" s="423" t="s">
        <v>6093</v>
      </c>
      <c r="S20" s="423" t="s">
        <v>6093</v>
      </c>
      <c r="T20" s="423"/>
      <c r="U20" s="423"/>
      <c r="V20" s="423"/>
      <c r="W20" s="429" t="s">
        <v>6034</v>
      </c>
      <c r="X20" s="423"/>
      <c r="Y20" s="423"/>
      <c r="Z20" s="423"/>
      <c r="AA20" s="423"/>
      <c r="AB20" s="423"/>
      <c r="AC20" s="423"/>
    </row>
    <row r="21" spans="1:29" ht="27">
      <c r="A21" s="413" t="s">
        <v>544</v>
      </c>
      <c r="B21" s="417" t="s">
        <v>6023</v>
      </c>
      <c r="C21" s="413" t="s">
        <v>888</v>
      </c>
      <c r="D21" s="414" t="s">
        <v>6070</v>
      </c>
      <c r="E21" s="413" t="s">
        <v>6025</v>
      </c>
      <c r="F21" s="413" t="s">
        <v>6026</v>
      </c>
      <c r="G21" s="413" t="s">
        <v>6027</v>
      </c>
      <c r="H21" s="413" t="s">
        <v>4020</v>
      </c>
      <c r="I21" s="414" t="s">
        <v>4339</v>
      </c>
      <c r="J21" s="417" t="s">
        <v>1634</v>
      </c>
      <c r="K21" s="417" t="s">
        <v>1650</v>
      </c>
      <c r="L21" s="417" t="s">
        <v>6094</v>
      </c>
      <c r="M21" s="414" t="s">
        <v>6070</v>
      </c>
      <c r="N21" s="412" t="s">
        <v>4020</v>
      </c>
      <c r="O21" s="412" t="s">
        <v>6095</v>
      </c>
      <c r="P21" s="423" t="s">
        <v>6031</v>
      </c>
      <c r="Q21" s="423" t="s">
        <v>6086</v>
      </c>
      <c r="R21" s="423" t="s">
        <v>6096</v>
      </c>
      <c r="S21" s="423" t="s">
        <v>6096</v>
      </c>
      <c r="T21" s="423"/>
      <c r="U21" s="423"/>
      <c r="V21" s="423"/>
      <c r="W21" s="429" t="s">
        <v>6034</v>
      </c>
      <c r="X21" s="423"/>
      <c r="Y21" s="423"/>
      <c r="Z21" s="423"/>
      <c r="AA21" s="423"/>
      <c r="AB21" s="423"/>
      <c r="AC21" s="423"/>
    </row>
    <row r="22" spans="1:29" ht="27">
      <c r="A22" s="413" t="s">
        <v>544</v>
      </c>
      <c r="B22" s="417" t="s">
        <v>6023</v>
      </c>
      <c r="C22" s="413" t="s">
        <v>888</v>
      </c>
      <c r="D22" s="414" t="s">
        <v>6070</v>
      </c>
      <c r="E22" s="413" t="s">
        <v>6025</v>
      </c>
      <c r="F22" s="413" t="s">
        <v>6026</v>
      </c>
      <c r="G22" s="413" t="s">
        <v>6027</v>
      </c>
      <c r="H22" s="413" t="s">
        <v>4021</v>
      </c>
      <c r="I22" s="414" t="s">
        <v>4339</v>
      </c>
      <c r="J22" s="417" t="s">
        <v>1634</v>
      </c>
      <c r="K22" s="417" t="s">
        <v>1650</v>
      </c>
      <c r="L22" s="417" t="s">
        <v>6097</v>
      </c>
      <c r="M22" s="414" t="s">
        <v>6070</v>
      </c>
      <c r="N22" s="412" t="s">
        <v>4021</v>
      </c>
      <c r="O22" s="412" t="s">
        <v>6098</v>
      </c>
      <c r="P22" s="423" t="s">
        <v>6031</v>
      </c>
      <c r="Q22" s="423" t="s">
        <v>6099</v>
      </c>
      <c r="R22" s="423" t="s">
        <v>6100</v>
      </c>
      <c r="S22" s="423" t="s">
        <v>6100</v>
      </c>
      <c r="T22" s="423"/>
      <c r="U22" s="423"/>
      <c r="V22" s="423"/>
      <c r="W22" s="429" t="s">
        <v>6034</v>
      </c>
      <c r="X22" s="423"/>
      <c r="Y22" s="423"/>
      <c r="Z22" s="423"/>
      <c r="AA22" s="423"/>
      <c r="AB22" s="423"/>
      <c r="AC22" s="423"/>
    </row>
    <row r="23" spans="1:29" ht="27">
      <c r="A23" s="413" t="s">
        <v>544</v>
      </c>
      <c r="B23" s="417" t="s">
        <v>6023</v>
      </c>
      <c r="C23" s="413" t="s">
        <v>887</v>
      </c>
      <c r="D23" s="414" t="s">
        <v>4342</v>
      </c>
      <c r="E23" s="413" t="s">
        <v>6025</v>
      </c>
      <c r="F23" s="413" t="s">
        <v>6026</v>
      </c>
      <c r="G23" s="413" t="s">
        <v>6027</v>
      </c>
      <c r="H23" s="413" t="s">
        <v>4022</v>
      </c>
      <c r="I23" s="414" t="s">
        <v>4339</v>
      </c>
      <c r="J23" s="417" t="s">
        <v>1634</v>
      </c>
      <c r="K23" s="417" t="s">
        <v>1661</v>
      </c>
      <c r="L23" s="417" t="s">
        <v>6101</v>
      </c>
      <c r="M23" s="414" t="s">
        <v>4342</v>
      </c>
      <c r="N23" s="412" t="s">
        <v>4022</v>
      </c>
      <c r="O23" s="412" t="s">
        <v>6102</v>
      </c>
      <c r="P23" s="423" t="s">
        <v>6031</v>
      </c>
      <c r="Q23" s="423" t="s">
        <v>6086</v>
      </c>
      <c r="R23" s="423" t="s">
        <v>6103</v>
      </c>
      <c r="S23" s="423" t="s">
        <v>6103</v>
      </c>
      <c r="T23" s="423"/>
      <c r="U23" s="423"/>
      <c r="V23" s="423"/>
      <c r="W23" s="429" t="s">
        <v>6034</v>
      </c>
      <c r="X23" s="423"/>
      <c r="Y23" s="423"/>
      <c r="Z23" s="423"/>
      <c r="AA23" s="423"/>
      <c r="AB23" s="423"/>
      <c r="AC23" s="423"/>
    </row>
    <row r="24" spans="1:29" ht="27">
      <c r="A24" s="413" t="s">
        <v>544</v>
      </c>
      <c r="B24" s="417" t="s">
        <v>6023</v>
      </c>
      <c r="C24" s="413" t="s">
        <v>887</v>
      </c>
      <c r="D24" s="414" t="s">
        <v>4342</v>
      </c>
      <c r="E24" s="413" t="s">
        <v>6025</v>
      </c>
      <c r="F24" s="413" t="s">
        <v>6026</v>
      </c>
      <c r="G24" s="413" t="s">
        <v>6027</v>
      </c>
      <c r="H24" s="413" t="s">
        <v>4023</v>
      </c>
      <c r="I24" s="414" t="s">
        <v>4339</v>
      </c>
      <c r="J24" s="417" t="s">
        <v>1634</v>
      </c>
      <c r="K24" s="417" t="s">
        <v>1661</v>
      </c>
      <c r="L24" s="417" t="s">
        <v>6104</v>
      </c>
      <c r="M24" s="414" t="s">
        <v>4342</v>
      </c>
      <c r="N24" s="412" t="s">
        <v>4023</v>
      </c>
      <c r="O24" s="412" t="s">
        <v>6105</v>
      </c>
      <c r="P24" s="423" t="s">
        <v>6031</v>
      </c>
      <c r="Q24" s="423" t="s">
        <v>6086</v>
      </c>
      <c r="R24" s="423" t="s">
        <v>6106</v>
      </c>
      <c r="S24" s="423" t="s">
        <v>6106</v>
      </c>
      <c r="T24" s="423"/>
      <c r="U24" s="423"/>
      <c r="V24" s="423"/>
      <c r="W24" s="429" t="s">
        <v>6034</v>
      </c>
      <c r="X24" s="423"/>
      <c r="Y24" s="423"/>
      <c r="Z24" s="423"/>
      <c r="AA24" s="423"/>
      <c r="AB24" s="423"/>
      <c r="AC24" s="423"/>
    </row>
    <row r="25" spans="1:29" ht="27">
      <c r="A25" s="413" t="s">
        <v>544</v>
      </c>
      <c r="B25" s="417" t="s">
        <v>6023</v>
      </c>
      <c r="C25" s="413" t="s">
        <v>887</v>
      </c>
      <c r="D25" s="414" t="s">
        <v>4342</v>
      </c>
      <c r="E25" s="413" t="s">
        <v>6025</v>
      </c>
      <c r="F25" s="413" t="s">
        <v>6026</v>
      </c>
      <c r="G25" s="413" t="s">
        <v>6027</v>
      </c>
      <c r="H25" s="413" t="s">
        <v>4024</v>
      </c>
      <c r="I25" s="415" t="s">
        <v>4339</v>
      </c>
      <c r="J25" s="417" t="s">
        <v>1634</v>
      </c>
      <c r="K25" s="417" t="s">
        <v>1661</v>
      </c>
      <c r="L25" s="417" t="s">
        <v>6107</v>
      </c>
      <c r="M25" s="414" t="s">
        <v>4342</v>
      </c>
      <c r="N25" s="412" t="s">
        <v>4024</v>
      </c>
      <c r="O25" s="412" t="s">
        <v>6108</v>
      </c>
      <c r="P25" s="423" t="s">
        <v>6031</v>
      </c>
      <c r="Q25" s="423" t="s">
        <v>6086</v>
      </c>
      <c r="R25" s="423" t="s">
        <v>6109</v>
      </c>
      <c r="S25" s="423" t="s">
        <v>6109</v>
      </c>
      <c r="T25" s="423"/>
      <c r="U25" s="423"/>
      <c r="V25" s="423"/>
      <c r="W25" s="429" t="s">
        <v>6034</v>
      </c>
      <c r="X25" s="423"/>
      <c r="Y25" s="423"/>
      <c r="Z25" s="423"/>
      <c r="AA25" s="423"/>
      <c r="AB25" s="423"/>
      <c r="AC25" s="423"/>
    </row>
    <row r="26" spans="1:29" ht="27">
      <c r="A26" s="413" t="s">
        <v>544</v>
      </c>
      <c r="B26" s="417" t="s">
        <v>6023</v>
      </c>
      <c r="C26" s="413" t="s">
        <v>887</v>
      </c>
      <c r="D26" s="414" t="s">
        <v>4342</v>
      </c>
      <c r="E26" s="413" t="s">
        <v>6025</v>
      </c>
      <c r="F26" s="413" t="s">
        <v>6026</v>
      </c>
      <c r="G26" s="413" t="s">
        <v>6027</v>
      </c>
      <c r="H26" s="413" t="s">
        <v>4025</v>
      </c>
      <c r="I26" s="414" t="s">
        <v>4339</v>
      </c>
      <c r="J26" s="417" t="s">
        <v>1634</v>
      </c>
      <c r="K26" s="417" t="s">
        <v>1661</v>
      </c>
      <c r="L26" s="417" t="s">
        <v>6110</v>
      </c>
      <c r="M26" s="414" t="s">
        <v>4342</v>
      </c>
      <c r="N26" s="412" t="s">
        <v>4025</v>
      </c>
      <c r="O26" s="412" t="s">
        <v>6111</v>
      </c>
      <c r="P26" s="423" t="s">
        <v>6031</v>
      </c>
      <c r="Q26" s="423" t="s">
        <v>6086</v>
      </c>
      <c r="R26" s="423" t="s">
        <v>6112</v>
      </c>
      <c r="S26" s="423" t="s">
        <v>6112</v>
      </c>
      <c r="T26" s="423"/>
      <c r="U26" s="423"/>
      <c r="V26" s="423"/>
      <c r="W26" s="429" t="s">
        <v>6034</v>
      </c>
      <c r="X26" s="423"/>
      <c r="Y26" s="423"/>
      <c r="Z26" s="423"/>
      <c r="AA26" s="423"/>
      <c r="AB26" s="423"/>
      <c r="AC26" s="423"/>
    </row>
    <row r="27" spans="1:29" ht="27">
      <c r="A27" s="413" t="s">
        <v>544</v>
      </c>
      <c r="B27" s="417" t="s">
        <v>6023</v>
      </c>
      <c r="C27" s="413" t="s">
        <v>887</v>
      </c>
      <c r="D27" s="414" t="s">
        <v>4342</v>
      </c>
      <c r="E27" s="413" t="s">
        <v>6025</v>
      </c>
      <c r="F27" s="413" t="s">
        <v>6026</v>
      </c>
      <c r="G27" s="413" t="s">
        <v>6027</v>
      </c>
      <c r="H27" s="413" t="s">
        <v>4026</v>
      </c>
      <c r="I27" s="414" t="s">
        <v>4339</v>
      </c>
      <c r="J27" s="417" t="s">
        <v>1634</v>
      </c>
      <c r="K27" s="417" t="s">
        <v>1661</v>
      </c>
      <c r="L27" s="417" t="s">
        <v>6113</v>
      </c>
      <c r="M27" s="414" t="s">
        <v>4342</v>
      </c>
      <c r="N27" s="412" t="s">
        <v>4026</v>
      </c>
      <c r="O27" s="412" t="s">
        <v>6114</v>
      </c>
      <c r="P27" s="423" t="s">
        <v>6031</v>
      </c>
      <c r="Q27" s="423" t="s">
        <v>6115</v>
      </c>
      <c r="R27" s="423" t="s">
        <v>6116</v>
      </c>
      <c r="S27" s="423" t="s">
        <v>6116</v>
      </c>
      <c r="T27" s="423"/>
      <c r="U27" s="423"/>
      <c r="V27" s="423"/>
      <c r="W27" s="429" t="s">
        <v>6034</v>
      </c>
      <c r="X27" s="423"/>
      <c r="Y27" s="423"/>
      <c r="Z27" s="423"/>
      <c r="AA27" s="423"/>
      <c r="AB27" s="423"/>
      <c r="AC27" s="423"/>
    </row>
    <row r="28" spans="1:29" ht="27">
      <c r="A28" s="413" t="s">
        <v>544</v>
      </c>
      <c r="B28" s="417" t="s">
        <v>6023</v>
      </c>
      <c r="C28" s="413" t="s">
        <v>887</v>
      </c>
      <c r="D28" s="414" t="s">
        <v>4342</v>
      </c>
      <c r="E28" s="413" t="s">
        <v>6025</v>
      </c>
      <c r="F28" s="413" t="s">
        <v>6026</v>
      </c>
      <c r="G28" s="413" t="s">
        <v>6027</v>
      </c>
      <c r="H28" s="413" t="s">
        <v>4027</v>
      </c>
      <c r="I28" s="414" t="s">
        <v>4339</v>
      </c>
      <c r="J28" s="417" t="s">
        <v>1634</v>
      </c>
      <c r="K28" s="417" t="s">
        <v>1661</v>
      </c>
      <c r="L28" s="417" t="s">
        <v>6117</v>
      </c>
      <c r="M28" s="414" t="s">
        <v>4342</v>
      </c>
      <c r="N28" s="412" t="s">
        <v>4027</v>
      </c>
      <c r="O28" s="412" t="s">
        <v>6118</v>
      </c>
      <c r="P28" s="423" t="s">
        <v>6031</v>
      </c>
      <c r="Q28" s="423" t="s">
        <v>6115</v>
      </c>
      <c r="R28" s="423" t="s">
        <v>6119</v>
      </c>
      <c r="S28" s="423" t="s">
        <v>6119</v>
      </c>
      <c r="T28" s="423"/>
      <c r="U28" s="423"/>
      <c r="V28" s="423"/>
      <c r="W28" s="429" t="s">
        <v>6034</v>
      </c>
      <c r="X28" s="423"/>
      <c r="Y28" s="423"/>
      <c r="Z28" s="423"/>
      <c r="AA28" s="423"/>
      <c r="AB28" s="423"/>
      <c r="AC28" s="423"/>
    </row>
    <row r="29" spans="1:29" ht="27">
      <c r="A29" s="413" t="s">
        <v>544</v>
      </c>
      <c r="B29" s="417" t="s">
        <v>6023</v>
      </c>
      <c r="C29" s="413" t="s">
        <v>887</v>
      </c>
      <c r="D29" s="414" t="s">
        <v>4342</v>
      </c>
      <c r="E29" s="413" t="s">
        <v>6025</v>
      </c>
      <c r="F29" s="413" t="s">
        <v>6026</v>
      </c>
      <c r="G29" s="413" t="s">
        <v>6027</v>
      </c>
      <c r="H29" s="413" t="s">
        <v>4028</v>
      </c>
      <c r="I29" s="414" t="s">
        <v>4339</v>
      </c>
      <c r="J29" s="417" t="s">
        <v>1634</v>
      </c>
      <c r="K29" s="417" t="s">
        <v>1661</v>
      </c>
      <c r="L29" s="417" t="s">
        <v>6120</v>
      </c>
      <c r="M29" s="414" t="s">
        <v>4342</v>
      </c>
      <c r="N29" s="412" t="s">
        <v>4028</v>
      </c>
      <c r="O29" s="412" t="s">
        <v>6121</v>
      </c>
      <c r="P29" s="423" t="s">
        <v>6031</v>
      </c>
      <c r="Q29" s="423" t="s">
        <v>6115</v>
      </c>
      <c r="R29" s="423" t="s">
        <v>1261</v>
      </c>
      <c r="S29" s="423" t="s">
        <v>1261</v>
      </c>
      <c r="T29" s="423"/>
      <c r="U29" s="423"/>
      <c r="V29" s="423"/>
      <c r="W29" s="429" t="s">
        <v>6034</v>
      </c>
      <c r="X29" s="423"/>
      <c r="Y29" s="423"/>
      <c r="Z29" s="423"/>
      <c r="AA29" s="423"/>
      <c r="AB29" s="423"/>
      <c r="AC29" s="423"/>
    </row>
    <row r="30" spans="1:29" ht="27">
      <c r="A30" s="413" t="s">
        <v>544</v>
      </c>
      <c r="B30" s="417" t="s">
        <v>6023</v>
      </c>
      <c r="C30" s="413" t="s">
        <v>887</v>
      </c>
      <c r="D30" s="414" t="s">
        <v>4342</v>
      </c>
      <c r="E30" s="413" t="s">
        <v>6025</v>
      </c>
      <c r="F30" s="413" t="s">
        <v>6026</v>
      </c>
      <c r="G30" s="413" t="s">
        <v>6027</v>
      </c>
      <c r="H30" s="413" t="s">
        <v>4029</v>
      </c>
      <c r="I30" s="414" t="s">
        <v>4339</v>
      </c>
      <c r="J30" s="417" t="s">
        <v>1634</v>
      </c>
      <c r="K30" s="417" t="s">
        <v>1661</v>
      </c>
      <c r="L30" s="417" t="s">
        <v>6122</v>
      </c>
      <c r="M30" s="414" t="s">
        <v>4342</v>
      </c>
      <c r="N30" s="412" t="s">
        <v>4029</v>
      </c>
      <c r="O30" s="412" t="s">
        <v>6123</v>
      </c>
      <c r="P30" s="423" t="s">
        <v>6031</v>
      </c>
      <c r="Q30" s="423" t="s">
        <v>6115</v>
      </c>
      <c r="R30" s="423" t="s">
        <v>1262</v>
      </c>
      <c r="S30" s="423" t="s">
        <v>1262</v>
      </c>
      <c r="T30" s="423"/>
      <c r="U30" s="423"/>
      <c r="V30" s="423"/>
      <c r="W30" s="429" t="s">
        <v>6034</v>
      </c>
      <c r="X30" s="423"/>
      <c r="Y30" s="423"/>
      <c r="Z30" s="423"/>
      <c r="AA30" s="423"/>
      <c r="AB30" s="423"/>
      <c r="AC30" s="423"/>
    </row>
    <row r="31" spans="1:29" ht="27">
      <c r="A31" s="413" t="s">
        <v>544</v>
      </c>
      <c r="B31" s="417" t="s">
        <v>6023</v>
      </c>
      <c r="C31" s="413" t="s">
        <v>887</v>
      </c>
      <c r="D31" s="414" t="s">
        <v>4342</v>
      </c>
      <c r="E31" s="413" t="s">
        <v>6025</v>
      </c>
      <c r="F31" s="413" t="s">
        <v>6026</v>
      </c>
      <c r="G31" s="413" t="s">
        <v>6027</v>
      </c>
      <c r="H31" s="413" t="s">
        <v>4030</v>
      </c>
      <c r="I31" s="414" t="s">
        <v>4339</v>
      </c>
      <c r="J31" s="417" t="s">
        <v>1634</v>
      </c>
      <c r="K31" s="417" t="s">
        <v>1661</v>
      </c>
      <c r="L31" s="417" t="s">
        <v>6124</v>
      </c>
      <c r="M31" s="414" t="s">
        <v>4342</v>
      </c>
      <c r="N31" s="412" t="s">
        <v>4030</v>
      </c>
      <c r="O31" s="412" t="s">
        <v>6125</v>
      </c>
      <c r="P31" s="423" t="s">
        <v>6031</v>
      </c>
      <c r="Q31" s="423" t="s">
        <v>6126</v>
      </c>
      <c r="R31" s="423" t="s">
        <v>6127</v>
      </c>
      <c r="S31" s="423" t="s">
        <v>6128</v>
      </c>
      <c r="T31" s="423"/>
      <c r="U31" s="423"/>
      <c r="V31" s="423"/>
      <c r="W31" s="429" t="s">
        <v>6034</v>
      </c>
      <c r="X31" s="423"/>
      <c r="Y31" s="423"/>
      <c r="Z31" s="423"/>
      <c r="AA31" s="423"/>
      <c r="AB31" s="423"/>
      <c r="AC31" s="423"/>
    </row>
    <row r="32" spans="1:29" ht="27">
      <c r="A32" s="413" t="s">
        <v>544</v>
      </c>
      <c r="B32" s="417" t="s">
        <v>6023</v>
      </c>
      <c r="C32" s="413" t="s">
        <v>887</v>
      </c>
      <c r="D32" s="414" t="s">
        <v>4342</v>
      </c>
      <c r="E32" s="413" t="s">
        <v>6025</v>
      </c>
      <c r="F32" s="413" t="s">
        <v>6026</v>
      </c>
      <c r="G32" s="413" t="s">
        <v>6027</v>
      </c>
      <c r="H32" s="413" t="s">
        <v>4031</v>
      </c>
      <c r="I32" s="414" t="s">
        <v>4339</v>
      </c>
      <c r="J32" s="417" t="s">
        <v>1634</v>
      </c>
      <c r="K32" s="417" t="s">
        <v>1661</v>
      </c>
      <c r="L32" s="417" t="s">
        <v>6129</v>
      </c>
      <c r="M32" s="414" t="s">
        <v>4342</v>
      </c>
      <c r="N32" s="412" t="s">
        <v>4031</v>
      </c>
      <c r="O32" s="412" t="s">
        <v>6130</v>
      </c>
      <c r="P32" s="423" t="s">
        <v>6031</v>
      </c>
      <c r="Q32" s="423" t="s">
        <v>6126</v>
      </c>
      <c r="R32" s="423" t="s">
        <v>6131</v>
      </c>
      <c r="S32" s="423" t="s">
        <v>6131</v>
      </c>
      <c r="T32" s="423"/>
      <c r="U32" s="423"/>
      <c r="V32" s="423"/>
      <c r="W32" s="429" t="s">
        <v>6034</v>
      </c>
      <c r="X32" s="423"/>
      <c r="Y32" s="423"/>
      <c r="Z32" s="423"/>
      <c r="AA32" s="423"/>
      <c r="AB32" s="423"/>
      <c r="AC32" s="423"/>
    </row>
    <row r="33" spans="1:29" ht="27">
      <c r="A33" s="413" t="s">
        <v>544</v>
      </c>
      <c r="B33" s="417" t="s">
        <v>6023</v>
      </c>
      <c r="C33" s="413" t="s">
        <v>887</v>
      </c>
      <c r="D33" s="414" t="s">
        <v>4342</v>
      </c>
      <c r="E33" s="413" t="s">
        <v>6025</v>
      </c>
      <c r="F33" s="413" t="s">
        <v>6026</v>
      </c>
      <c r="G33" s="413" t="s">
        <v>6027</v>
      </c>
      <c r="H33" s="413" t="s">
        <v>4032</v>
      </c>
      <c r="I33" s="414" t="s">
        <v>4339</v>
      </c>
      <c r="J33" s="417" t="s">
        <v>1634</v>
      </c>
      <c r="K33" s="417" t="s">
        <v>1661</v>
      </c>
      <c r="L33" s="417" t="s">
        <v>6132</v>
      </c>
      <c r="M33" s="414" t="s">
        <v>4342</v>
      </c>
      <c r="N33" s="412" t="s">
        <v>4032</v>
      </c>
      <c r="O33" s="412" t="s">
        <v>6133</v>
      </c>
      <c r="P33" s="423" t="s">
        <v>6031</v>
      </c>
      <c r="Q33" s="423" t="s">
        <v>6126</v>
      </c>
      <c r="R33" s="423" t="s">
        <v>6134</v>
      </c>
      <c r="S33" s="423" t="s">
        <v>6134</v>
      </c>
      <c r="T33" s="423"/>
      <c r="U33" s="423"/>
      <c r="V33" s="423"/>
      <c r="W33" s="429" t="s">
        <v>6034</v>
      </c>
      <c r="X33" s="423"/>
      <c r="Y33" s="423"/>
      <c r="Z33" s="423"/>
      <c r="AA33" s="423"/>
      <c r="AB33" s="423"/>
      <c r="AC33" s="423"/>
    </row>
    <row r="34" spans="1:29" ht="27">
      <c r="A34" s="413" t="s">
        <v>544</v>
      </c>
      <c r="B34" s="417" t="s">
        <v>6023</v>
      </c>
      <c r="C34" s="413" t="s">
        <v>887</v>
      </c>
      <c r="D34" s="414" t="s">
        <v>4342</v>
      </c>
      <c r="E34" s="413" t="s">
        <v>6025</v>
      </c>
      <c r="F34" s="413" t="s">
        <v>6026</v>
      </c>
      <c r="G34" s="413" t="s">
        <v>6027</v>
      </c>
      <c r="H34" s="413" t="s">
        <v>4033</v>
      </c>
      <c r="I34" s="414" t="s">
        <v>4339</v>
      </c>
      <c r="J34" s="417" t="s">
        <v>1634</v>
      </c>
      <c r="K34" s="417" t="s">
        <v>1661</v>
      </c>
      <c r="L34" s="417" t="s">
        <v>6135</v>
      </c>
      <c r="M34" s="414" t="s">
        <v>4342</v>
      </c>
      <c r="N34" s="412" t="s">
        <v>4033</v>
      </c>
      <c r="O34" s="412" t="s">
        <v>6136</v>
      </c>
      <c r="P34" s="423" t="s">
        <v>6031</v>
      </c>
      <c r="Q34" s="423" t="s">
        <v>6126</v>
      </c>
      <c r="R34" s="423" t="s">
        <v>6137</v>
      </c>
      <c r="S34" s="423" t="s">
        <v>6137</v>
      </c>
      <c r="T34" s="423"/>
      <c r="U34" s="423"/>
      <c r="V34" s="423"/>
      <c r="W34" s="429" t="s">
        <v>6034</v>
      </c>
      <c r="X34" s="423"/>
      <c r="Y34" s="423"/>
      <c r="Z34" s="423"/>
      <c r="AA34" s="423"/>
      <c r="AB34" s="423"/>
      <c r="AC34" s="423"/>
    </row>
    <row r="35" spans="1:29" ht="27">
      <c r="A35" s="413" t="s">
        <v>544</v>
      </c>
      <c r="B35" s="417" t="s">
        <v>6023</v>
      </c>
      <c r="C35" s="413" t="s">
        <v>886</v>
      </c>
      <c r="D35" s="414" t="s">
        <v>4336</v>
      </c>
      <c r="E35" s="413" t="s">
        <v>6025</v>
      </c>
      <c r="F35" s="413" t="s">
        <v>6026</v>
      </c>
      <c r="G35" s="413" t="s">
        <v>6027</v>
      </c>
      <c r="H35" s="413" t="s">
        <v>4034</v>
      </c>
      <c r="I35" s="411" t="s">
        <v>1630</v>
      </c>
      <c r="J35" s="417" t="s">
        <v>1634</v>
      </c>
      <c r="K35" s="417" t="s">
        <v>1675</v>
      </c>
      <c r="L35" s="417" t="s">
        <v>6138</v>
      </c>
      <c r="M35" s="414" t="s">
        <v>4336</v>
      </c>
      <c r="N35" s="412" t="s">
        <v>4034</v>
      </c>
      <c r="O35" s="412" t="s">
        <v>6139</v>
      </c>
      <c r="P35" s="423" t="s">
        <v>6031</v>
      </c>
      <c r="Q35" s="423" t="s">
        <v>6053</v>
      </c>
      <c r="R35" s="423" t="s">
        <v>6140</v>
      </c>
      <c r="S35" s="423" t="s">
        <v>6140</v>
      </c>
      <c r="T35" s="423"/>
      <c r="U35" s="423"/>
      <c r="V35" s="423"/>
      <c r="W35" s="429" t="s">
        <v>6034</v>
      </c>
      <c r="X35" s="423"/>
      <c r="Y35" s="423"/>
      <c r="Z35" s="423"/>
      <c r="AA35" s="423"/>
      <c r="AB35" s="423"/>
      <c r="AC35" s="423"/>
    </row>
    <row r="36" spans="1:29" ht="27">
      <c r="A36" s="413" t="s">
        <v>544</v>
      </c>
      <c r="B36" s="417" t="s">
        <v>6023</v>
      </c>
      <c r="C36" s="413" t="s">
        <v>886</v>
      </c>
      <c r="D36" s="414" t="s">
        <v>4336</v>
      </c>
      <c r="E36" s="413" t="s">
        <v>6025</v>
      </c>
      <c r="F36" s="413" t="s">
        <v>6026</v>
      </c>
      <c r="G36" s="413" t="s">
        <v>6027</v>
      </c>
      <c r="H36" s="413" t="s">
        <v>4035</v>
      </c>
      <c r="I36" s="411" t="s">
        <v>1630</v>
      </c>
      <c r="J36" s="417" t="s">
        <v>1634</v>
      </c>
      <c r="K36" s="417" t="s">
        <v>1675</v>
      </c>
      <c r="L36" s="417" t="s">
        <v>6141</v>
      </c>
      <c r="M36" s="414" t="s">
        <v>4336</v>
      </c>
      <c r="N36" s="412" t="s">
        <v>4035</v>
      </c>
      <c r="O36" s="412" t="s">
        <v>6142</v>
      </c>
      <c r="P36" s="423" t="s">
        <v>6031</v>
      </c>
      <c r="Q36" s="423" t="s">
        <v>6053</v>
      </c>
      <c r="R36" s="423" t="s">
        <v>6143</v>
      </c>
      <c r="S36" s="423" t="s">
        <v>6143</v>
      </c>
      <c r="T36" s="423"/>
      <c r="U36" s="423"/>
      <c r="V36" s="423"/>
      <c r="W36" s="429" t="s">
        <v>6034</v>
      </c>
      <c r="X36" s="423"/>
      <c r="Y36" s="423"/>
      <c r="Z36" s="423"/>
      <c r="AA36" s="423"/>
      <c r="AB36" s="423"/>
      <c r="AC36" s="423"/>
    </row>
    <row r="37" spans="1:29" ht="27">
      <c r="A37" s="413" t="s">
        <v>544</v>
      </c>
      <c r="B37" s="417" t="s">
        <v>6023</v>
      </c>
      <c r="C37" s="413" t="s">
        <v>886</v>
      </c>
      <c r="D37" s="414" t="s">
        <v>4336</v>
      </c>
      <c r="E37" s="413" t="s">
        <v>6025</v>
      </c>
      <c r="F37" s="413" t="s">
        <v>6026</v>
      </c>
      <c r="G37" s="413" t="s">
        <v>6027</v>
      </c>
      <c r="H37" s="413" t="s">
        <v>4036</v>
      </c>
      <c r="I37" s="411" t="s">
        <v>1630</v>
      </c>
      <c r="J37" s="417" t="s">
        <v>1634</v>
      </c>
      <c r="K37" s="417" t="s">
        <v>1675</v>
      </c>
      <c r="L37" s="417" t="s">
        <v>6144</v>
      </c>
      <c r="M37" s="414" t="s">
        <v>4336</v>
      </c>
      <c r="N37" s="412" t="s">
        <v>4036</v>
      </c>
      <c r="O37" s="412" t="s">
        <v>6145</v>
      </c>
      <c r="P37" s="423" t="s">
        <v>6031</v>
      </c>
      <c r="Q37" s="423" t="s">
        <v>6053</v>
      </c>
      <c r="R37" s="423" t="s">
        <v>6146</v>
      </c>
      <c r="S37" s="423" t="s">
        <v>6146</v>
      </c>
      <c r="T37" s="423"/>
      <c r="U37" s="423"/>
      <c r="V37" s="423"/>
      <c r="W37" s="429" t="s">
        <v>6034</v>
      </c>
      <c r="X37" s="423"/>
      <c r="Y37" s="423"/>
      <c r="Z37" s="423"/>
      <c r="AA37" s="423"/>
      <c r="AB37" s="423"/>
      <c r="AC37" s="423"/>
    </row>
    <row r="38" spans="1:29" ht="27">
      <c r="A38" s="413" t="s">
        <v>544</v>
      </c>
      <c r="B38" s="417" t="s">
        <v>6023</v>
      </c>
      <c r="C38" s="413" t="s">
        <v>886</v>
      </c>
      <c r="D38" s="414" t="s">
        <v>4336</v>
      </c>
      <c r="E38" s="413" t="s">
        <v>6025</v>
      </c>
      <c r="F38" s="413" t="s">
        <v>6026</v>
      </c>
      <c r="G38" s="413" t="s">
        <v>6027</v>
      </c>
      <c r="H38" s="413" t="s">
        <v>4037</v>
      </c>
      <c r="I38" s="411" t="s">
        <v>1630</v>
      </c>
      <c r="J38" s="417" t="s">
        <v>1634</v>
      </c>
      <c r="K38" s="417" t="s">
        <v>1675</v>
      </c>
      <c r="L38" s="417" t="s">
        <v>6147</v>
      </c>
      <c r="M38" s="414" t="s">
        <v>4336</v>
      </c>
      <c r="N38" s="412" t="s">
        <v>4037</v>
      </c>
      <c r="O38" s="412" t="s">
        <v>6148</v>
      </c>
      <c r="P38" s="423" t="s">
        <v>6031</v>
      </c>
      <c r="Q38" s="423" t="s">
        <v>6053</v>
      </c>
      <c r="R38" s="423" t="s">
        <v>6149</v>
      </c>
      <c r="S38" s="423" t="s">
        <v>6149</v>
      </c>
      <c r="T38" s="423"/>
      <c r="U38" s="423"/>
      <c r="V38" s="423"/>
      <c r="W38" s="429" t="s">
        <v>6034</v>
      </c>
      <c r="X38" s="423"/>
      <c r="Y38" s="423"/>
      <c r="Z38" s="423"/>
      <c r="AA38" s="423"/>
      <c r="AB38" s="423"/>
      <c r="AC38" s="423"/>
    </row>
    <row r="39" spans="1:29" ht="27">
      <c r="A39" s="413" t="s">
        <v>544</v>
      </c>
      <c r="B39" s="417" t="s">
        <v>6023</v>
      </c>
      <c r="C39" s="413" t="s">
        <v>886</v>
      </c>
      <c r="D39" s="414" t="s">
        <v>4336</v>
      </c>
      <c r="E39" s="413" t="s">
        <v>6025</v>
      </c>
      <c r="F39" s="413" t="s">
        <v>6026</v>
      </c>
      <c r="G39" s="413" t="s">
        <v>6027</v>
      </c>
      <c r="H39" s="413" t="s">
        <v>4038</v>
      </c>
      <c r="I39" s="411" t="s">
        <v>1630</v>
      </c>
      <c r="J39" s="417" t="s">
        <v>1634</v>
      </c>
      <c r="K39" s="417" t="s">
        <v>1675</v>
      </c>
      <c r="L39" s="417" t="s">
        <v>6150</v>
      </c>
      <c r="M39" s="414" t="s">
        <v>4336</v>
      </c>
      <c r="N39" s="412" t="s">
        <v>4038</v>
      </c>
      <c r="O39" s="412" t="s">
        <v>6151</v>
      </c>
      <c r="P39" s="423" t="s">
        <v>6031</v>
      </c>
      <c r="Q39" s="423" t="s">
        <v>6053</v>
      </c>
      <c r="R39" s="423" t="s">
        <v>6152</v>
      </c>
      <c r="S39" s="423" t="s">
        <v>6152</v>
      </c>
      <c r="T39" s="423"/>
      <c r="U39" s="423"/>
      <c r="V39" s="423"/>
      <c r="W39" s="429" t="s">
        <v>6034</v>
      </c>
      <c r="X39" s="423"/>
      <c r="Y39" s="423"/>
      <c r="Z39" s="423"/>
      <c r="AA39" s="423"/>
      <c r="AB39" s="423"/>
      <c r="AC39" s="423"/>
    </row>
    <row r="40" spans="1:29" ht="27">
      <c r="A40" s="413" t="s">
        <v>544</v>
      </c>
      <c r="B40" s="417" t="s">
        <v>6023</v>
      </c>
      <c r="C40" s="413" t="s">
        <v>886</v>
      </c>
      <c r="D40" s="414" t="s">
        <v>4336</v>
      </c>
      <c r="E40" s="413" t="s">
        <v>6025</v>
      </c>
      <c r="F40" s="413" t="s">
        <v>6026</v>
      </c>
      <c r="G40" s="413" t="s">
        <v>6027</v>
      </c>
      <c r="H40" s="413" t="s">
        <v>4039</v>
      </c>
      <c r="I40" s="411" t="s">
        <v>1630</v>
      </c>
      <c r="J40" s="417" t="s">
        <v>1634</v>
      </c>
      <c r="K40" s="417" t="s">
        <v>1675</v>
      </c>
      <c r="L40" s="417" t="s">
        <v>6153</v>
      </c>
      <c r="M40" s="414" t="s">
        <v>4336</v>
      </c>
      <c r="N40" s="412" t="s">
        <v>4039</v>
      </c>
      <c r="O40" s="412" t="s">
        <v>6154</v>
      </c>
      <c r="P40" s="423" t="s">
        <v>6031</v>
      </c>
      <c r="Q40" s="423" t="s">
        <v>6053</v>
      </c>
      <c r="R40" s="423" t="s">
        <v>6155</v>
      </c>
      <c r="S40" s="423" t="s">
        <v>6155</v>
      </c>
      <c r="T40" s="423"/>
      <c r="U40" s="423"/>
      <c r="V40" s="423"/>
      <c r="W40" s="429" t="s">
        <v>6034</v>
      </c>
      <c r="X40" s="423"/>
      <c r="Y40" s="423"/>
      <c r="Z40" s="423"/>
      <c r="AA40" s="423"/>
      <c r="AB40" s="423"/>
      <c r="AC40" s="423"/>
    </row>
    <row r="41" spans="1:29" ht="27">
      <c r="A41" s="413" t="s">
        <v>544</v>
      </c>
      <c r="B41" s="417" t="s">
        <v>6023</v>
      </c>
      <c r="C41" s="413" t="s">
        <v>886</v>
      </c>
      <c r="D41" s="414" t="s">
        <v>4336</v>
      </c>
      <c r="E41" s="413" t="s">
        <v>6025</v>
      </c>
      <c r="F41" s="413" t="s">
        <v>6026</v>
      </c>
      <c r="G41" s="413" t="s">
        <v>6027</v>
      </c>
      <c r="H41" s="413" t="s">
        <v>4040</v>
      </c>
      <c r="I41" s="411" t="s">
        <v>1630</v>
      </c>
      <c r="J41" s="417" t="s">
        <v>1634</v>
      </c>
      <c r="K41" s="417" t="s">
        <v>1675</v>
      </c>
      <c r="L41" s="417" t="s">
        <v>6156</v>
      </c>
      <c r="M41" s="414" t="s">
        <v>4336</v>
      </c>
      <c r="N41" s="412" t="s">
        <v>4040</v>
      </c>
      <c r="O41" s="412" t="s">
        <v>6157</v>
      </c>
      <c r="P41" s="423" t="s">
        <v>6031</v>
      </c>
      <c r="Q41" s="423" t="s">
        <v>6053</v>
      </c>
      <c r="R41" s="423" t="s">
        <v>6158</v>
      </c>
      <c r="S41" s="423" t="s">
        <v>6158</v>
      </c>
      <c r="T41" s="423"/>
      <c r="U41" s="423"/>
      <c r="V41" s="423"/>
      <c r="W41" s="429" t="s">
        <v>6034</v>
      </c>
      <c r="X41" s="423"/>
      <c r="Y41" s="423"/>
      <c r="Z41" s="423"/>
      <c r="AA41" s="423"/>
      <c r="AB41" s="423"/>
      <c r="AC41" s="423"/>
    </row>
    <row r="42" spans="1:29" ht="27">
      <c r="A42" s="413" t="s">
        <v>544</v>
      </c>
      <c r="B42" s="417" t="s">
        <v>6023</v>
      </c>
      <c r="C42" s="413" t="s">
        <v>886</v>
      </c>
      <c r="D42" s="414" t="s">
        <v>4336</v>
      </c>
      <c r="E42" s="413" t="s">
        <v>6025</v>
      </c>
      <c r="F42" s="413" t="s">
        <v>6026</v>
      </c>
      <c r="G42" s="413" t="s">
        <v>6027</v>
      </c>
      <c r="H42" s="413" t="s">
        <v>4041</v>
      </c>
      <c r="I42" s="411" t="s">
        <v>1630</v>
      </c>
      <c r="J42" s="417" t="s">
        <v>1634</v>
      </c>
      <c r="K42" s="417" t="s">
        <v>1675</v>
      </c>
      <c r="L42" s="417" t="s">
        <v>6159</v>
      </c>
      <c r="M42" s="414" t="s">
        <v>4336</v>
      </c>
      <c r="N42" s="412" t="s">
        <v>4041</v>
      </c>
      <c r="O42" s="412" t="s">
        <v>6160</v>
      </c>
      <c r="P42" s="423" t="s">
        <v>6031</v>
      </c>
      <c r="Q42" s="423" t="s">
        <v>6053</v>
      </c>
      <c r="R42" s="423" t="s">
        <v>6161</v>
      </c>
      <c r="S42" s="423" t="s">
        <v>6161</v>
      </c>
      <c r="T42" s="423"/>
      <c r="U42" s="423"/>
      <c r="V42" s="423"/>
      <c r="W42" s="429" t="s">
        <v>6034</v>
      </c>
      <c r="X42" s="423"/>
      <c r="Y42" s="423"/>
      <c r="Z42" s="423"/>
      <c r="AA42" s="423"/>
      <c r="AB42" s="423"/>
      <c r="AC42" s="423"/>
    </row>
    <row r="43" spans="1:29" ht="27">
      <c r="A43" s="413" t="s">
        <v>544</v>
      </c>
      <c r="B43" s="417" t="s">
        <v>6023</v>
      </c>
      <c r="C43" s="413" t="s">
        <v>886</v>
      </c>
      <c r="D43" s="414" t="s">
        <v>4336</v>
      </c>
      <c r="E43" s="413" t="s">
        <v>6025</v>
      </c>
      <c r="F43" s="413" t="s">
        <v>6026</v>
      </c>
      <c r="G43" s="413" t="s">
        <v>6027</v>
      </c>
      <c r="H43" s="413" t="s">
        <v>4042</v>
      </c>
      <c r="I43" s="411" t="s">
        <v>1630</v>
      </c>
      <c r="J43" s="417" t="s">
        <v>1634</v>
      </c>
      <c r="K43" s="417" t="s">
        <v>1675</v>
      </c>
      <c r="L43" s="417" t="s">
        <v>6162</v>
      </c>
      <c r="M43" s="414" t="s">
        <v>4336</v>
      </c>
      <c r="N43" s="412" t="s">
        <v>4042</v>
      </c>
      <c r="O43" s="412" t="s">
        <v>6163</v>
      </c>
      <c r="P43" s="423" t="s">
        <v>6031</v>
      </c>
      <c r="Q43" s="423" t="s">
        <v>6053</v>
      </c>
      <c r="R43" s="423" t="s">
        <v>6164</v>
      </c>
      <c r="S43" s="423" t="s">
        <v>6164</v>
      </c>
      <c r="T43" s="423"/>
      <c r="U43" s="423"/>
      <c r="V43" s="423"/>
      <c r="W43" s="429" t="s">
        <v>6034</v>
      </c>
      <c r="X43" s="423"/>
      <c r="Y43" s="423"/>
      <c r="Z43" s="423"/>
      <c r="AA43" s="423"/>
      <c r="AB43" s="423"/>
      <c r="AC43" s="423"/>
    </row>
    <row r="44" spans="1:29" ht="27">
      <c r="A44" s="413" t="s">
        <v>544</v>
      </c>
      <c r="B44" s="417" t="s">
        <v>6023</v>
      </c>
      <c r="C44" s="413" t="s">
        <v>891</v>
      </c>
      <c r="D44" s="414" t="s">
        <v>6165</v>
      </c>
      <c r="E44" s="413" t="s">
        <v>6025</v>
      </c>
      <c r="F44" s="413" t="s">
        <v>6026</v>
      </c>
      <c r="G44" s="413" t="s">
        <v>6027</v>
      </c>
      <c r="H44" s="413" t="s">
        <v>4043</v>
      </c>
      <c r="I44" s="414" t="s">
        <v>4339</v>
      </c>
      <c r="J44" s="417" t="s">
        <v>1634</v>
      </c>
      <c r="K44" s="417" t="s">
        <v>1686</v>
      </c>
      <c r="L44" s="417" t="s">
        <v>6166</v>
      </c>
      <c r="M44" s="414" t="s">
        <v>6165</v>
      </c>
      <c r="N44" s="412" t="s">
        <v>4043</v>
      </c>
      <c r="O44" s="412" t="s">
        <v>6167</v>
      </c>
      <c r="P44" s="423" t="s">
        <v>6031</v>
      </c>
      <c r="Q44" s="423" t="s">
        <v>6168</v>
      </c>
      <c r="R44" s="423" t="s">
        <v>6169</v>
      </c>
      <c r="S44" s="423" t="s">
        <v>6169</v>
      </c>
      <c r="T44" s="423"/>
      <c r="U44" s="423"/>
      <c r="V44" s="423"/>
      <c r="W44" s="429" t="s">
        <v>6034</v>
      </c>
      <c r="X44" s="423"/>
      <c r="Y44" s="423"/>
      <c r="Z44" s="423"/>
      <c r="AA44" s="423"/>
      <c r="AB44" s="423"/>
      <c r="AC44" s="423"/>
    </row>
    <row r="45" spans="1:29" ht="27">
      <c r="A45" s="413" t="s">
        <v>544</v>
      </c>
      <c r="B45" s="417" t="s">
        <v>6023</v>
      </c>
      <c r="C45" s="413" t="s">
        <v>891</v>
      </c>
      <c r="D45" s="414" t="s">
        <v>6165</v>
      </c>
      <c r="E45" s="413" t="s">
        <v>6025</v>
      </c>
      <c r="F45" s="413" t="s">
        <v>6026</v>
      </c>
      <c r="G45" s="413" t="s">
        <v>6027</v>
      </c>
      <c r="H45" s="413" t="s">
        <v>4044</v>
      </c>
      <c r="I45" s="414" t="s">
        <v>4339</v>
      </c>
      <c r="J45" s="417" t="s">
        <v>1634</v>
      </c>
      <c r="K45" s="417" t="s">
        <v>1686</v>
      </c>
      <c r="L45" s="417" t="s">
        <v>6170</v>
      </c>
      <c r="M45" s="414" t="s">
        <v>6165</v>
      </c>
      <c r="N45" s="412" t="s">
        <v>4044</v>
      </c>
      <c r="O45" s="412" t="s">
        <v>6171</v>
      </c>
      <c r="P45" s="423" t="s">
        <v>6031</v>
      </c>
      <c r="Q45" s="423" t="s">
        <v>6168</v>
      </c>
      <c r="R45" s="423" t="s">
        <v>6172</v>
      </c>
      <c r="S45" s="423" t="s">
        <v>6172</v>
      </c>
      <c r="T45" s="423"/>
      <c r="U45" s="423"/>
      <c r="V45" s="423"/>
      <c r="W45" s="429" t="s">
        <v>6034</v>
      </c>
      <c r="X45" s="423"/>
      <c r="Y45" s="423"/>
      <c r="Z45" s="423"/>
      <c r="AA45" s="423"/>
      <c r="AB45" s="423"/>
      <c r="AC45" s="423"/>
    </row>
    <row r="46" spans="1:29" ht="27">
      <c r="A46" s="413" t="s">
        <v>544</v>
      </c>
      <c r="B46" s="417" t="s">
        <v>6023</v>
      </c>
      <c r="C46" s="413" t="s">
        <v>891</v>
      </c>
      <c r="D46" s="414" t="s">
        <v>6165</v>
      </c>
      <c r="E46" s="413" t="s">
        <v>6025</v>
      </c>
      <c r="F46" s="413" t="s">
        <v>6026</v>
      </c>
      <c r="G46" s="413" t="s">
        <v>6027</v>
      </c>
      <c r="H46" s="413" t="s">
        <v>4045</v>
      </c>
      <c r="I46" s="414" t="s">
        <v>4339</v>
      </c>
      <c r="J46" s="417" t="s">
        <v>1634</v>
      </c>
      <c r="K46" s="417" t="s">
        <v>1686</v>
      </c>
      <c r="L46" s="417" t="s">
        <v>6173</v>
      </c>
      <c r="M46" s="414" t="s">
        <v>6165</v>
      </c>
      <c r="N46" s="412" t="s">
        <v>4045</v>
      </c>
      <c r="O46" s="412" t="s">
        <v>6174</v>
      </c>
      <c r="P46" s="423" t="s">
        <v>6031</v>
      </c>
      <c r="Q46" s="423" t="s">
        <v>6168</v>
      </c>
      <c r="R46" s="423" t="s">
        <v>6175</v>
      </c>
      <c r="S46" s="423" t="s">
        <v>6175</v>
      </c>
      <c r="T46" s="423"/>
      <c r="U46" s="423"/>
      <c r="V46" s="423"/>
      <c r="W46" s="429" t="s">
        <v>6034</v>
      </c>
      <c r="X46" s="423"/>
      <c r="Y46" s="423"/>
      <c r="Z46" s="423"/>
      <c r="AA46" s="423"/>
      <c r="AB46" s="423"/>
      <c r="AC46" s="423"/>
    </row>
    <row r="47" spans="1:29" ht="27">
      <c r="A47" s="413" t="s">
        <v>544</v>
      </c>
      <c r="B47" s="417" t="s">
        <v>6023</v>
      </c>
      <c r="C47" s="413" t="s">
        <v>891</v>
      </c>
      <c r="D47" s="414" t="s">
        <v>6165</v>
      </c>
      <c r="E47" s="413" t="s">
        <v>6025</v>
      </c>
      <c r="F47" s="413" t="s">
        <v>6026</v>
      </c>
      <c r="G47" s="413" t="s">
        <v>6027</v>
      </c>
      <c r="H47" s="413" t="s">
        <v>4046</v>
      </c>
      <c r="I47" s="414" t="s">
        <v>4339</v>
      </c>
      <c r="J47" s="417" t="s">
        <v>1634</v>
      </c>
      <c r="K47" s="417" t="s">
        <v>1686</v>
      </c>
      <c r="L47" s="417" t="s">
        <v>6176</v>
      </c>
      <c r="M47" s="414" t="s">
        <v>6165</v>
      </c>
      <c r="N47" s="412" t="s">
        <v>4046</v>
      </c>
      <c r="O47" s="412" t="s">
        <v>6177</v>
      </c>
      <c r="P47" s="423" t="s">
        <v>6031</v>
      </c>
      <c r="Q47" s="423" t="s">
        <v>6168</v>
      </c>
      <c r="R47" s="423" t="s">
        <v>6178</v>
      </c>
      <c r="S47" s="423" t="s">
        <v>6178</v>
      </c>
      <c r="T47" s="423"/>
      <c r="U47" s="423"/>
      <c r="V47" s="423"/>
      <c r="W47" s="429" t="s">
        <v>6034</v>
      </c>
      <c r="X47" s="423"/>
      <c r="Y47" s="423"/>
      <c r="Z47" s="423"/>
      <c r="AA47" s="423"/>
      <c r="AB47" s="423"/>
      <c r="AC47" s="423"/>
    </row>
    <row r="48" spans="1:29" ht="27">
      <c r="A48" s="413" t="s">
        <v>544</v>
      </c>
      <c r="B48" s="417" t="s">
        <v>6023</v>
      </c>
      <c r="C48" s="413" t="s">
        <v>886</v>
      </c>
      <c r="D48" s="414" t="s">
        <v>4336</v>
      </c>
      <c r="E48" s="413" t="s">
        <v>6025</v>
      </c>
      <c r="F48" s="413" t="s">
        <v>6026</v>
      </c>
      <c r="G48" s="413" t="s">
        <v>6027</v>
      </c>
      <c r="H48" s="413" t="s">
        <v>4047</v>
      </c>
      <c r="I48" s="411" t="s">
        <v>1630</v>
      </c>
      <c r="J48" s="417" t="s">
        <v>1634</v>
      </c>
      <c r="K48" s="417" t="s">
        <v>1692</v>
      </c>
      <c r="L48" s="417" t="s">
        <v>6179</v>
      </c>
      <c r="M48" s="414" t="s">
        <v>4336</v>
      </c>
      <c r="N48" s="412" t="s">
        <v>4047</v>
      </c>
      <c r="O48" s="412" t="s">
        <v>6180</v>
      </c>
      <c r="P48" s="423" t="s">
        <v>6031</v>
      </c>
      <c r="Q48" s="423" t="s">
        <v>6053</v>
      </c>
      <c r="R48" s="423" t="s">
        <v>6181</v>
      </c>
      <c r="S48" s="423" t="s">
        <v>6181</v>
      </c>
      <c r="T48" s="423"/>
      <c r="U48" s="423"/>
      <c r="V48" s="423"/>
      <c r="W48" s="429" t="s">
        <v>6034</v>
      </c>
      <c r="X48" s="423"/>
      <c r="Y48" s="423"/>
      <c r="Z48" s="423"/>
      <c r="AA48" s="423"/>
      <c r="AB48" s="423"/>
      <c r="AC48" s="423"/>
    </row>
    <row r="49" spans="1:85" ht="27">
      <c r="A49" s="413" t="s">
        <v>544</v>
      </c>
      <c r="B49" s="417" t="s">
        <v>6023</v>
      </c>
      <c r="C49" s="413" t="s">
        <v>886</v>
      </c>
      <c r="D49" s="414" t="s">
        <v>4336</v>
      </c>
      <c r="E49" s="413" t="s">
        <v>6025</v>
      </c>
      <c r="F49" s="413" t="s">
        <v>6026</v>
      </c>
      <c r="G49" s="413" t="s">
        <v>6027</v>
      </c>
      <c r="H49" s="413" t="s">
        <v>4048</v>
      </c>
      <c r="I49" s="411" t="s">
        <v>1630</v>
      </c>
      <c r="J49" s="417" t="s">
        <v>1634</v>
      </c>
      <c r="K49" s="417" t="s">
        <v>1692</v>
      </c>
      <c r="L49" s="417" t="s">
        <v>1693</v>
      </c>
      <c r="M49" s="414" t="s">
        <v>4336</v>
      </c>
      <c r="N49" s="412" t="s">
        <v>4048</v>
      </c>
      <c r="O49" s="412" t="s">
        <v>6182</v>
      </c>
      <c r="P49" s="423" t="s">
        <v>6031</v>
      </c>
      <c r="Q49" s="423" t="s">
        <v>6053</v>
      </c>
      <c r="R49" s="423" t="s">
        <v>6183</v>
      </c>
      <c r="S49" s="423" t="s">
        <v>6183</v>
      </c>
      <c r="T49" s="423"/>
      <c r="U49" s="423"/>
      <c r="V49" s="423"/>
      <c r="W49" s="429" t="s">
        <v>6034</v>
      </c>
      <c r="X49" s="423"/>
      <c r="Y49" s="423"/>
      <c r="Z49" s="423"/>
      <c r="AA49" s="423"/>
      <c r="AB49" s="423"/>
      <c r="AC49" s="423"/>
    </row>
    <row r="50" spans="1:85" ht="27">
      <c r="A50" s="413" t="s">
        <v>544</v>
      </c>
      <c r="B50" s="417" t="s">
        <v>6023</v>
      </c>
      <c r="C50" s="413" t="s">
        <v>886</v>
      </c>
      <c r="D50" s="414" t="s">
        <v>4336</v>
      </c>
      <c r="E50" s="413" t="s">
        <v>6025</v>
      </c>
      <c r="F50" s="413" t="s">
        <v>6026</v>
      </c>
      <c r="G50" s="413" t="s">
        <v>6027</v>
      </c>
      <c r="H50" s="413" t="s">
        <v>4049</v>
      </c>
      <c r="I50" s="411" t="s">
        <v>1630</v>
      </c>
      <c r="J50" s="417" t="s">
        <v>1634</v>
      </c>
      <c r="K50" s="417" t="s">
        <v>1692</v>
      </c>
      <c r="L50" s="417" t="s">
        <v>1694</v>
      </c>
      <c r="M50" s="414" t="s">
        <v>4336</v>
      </c>
      <c r="N50" s="412" t="s">
        <v>4049</v>
      </c>
      <c r="O50" s="412" t="s">
        <v>6184</v>
      </c>
      <c r="P50" s="423" t="s">
        <v>6031</v>
      </c>
      <c r="Q50" s="423" t="s">
        <v>6053</v>
      </c>
      <c r="R50" s="423" t="s">
        <v>6185</v>
      </c>
      <c r="S50" s="423" t="s">
        <v>6185</v>
      </c>
      <c r="T50" s="423"/>
      <c r="U50" s="423"/>
      <c r="V50" s="423"/>
      <c r="W50" s="429" t="s">
        <v>6034</v>
      </c>
      <c r="X50" s="423"/>
      <c r="Y50" s="423"/>
      <c r="Z50" s="423"/>
      <c r="AA50" s="423"/>
      <c r="AB50" s="423"/>
      <c r="AC50" s="423"/>
    </row>
    <row r="51" spans="1:85" ht="27">
      <c r="A51" s="413" t="s">
        <v>544</v>
      </c>
      <c r="B51" s="417" t="s">
        <v>6023</v>
      </c>
      <c r="C51" s="413" t="s">
        <v>886</v>
      </c>
      <c r="D51" s="414" t="s">
        <v>4336</v>
      </c>
      <c r="E51" s="413" t="s">
        <v>6025</v>
      </c>
      <c r="F51" s="413" t="s">
        <v>6026</v>
      </c>
      <c r="G51" s="413" t="s">
        <v>6027</v>
      </c>
      <c r="H51" s="413" t="s">
        <v>4050</v>
      </c>
      <c r="I51" s="411" t="s">
        <v>1630</v>
      </c>
      <c r="J51" s="417" t="s">
        <v>1634</v>
      </c>
      <c r="K51" s="417" t="s">
        <v>1692</v>
      </c>
      <c r="L51" s="417" t="s">
        <v>1695</v>
      </c>
      <c r="M51" s="414" t="s">
        <v>4336</v>
      </c>
      <c r="N51" s="412" t="s">
        <v>4050</v>
      </c>
      <c r="O51" s="412" t="s">
        <v>6186</v>
      </c>
      <c r="P51" s="423" t="s">
        <v>6031</v>
      </c>
      <c r="Q51" s="423" t="s">
        <v>6187</v>
      </c>
      <c r="R51" s="423" t="s">
        <v>6188</v>
      </c>
      <c r="S51" s="423" t="s">
        <v>6188</v>
      </c>
      <c r="T51" s="423"/>
      <c r="U51" s="423"/>
      <c r="V51" s="423"/>
      <c r="W51" s="429" t="s">
        <v>6034</v>
      </c>
      <c r="X51" s="423"/>
      <c r="Y51" s="423"/>
      <c r="Z51" s="423"/>
      <c r="AA51" s="423"/>
      <c r="AB51" s="423"/>
      <c r="AC51" s="423"/>
    </row>
    <row r="52" spans="1:85" ht="27">
      <c r="A52" s="413" t="s">
        <v>544</v>
      </c>
      <c r="B52" s="417" t="s">
        <v>6023</v>
      </c>
      <c r="C52" s="413" t="s">
        <v>886</v>
      </c>
      <c r="D52" s="414" t="s">
        <v>4336</v>
      </c>
      <c r="E52" s="413" t="s">
        <v>6025</v>
      </c>
      <c r="F52" s="413" t="s">
        <v>6026</v>
      </c>
      <c r="G52" s="413" t="s">
        <v>6027</v>
      </c>
      <c r="H52" s="413" t="s">
        <v>4051</v>
      </c>
      <c r="I52" s="411" t="s">
        <v>1630</v>
      </c>
      <c r="J52" s="417" t="s">
        <v>1634</v>
      </c>
      <c r="K52" s="417" t="s">
        <v>1692</v>
      </c>
      <c r="L52" s="417" t="s">
        <v>1696</v>
      </c>
      <c r="M52" s="414" t="s">
        <v>4336</v>
      </c>
      <c r="N52" s="412" t="s">
        <v>4051</v>
      </c>
      <c r="O52" s="412" t="s">
        <v>6189</v>
      </c>
      <c r="P52" s="423" t="s">
        <v>6031</v>
      </c>
      <c r="Q52" s="423" t="s">
        <v>6187</v>
      </c>
      <c r="R52" s="423" t="s">
        <v>6190</v>
      </c>
      <c r="S52" s="423" t="s">
        <v>6190</v>
      </c>
      <c r="T52" s="423"/>
      <c r="U52" s="423"/>
      <c r="V52" s="423"/>
      <c r="W52" s="429" t="s">
        <v>6034</v>
      </c>
      <c r="X52" s="423"/>
      <c r="Y52" s="423"/>
      <c r="Z52" s="423"/>
      <c r="AA52" s="423"/>
      <c r="AB52" s="423"/>
      <c r="AC52" s="423"/>
    </row>
    <row r="53" spans="1:85" ht="27">
      <c r="A53" s="413" t="s">
        <v>544</v>
      </c>
      <c r="B53" s="417" t="s">
        <v>6023</v>
      </c>
      <c r="C53" s="413" t="s">
        <v>891</v>
      </c>
      <c r="D53" s="414" t="s">
        <v>6165</v>
      </c>
      <c r="E53" s="413" t="s">
        <v>6025</v>
      </c>
      <c r="F53" s="413" t="s">
        <v>6026</v>
      </c>
      <c r="G53" s="413" t="s">
        <v>6027</v>
      </c>
      <c r="H53" s="413" t="s">
        <v>4052</v>
      </c>
      <c r="I53" s="414" t="s">
        <v>4339</v>
      </c>
      <c r="J53" s="417" t="s">
        <v>1634</v>
      </c>
      <c r="K53" s="417" t="s">
        <v>1699</v>
      </c>
      <c r="L53" s="417" t="s">
        <v>6191</v>
      </c>
      <c r="M53" s="414" t="s">
        <v>6165</v>
      </c>
      <c r="N53" s="412" t="s">
        <v>4052</v>
      </c>
      <c r="O53" s="412" t="s">
        <v>6192</v>
      </c>
      <c r="P53" s="423" t="s">
        <v>6031</v>
      </c>
      <c r="Q53" s="423" t="s">
        <v>6168</v>
      </c>
      <c r="R53" s="423" t="s">
        <v>6193</v>
      </c>
      <c r="S53" s="423" t="s">
        <v>6193</v>
      </c>
      <c r="T53" s="423"/>
      <c r="U53" s="423"/>
      <c r="V53" s="423"/>
      <c r="W53" s="429" t="s">
        <v>6034</v>
      </c>
      <c r="X53" s="423"/>
      <c r="Y53" s="423"/>
      <c r="Z53" s="423"/>
      <c r="AA53" s="423"/>
      <c r="AB53" s="423"/>
      <c r="AC53" s="423"/>
    </row>
    <row r="54" spans="1:85" ht="27">
      <c r="A54" s="413" t="s">
        <v>544</v>
      </c>
      <c r="B54" s="417" t="s">
        <v>6023</v>
      </c>
      <c r="C54" s="413" t="s">
        <v>891</v>
      </c>
      <c r="D54" s="414" t="s">
        <v>6165</v>
      </c>
      <c r="E54" s="413" t="s">
        <v>6025</v>
      </c>
      <c r="F54" s="413" t="s">
        <v>6026</v>
      </c>
      <c r="G54" s="413" t="s">
        <v>6027</v>
      </c>
      <c r="H54" s="413" t="s">
        <v>4053</v>
      </c>
      <c r="I54" s="414" t="s">
        <v>4339</v>
      </c>
      <c r="J54" s="417" t="s">
        <v>1634</v>
      </c>
      <c r="K54" s="417" t="s">
        <v>1699</v>
      </c>
      <c r="L54" s="417" t="s">
        <v>6194</v>
      </c>
      <c r="M54" s="414" t="s">
        <v>6165</v>
      </c>
      <c r="N54" s="412" t="s">
        <v>4053</v>
      </c>
      <c r="O54" s="412" t="s">
        <v>6195</v>
      </c>
      <c r="P54" s="423" t="s">
        <v>6031</v>
      </c>
      <c r="Q54" s="423" t="s">
        <v>6168</v>
      </c>
      <c r="R54" s="423" t="s">
        <v>6196</v>
      </c>
      <c r="S54" s="423" t="s">
        <v>6196</v>
      </c>
      <c r="T54" s="423"/>
      <c r="U54" s="423"/>
      <c r="V54" s="423"/>
      <c r="W54" s="429" t="s">
        <v>6034</v>
      </c>
      <c r="X54" s="423"/>
      <c r="Y54" s="423"/>
      <c r="Z54" s="423"/>
      <c r="AA54" s="423"/>
      <c r="AB54" s="423"/>
      <c r="AC54" s="423"/>
    </row>
    <row r="55" spans="1:85" ht="27">
      <c r="A55" s="413" t="s">
        <v>544</v>
      </c>
      <c r="B55" s="417" t="s">
        <v>6023</v>
      </c>
      <c r="C55" s="413" t="s">
        <v>891</v>
      </c>
      <c r="D55" s="414" t="s">
        <v>6165</v>
      </c>
      <c r="E55" s="413" t="s">
        <v>6025</v>
      </c>
      <c r="F55" s="413" t="s">
        <v>6026</v>
      </c>
      <c r="G55" s="413" t="s">
        <v>6027</v>
      </c>
      <c r="H55" s="413" t="s">
        <v>4054</v>
      </c>
      <c r="I55" s="414" t="s">
        <v>4339</v>
      </c>
      <c r="J55" s="417" t="s">
        <v>1634</v>
      </c>
      <c r="K55" s="417" t="s">
        <v>1699</v>
      </c>
      <c r="L55" s="417" t="s">
        <v>6197</v>
      </c>
      <c r="M55" s="414" t="s">
        <v>6165</v>
      </c>
      <c r="N55" s="412" t="s">
        <v>4054</v>
      </c>
      <c r="O55" s="412" t="s">
        <v>6198</v>
      </c>
      <c r="P55" s="423" t="s">
        <v>6031</v>
      </c>
      <c r="Q55" s="423" t="s">
        <v>6168</v>
      </c>
      <c r="R55" s="423" t="s">
        <v>6199</v>
      </c>
      <c r="S55" s="423" t="s">
        <v>6199</v>
      </c>
      <c r="T55" s="423"/>
      <c r="U55" s="423"/>
      <c r="V55" s="423"/>
      <c r="W55" s="429" t="s">
        <v>6034</v>
      </c>
      <c r="X55" s="423"/>
      <c r="Y55" s="423"/>
      <c r="Z55" s="423"/>
      <c r="AA55" s="423"/>
      <c r="AB55" s="423"/>
      <c r="AC55" s="423"/>
    </row>
    <row r="56" spans="1:85" ht="27">
      <c r="A56" s="413" t="s">
        <v>544</v>
      </c>
      <c r="B56" s="417" t="s">
        <v>6023</v>
      </c>
      <c r="C56" s="413" t="s">
        <v>891</v>
      </c>
      <c r="D56" s="414" t="s">
        <v>6165</v>
      </c>
      <c r="E56" s="413" t="s">
        <v>6025</v>
      </c>
      <c r="F56" s="413" t="s">
        <v>6026</v>
      </c>
      <c r="G56" s="413" t="s">
        <v>6027</v>
      </c>
      <c r="H56" s="413" t="s">
        <v>4055</v>
      </c>
      <c r="I56" s="414" t="s">
        <v>4339</v>
      </c>
      <c r="J56" s="417" t="s">
        <v>1634</v>
      </c>
      <c r="K56" s="417" t="s">
        <v>1699</v>
      </c>
      <c r="L56" s="417" t="s">
        <v>6200</v>
      </c>
      <c r="M56" s="414" t="s">
        <v>6165</v>
      </c>
      <c r="N56" s="412" t="s">
        <v>4055</v>
      </c>
      <c r="O56" s="412" t="s">
        <v>6201</v>
      </c>
      <c r="P56" s="423" t="s">
        <v>6031</v>
      </c>
      <c r="Q56" s="423" t="s">
        <v>6168</v>
      </c>
      <c r="R56" s="423" t="s">
        <v>6202</v>
      </c>
      <c r="S56" s="423" t="s">
        <v>6202</v>
      </c>
      <c r="T56" s="423"/>
      <c r="U56" s="423"/>
      <c r="V56" s="423"/>
      <c r="W56" s="429" t="s">
        <v>6034</v>
      </c>
      <c r="X56" s="423"/>
      <c r="Y56" s="423"/>
      <c r="Z56" s="423"/>
      <c r="AA56" s="423"/>
      <c r="AB56" s="423"/>
      <c r="AC56" s="423"/>
    </row>
    <row r="57" spans="1:85" ht="27">
      <c r="A57" s="413" t="s">
        <v>544</v>
      </c>
      <c r="B57" s="417" t="s">
        <v>6023</v>
      </c>
      <c r="C57" s="413" t="s">
        <v>891</v>
      </c>
      <c r="D57" s="414" t="s">
        <v>6165</v>
      </c>
      <c r="E57" s="413" t="s">
        <v>6025</v>
      </c>
      <c r="F57" s="413" t="s">
        <v>6026</v>
      </c>
      <c r="G57" s="413" t="s">
        <v>6027</v>
      </c>
      <c r="H57" s="413" t="s">
        <v>4056</v>
      </c>
      <c r="I57" s="414" t="s">
        <v>4339</v>
      </c>
      <c r="J57" s="417" t="s">
        <v>1634</v>
      </c>
      <c r="K57" s="417" t="s">
        <v>1699</v>
      </c>
      <c r="L57" s="417" t="s">
        <v>6203</v>
      </c>
      <c r="M57" s="414" t="s">
        <v>6165</v>
      </c>
      <c r="N57" s="412" t="s">
        <v>4056</v>
      </c>
      <c r="O57" s="412" t="s">
        <v>6204</v>
      </c>
      <c r="P57" s="423" t="s">
        <v>6031</v>
      </c>
      <c r="Q57" s="423" t="s">
        <v>6168</v>
      </c>
      <c r="R57" s="423" t="s">
        <v>6205</v>
      </c>
      <c r="S57" s="423" t="s">
        <v>6205</v>
      </c>
      <c r="T57" s="423"/>
      <c r="U57" s="423"/>
      <c r="V57" s="423"/>
      <c r="W57" s="429" t="s">
        <v>6034</v>
      </c>
      <c r="X57" s="423"/>
      <c r="Y57" s="423"/>
      <c r="Z57" s="423"/>
      <c r="AA57" s="423"/>
      <c r="AB57" s="423"/>
      <c r="AC57" s="423"/>
    </row>
    <row r="58" spans="1:85" ht="27">
      <c r="A58" s="413" t="s">
        <v>544</v>
      </c>
      <c r="B58" s="417" t="s">
        <v>6023</v>
      </c>
      <c r="C58" s="413" t="s">
        <v>891</v>
      </c>
      <c r="D58" s="414" t="s">
        <v>6165</v>
      </c>
      <c r="E58" s="413" t="s">
        <v>6025</v>
      </c>
      <c r="F58" s="413" t="s">
        <v>6026</v>
      </c>
      <c r="G58" s="413" t="s">
        <v>6027</v>
      </c>
      <c r="H58" s="413" t="s">
        <v>4057</v>
      </c>
      <c r="I58" s="414" t="s">
        <v>4339</v>
      </c>
      <c r="J58" s="417" t="s">
        <v>1634</v>
      </c>
      <c r="K58" s="417" t="s">
        <v>1699</v>
      </c>
      <c r="L58" s="417" t="s">
        <v>6206</v>
      </c>
      <c r="M58" s="414" t="s">
        <v>6165</v>
      </c>
      <c r="N58" s="412" t="s">
        <v>4057</v>
      </c>
      <c r="O58" s="412" t="s">
        <v>6207</v>
      </c>
      <c r="P58" s="423" t="s">
        <v>6031</v>
      </c>
      <c r="Q58" s="423" t="s">
        <v>6168</v>
      </c>
      <c r="R58" s="423" t="s">
        <v>6208</v>
      </c>
      <c r="S58" s="423" t="s">
        <v>6208</v>
      </c>
      <c r="T58" s="423"/>
      <c r="U58" s="423"/>
      <c r="V58" s="423"/>
      <c r="W58" s="429" t="s">
        <v>6034</v>
      </c>
      <c r="X58" s="423"/>
      <c r="Y58" s="423"/>
      <c r="Z58" s="423"/>
      <c r="AA58" s="423"/>
      <c r="AB58" s="423"/>
      <c r="AC58" s="423"/>
    </row>
    <row r="59" spans="1:85" ht="27">
      <c r="A59" s="413" t="s">
        <v>544</v>
      </c>
      <c r="B59" s="417" t="s">
        <v>6023</v>
      </c>
      <c r="C59" s="413" t="s">
        <v>891</v>
      </c>
      <c r="D59" s="414" t="s">
        <v>6165</v>
      </c>
      <c r="E59" s="413" t="s">
        <v>6025</v>
      </c>
      <c r="F59" s="413" t="s">
        <v>6026</v>
      </c>
      <c r="G59" s="413" t="s">
        <v>6027</v>
      </c>
      <c r="H59" s="413" t="s">
        <v>4058</v>
      </c>
      <c r="I59" s="414" t="s">
        <v>4339</v>
      </c>
      <c r="J59" s="417" t="s">
        <v>1634</v>
      </c>
      <c r="K59" s="417" t="s">
        <v>1699</v>
      </c>
      <c r="L59" s="417" t="s">
        <v>6209</v>
      </c>
      <c r="M59" s="414" t="s">
        <v>6165</v>
      </c>
      <c r="N59" s="412" t="s">
        <v>4058</v>
      </c>
      <c r="O59" s="412" t="s">
        <v>6210</v>
      </c>
      <c r="P59" s="423" t="s">
        <v>6031</v>
      </c>
      <c r="Q59" s="423" t="s">
        <v>6168</v>
      </c>
      <c r="R59" s="423" t="s">
        <v>6211</v>
      </c>
      <c r="S59" s="423" t="s">
        <v>6211</v>
      </c>
      <c r="T59" s="423"/>
      <c r="U59" s="423"/>
      <c r="V59" s="423"/>
      <c r="W59" s="429" t="s">
        <v>6034</v>
      </c>
      <c r="X59" s="423"/>
      <c r="Y59" s="423"/>
      <c r="Z59" s="423"/>
      <c r="AA59" s="423"/>
      <c r="AB59" s="423"/>
      <c r="AC59" s="423"/>
    </row>
    <row r="60" spans="1:85" s="422" customFormat="1" ht="27">
      <c r="A60" s="413" t="s">
        <v>544</v>
      </c>
      <c r="B60" s="417" t="s">
        <v>6023</v>
      </c>
      <c r="C60" s="413" t="s">
        <v>888</v>
      </c>
      <c r="D60" s="414" t="s">
        <v>6070</v>
      </c>
      <c r="E60" s="413" t="s">
        <v>6025</v>
      </c>
      <c r="F60" s="413" t="s">
        <v>6026</v>
      </c>
      <c r="G60" s="413" t="s">
        <v>6027</v>
      </c>
      <c r="H60" s="413" t="s">
        <v>6212</v>
      </c>
      <c r="I60" s="414" t="s">
        <v>4339</v>
      </c>
      <c r="J60" s="417" t="s">
        <v>6213</v>
      </c>
      <c r="K60" s="417" t="s">
        <v>6214</v>
      </c>
      <c r="L60" s="417" t="s">
        <v>2168</v>
      </c>
      <c r="M60" s="414" t="s">
        <v>6070</v>
      </c>
      <c r="N60" s="412" t="s">
        <v>6215</v>
      </c>
      <c r="O60" s="412" t="s">
        <v>6216</v>
      </c>
      <c r="P60" s="423" t="s">
        <v>6031</v>
      </c>
      <c r="Q60" s="423" t="s">
        <v>6099</v>
      </c>
      <c r="R60" s="423" t="s">
        <v>6217</v>
      </c>
      <c r="S60" s="423" t="s">
        <v>6217</v>
      </c>
      <c r="T60" s="423"/>
      <c r="U60" s="423"/>
      <c r="V60" s="423"/>
      <c r="W60" s="429" t="s">
        <v>6034</v>
      </c>
      <c r="X60" s="423"/>
      <c r="Y60" s="423"/>
      <c r="Z60" s="423"/>
      <c r="AA60" s="423"/>
      <c r="AB60" s="423"/>
      <c r="AC60" s="423"/>
      <c r="AD60" s="416"/>
      <c r="AE60" s="416"/>
      <c r="AF60" s="416"/>
      <c r="AG60" s="416"/>
      <c r="AH60" s="416"/>
      <c r="AI60" s="416"/>
      <c r="AJ60" s="416"/>
      <c r="AK60" s="416"/>
      <c r="AL60" s="416"/>
      <c r="AM60" s="416"/>
      <c r="AN60" s="416"/>
      <c r="AO60" s="416"/>
      <c r="AP60" s="416"/>
      <c r="AQ60" s="416"/>
      <c r="AR60" s="416"/>
      <c r="AS60" s="416"/>
      <c r="AT60" s="416"/>
      <c r="AU60" s="416"/>
      <c r="AV60" s="416"/>
      <c r="AW60" s="416"/>
      <c r="AX60" s="416"/>
      <c r="AY60" s="416"/>
      <c r="AZ60" s="416"/>
      <c r="BA60" s="416"/>
      <c r="BB60" s="416"/>
      <c r="BC60" s="416"/>
      <c r="BD60" s="416"/>
      <c r="BE60" s="416"/>
      <c r="BF60" s="416"/>
      <c r="BG60" s="416"/>
      <c r="BH60" s="416"/>
      <c r="BI60" s="416"/>
      <c r="BJ60" s="416"/>
      <c r="BK60" s="416"/>
      <c r="BL60" s="416"/>
      <c r="BM60" s="416"/>
      <c r="BN60" s="416"/>
      <c r="BO60" s="416"/>
      <c r="BP60" s="416"/>
      <c r="BQ60" s="416"/>
      <c r="BR60" s="416"/>
      <c r="BS60" s="416"/>
      <c r="BT60" s="416"/>
      <c r="BU60" s="416"/>
      <c r="BV60" s="416"/>
      <c r="BW60" s="416"/>
      <c r="BX60" s="416"/>
      <c r="BY60" s="416"/>
      <c r="BZ60" s="416"/>
      <c r="CA60" s="416"/>
      <c r="CB60" s="416"/>
      <c r="CC60" s="416"/>
      <c r="CD60" s="416"/>
      <c r="CE60" s="416"/>
      <c r="CF60" s="416"/>
      <c r="CG60" s="416"/>
    </row>
    <row r="61" spans="1:85" ht="27">
      <c r="A61" s="413" t="s">
        <v>544</v>
      </c>
      <c r="B61" s="417" t="s">
        <v>6023</v>
      </c>
      <c r="C61" s="413" t="s">
        <v>888</v>
      </c>
      <c r="D61" s="414" t="s">
        <v>6070</v>
      </c>
      <c r="E61" s="413" t="s">
        <v>6025</v>
      </c>
      <c r="F61" s="413" t="s">
        <v>6026</v>
      </c>
      <c r="G61" s="413" t="s">
        <v>6027</v>
      </c>
      <c r="H61" s="413" t="s">
        <v>3258</v>
      </c>
      <c r="I61" s="414" t="s">
        <v>4339</v>
      </c>
      <c r="J61" s="417" t="s">
        <v>6213</v>
      </c>
      <c r="K61" s="417" t="s">
        <v>6218</v>
      </c>
      <c r="L61" s="417" t="s">
        <v>2170</v>
      </c>
      <c r="M61" s="414" t="s">
        <v>6070</v>
      </c>
      <c r="N61" s="412" t="s">
        <v>3258</v>
      </c>
      <c r="O61" s="412" t="s">
        <v>6219</v>
      </c>
      <c r="P61" s="423" t="s">
        <v>6031</v>
      </c>
      <c r="Q61" s="423" t="s">
        <v>6099</v>
      </c>
      <c r="R61" s="423" t="s">
        <v>6220</v>
      </c>
      <c r="S61" s="423" t="s">
        <v>6220</v>
      </c>
      <c r="T61" s="423"/>
      <c r="U61" s="423"/>
      <c r="V61" s="423"/>
      <c r="W61" s="429" t="s">
        <v>6034</v>
      </c>
      <c r="X61" s="423"/>
      <c r="Y61" s="423"/>
      <c r="Z61" s="423"/>
      <c r="AA61" s="423"/>
      <c r="AB61" s="423"/>
      <c r="AC61" s="423"/>
    </row>
    <row r="62" spans="1:85" ht="27">
      <c r="A62" s="413" t="s">
        <v>544</v>
      </c>
      <c r="B62" s="417" t="s">
        <v>6023</v>
      </c>
      <c r="C62" s="413" t="s">
        <v>888</v>
      </c>
      <c r="D62" s="414" t="s">
        <v>6070</v>
      </c>
      <c r="E62" s="413" t="s">
        <v>6025</v>
      </c>
      <c r="F62" s="413" t="s">
        <v>6026</v>
      </c>
      <c r="G62" s="413" t="s">
        <v>6027</v>
      </c>
      <c r="H62" s="413" t="s">
        <v>3259</v>
      </c>
      <c r="I62" s="414" t="s">
        <v>4339</v>
      </c>
      <c r="J62" s="417" t="s">
        <v>6213</v>
      </c>
      <c r="K62" s="417" t="s">
        <v>6221</v>
      </c>
      <c r="L62" s="417" t="s">
        <v>2172</v>
      </c>
      <c r="M62" s="414" t="s">
        <v>6070</v>
      </c>
      <c r="N62" s="412" t="s">
        <v>3259</v>
      </c>
      <c r="O62" s="412" t="s">
        <v>6222</v>
      </c>
      <c r="P62" s="423" t="s">
        <v>6031</v>
      </c>
      <c r="Q62" s="423" t="s">
        <v>6099</v>
      </c>
      <c r="R62" s="423" t="s">
        <v>6223</v>
      </c>
      <c r="S62" s="423" t="s">
        <v>6223</v>
      </c>
      <c r="T62" s="423"/>
      <c r="U62" s="423"/>
      <c r="V62" s="423"/>
      <c r="W62" s="429" t="s">
        <v>6034</v>
      </c>
      <c r="X62" s="423"/>
      <c r="Y62" s="423"/>
      <c r="Z62" s="423"/>
      <c r="AA62" s="423"/>
      <c r="AB62" s="423"/>
      <c r="AC62" s="423"/>
    </row>
    <row r="63" spans="1:85" ht="27">
      <c r="A63" s="413" t="s">
        <v>544</v>
      </c>
      <c r="B63" s="417" t="s">
        <v>6023</v>
      </c>
      <c r="C63" s="413" t="s">
        <v>888</v>
      </c>
      <c r="D63" s="414" t="s">
        <v>6070</v>
      </c>
      <c r="E63" s="413" t="s">
        <v>6025</v>
      </c>
      <c r="F63" s="413" t="s">
        <v>6026</v>
      </c>
      <c r="G63" s="413" t="s">
        <v>6027</v>
      </c>
      <c r="H63" s="413" t="s">
        <v>3260</v>
      </c>
      <c r="I63" s="414" t="s">
        <v>4339</v>
      </c>
      <c r="J63" s="417" t="s">
        <v>6213</v>
      </c>
      <c r="K63" s="417" t="s">
        <v>2175</v>
      </c>
      <c r="L63" s="417" t="s">
        <v>2174</v>
      </c>
      <c r="M63" s="414" t="s">
        <v>6070</v>
      </c>
      <c r="N63" s="412" t="s">
        <v>3260</v>
      </c>
      <c r="O63" s="412" t="s">
        <v>6224</v>
      </c>
      <c r="P63" s="423" t="s">
        <v>6031</v>
      </c>
      <c r="Q63" s="423" t="s">
        <v>6099</v>
      </c>
      <c r="R63" s="423" t="s">
        <v>6225</v>
      </c>
      <c r="S63" s="423" t="s">
        <v>6225</v>
      </c>
      <c r="T63" s="423"/>
      <c r="U63" s="423"/>
      <c r="V63" s="423"/>
      <c r="W63" s="429" t="s">
        <v>6034</v>
      </c>
      <c r="X63" s="423"/>
      <c r="Y63" s="423"/>
      <c r="Z63" s="423"/>
      <c r="AA63" s="423"/>
      <c r="AB63" s="423"/>
      <c r="AC63" s="423"/>
    </row>
    <row r="64" spans="1:85" ht="27">
      <c r="A64" s="413" t="s">
        <v>544</v>
      </c>
      <c r="B64" s="417" t="s">
        <v>6023</v>
      </c>
      <c r="C64" s="413" t="s">
        <v>888</v>
      </c>
      <c r="D64" s="414" t="s">
        <v>6070</v>
      </c>
      <c r="E64" s="413" t="s">
        <v>6025</v>
      </c>
      <c r="F64" s="413" t="s">
        <v>6026</v>
      </c>
      <c r="G64" s="413" t="s">
        <v>6027</v>
      </c>
      <c r="H64" s="413" t="s">
        <v>3261</v>
      </c>
      <c r="I64" s="414" t="s">
        <v>4339</v>
      </c>
      <c r="J64" s="417" t="s">
        <v>6213</v>
      </c>
      <c r="K64" s="417" t="s">
        <v>2175</v>
      </c>
      <c r="L64" s="417" t="s">
        <v>6226</v>
      </c>
      <c r="M64" s="414" t="s">
        <v>6070</v>
      </c>
      <c r="N64" s="412" t="s">
        <v>3261</v>
      </c>
      <c r="O64" s="412" t="s">
        <v>6227</v>
      </c>
      <c r="P64" s="423" t="s">
        <v>6031</v>
      </c>
      <c r="Q64" s="423" t="s">
        <v>6099</v>
      </c>
      <c r="R64" s="423" t="s">
        <v>6228</v>
      </c>
      <c r="S64" s="423" t="s">
        <v>6228</v>
      </c>
      <c r="T64" s="423"/>
      <c r="U64" s="423"/>
      <c r="V64" s="423"/>
      <c r="W64" s="429" t="s">
        <v>6034</v>
      </c>
      <c r="X64" s="423"/>
      <c r="Y64" s="423"/>
      <c r="Z64" s="423"/>
      <c r="AA64" s="423"/>
      <c r="AB64" s="423"/>
      <c r="AC64" s="423"/>
    </row>
    <row r="65" spans="1:85" s="422" customFormat="1" ht="27">
      <c r="A65" s="413" t="s">
        <v>544</v>
      </c>
      <c r="B65" s="417" t="s">
        <v>6023</v>
      </c>
      <c r="C65" s="413" t="s">
        <v>888</v>
      </c>
      <c r="D65" s="414" t="s">
        <v>6070</v>
      </c>
      <c r="E65" s="413" t="s">
        <v>6025</v>
      </c>
      <c r="F65" s="413" t="s">
        <v>6026</v>
      </c>
      <c r="G65" s="413" t="s">
        <v>6027</v>
      </c>
      <c r="H65" s="413" t="s">
        <v>3262</v>
      </c>
      <c r="I65" s="414" t="s">
        <v>4339</v>
      </c>
      <c r="J65" s="417" t="s">
        <v>6213</v>
      </c>
      <c r="K65" s="417" t="s">
        <v>2175</v>
      </c>
      <c r="L65" s="417" t="s">
        <v>2177</v>
      </c>
      <c r="M65" s="414" t="s">
        <v>6070</v>
      </c>
      <c r="N65" s="412" t="s">
        <v>3262</v>
      </c>
      <c r="O65" s="412" t="s">
        <v>6229</v>
      </c>
      <c r="P65" s="423" t="s">
        <v>6031</v>
      </c>
      <c r="Q65" s="423" t="s">
        <v>6099</v>
      </c>
      <c r="R65" s="423" t="s">
        <v>6230</v>
      </c>
      <c r="S65" s="423" t="s">
        <v>6230</v>
      </c>
      <c r="T65" s="423"/>
      <c r="U65" s="423"/>
      <c r="V65" s="423"/>
      <c r="W65" s="429" t="s">
        <v>6034</v>
      </c>
      <c r="X65" s="423"/>
      <c r="Y65" s="423"/>
      <c r="Z65" s="423"/>
      <c r="AA65" s="423"/>
      <c r="AB65" s="423"/>
      <c r="AC65" s="423"/>
      <c r="AD65" s="416"/>
      <c r="AE65" s="416"/>
      <c r="AF65" s="416"/>
      <c r="AG65" s="416"/>
      <c r="AH65" s="416"/>
      <c r="AI65" s="416"/>
      <c r="AJ65" s="416"/>
      <c r="AK65" s="416"/>
      <c r="AL65" s="416"/>
      <c r="AM65" s="416"/>
      <c r="AN65" s="416"/>
      <c r="AO65" s="416"/>
      <c r="AP65" s="416"/>
      <c r="AQ65" s="416"/>
      <c r="AR65" s="416"/>
      <c r="AS65" s="416"/>
      <c r="AT65" s="416"/>
      <c r="AU65" s="416"/>
      <c r="AV65" s="416"/>
      <c r="AW65" s="416"/>
      <c r="AX65" s="416"/>
      <c r="AY65" s="416"/>
      <c r="AZ65" s="416"/>
      <c r="BA65" s="416"/>
      <c r="BB65" s="416"/>
      <c r="BC65" s="416"/>
      <c r="BD65" s="416"/>
      <c r="BE65" s="416"/>
      <c r="BF65" s="416"/>
      <c r="BG65" s="416"/>
      <c r="BH65" s="416"/>
      <c r="BI65" s="416"/>
      <c r="BJ65" s="416"/>
      <c r="BK65" s="416"/>
      <c r="BL65" s="416"/>
      <c r="BM65" s="416"/>
      <c r="BN65" s="416"/>
      <c r="BO65" s="416"/>
      <c r="BP65" s="416"/>
      <c r="BQ65" s="416"/>
      <c r="BR65" s="416"/>
      <c r="BS65" s="416"/>
      <c r="BT65" s="416"/>
      <c r="BU65" s="416"/>
      <c r="BV65" s="416"/>
      <c r="BW65" s="416"/>
      <c r="BX65" s="416"/>
      <c r="BY65" s="416"/>
      <c r="BZ65" s="416"/>
      <c r="CA65" s="416"/>
      <c r="CB65" s="416"/>
      <c r="CC65" s="416"/>
      <c r="CD65" s="416"/>
      <c r="CE65" s="416"/>
      <c r="CF65" s="416"/>
      <c r="CG65" s="416"/>
    </row>
    <row r="66" spans="1:85" s="422" customFormat="1" ht="27">
      <c r="A66" s="413" t="s">
        <v>544</v>
      </c>
      <c r="B66" s="417" t="s">
        <v>6023</v>
      </c>
      <c r="C66" s="413" t="s">
        <v>888</v>
      </c>
      <c r="D66" s="414" t="s">
        <v>6070</v>
      </c>
      <c r="E66" s="413" t="s">
        <v>6025</v>
      </c>
      <c r="F66" s="413" t="s">
        <v>6026</v>
      </c>
      <c r="G66" s="413" t="s">
        <v>6027</v>
      </c>
      <c r="H66" s="413" t="s">
        <v>3263</v>
      </c>
      <c r="I66" s="414" t="s">
        <v>4339</v>
      </c>
      <c r="J66" s="417" t="s">
        <v>6213</v>
      </c>
      <c r="K66" s="417" t="s">
        <v>2175</v>
      </c>
      <c r="L66" s="417" t="s">
        <v>2178</v>
      </c>
      <c r="M66" s="414" t="s">
        <v>6070</v>
      </c>
      <c r="N66" s="412" t="s">
        <v>3263</v>
      </c>
      <c r="O66" s="412" t="s">
        <v>6231</v>
      </c>
      <c r="P66" s="423" t="s">
        <v>6031</v>
      </c>
      <c r="Q66" s="423" t="s">
        <v>6099</v>
      </c>
      <c r="R66" s="423" t="s">
        <v>6232</v>
      </c>
      <c r="S66" s="423" t="s">
        <v>6232</v>
      </c>
      <c r="T66" s="423"/>
      <c r="U66" s="423"/>
      <c r="V66" s="423"/>
      <c r="W66" s="429" t="s">
        <v>6034</v>
      </c>
      <c r="X66" s="423"/>
      <c r="Y66" s="423"/>
      <c r="Z66" s="423"/>
      <c r="AA66" s="423"/>
      <c r="AB66" s="423"/>
      <c r="AC66" s="423"/>
      <c r="AD66" s="416"/>
      <c r="AE66" s="416"/>
      <c r="AF66" s="416"/>
      <c r="AG66" s="416"/>
      <c r="AH66" s="416"/>
      <c r="AI66" s="416"/>
      <c r="AJ66" s="416"/>
      <c r="AK66" s="416"/>
      <c r="AL66" s="416"/>
      <c r="AM66" s="416"/>
      <c r="AN66" s="416"/>
      <c r="AO66" s="416"/>
      <c r="AP66" s="416"/>
      <c r="AQ66" s="416"/>
      <c r="AR66" s="416"/>
      <c r="AS66" s="416"/>
      <c r="AT66" s="416"/>
      <c r="AU66" s="416"/>
      <c r="AV66" s="416"/>
      <c r="AW66" s="416"/>
      <c r="AX66" s="416"/>
      <c r="AY66" s="416"/>
      <c r="AZ66" s="416"/>
      <c r="BA66" s="416"/>
      <c r="BB66" s="416"/>
      <c r="BC66" s="416"/>
      <c r="BD66" s="416"/>
      <c r="BE66" s="416"/>
      <c r="BF66" s="416"/>
      <c r="BG66" s="416"/>
      <c r="BH66" s="416"/>
      <c r="BI66" s="416"/>
      <c r="BJ66" s="416"/>
      <c r="BK66" s="416"/>
      <c r="BL66" s="416"/>
      <c r="BM66" s="416"/>
      <c r="BN66" s="416"/>
      <c r="BO66" s="416"/>
      <c r="BP66" s="416"/>
      <c r="BQ66" s="416"/>
      <c r="BR66" s="416"/>
      <c r="BS66" s="416"/>
      <c r="BT66" s="416"/>
      <c r="BU66" s="416"/>
      <c r="BV66" s="416"/>
      <c r="BW66" s="416"/>
      <c r="BX66" s="416"/>
      <c r="BY66" s="416"/>
      <c r="BZ66" s="416"/>
      <c r="CA66" s="416"/>
      <c r="CB66" s="416"/>
      <c r="CC66" s="416"/>
      <c r="CD66" s="416"/>
      <c r="CE66" s="416"/>
      <c r="CF66" s="416"/>
      <c r="CG66" s="416"/>
    </row>
    <row r="67" spans="1:85" ht="27">
      <c r="A67" s="413" t="s">
        <v>544</v>
      </c>
      <c r="B67" s="417" t="s">
        <v>6023</v>
      </c>
      <c r="C67" s="413" t="s">
        <v>889</v>
      </c>
      <c r="D67" s="414" t="s">
        <v>6233</v>
      </c>
      <c r="E67" s="413" t="s">
        <v>6025</v>
      </c>
      <c r="F67" s="413" t="s">
        <v>6026</v>
      </c>
      <c r="G67" s="413" t="s">
        <v>6027</v>
      </c>
      <c r="H67" s="413" t="s">
        <v>3264</v>
      </c>
      <c r="I67" s="414" t="s">
        <v>4339</v>
      </c>
      <c r="J67" s="417" t="s">
        <v>6213</v>
      </c>
      <c r="K67" s="417" t="s">
        <v>2180</v>
      </c>
      <c r="L67" s="417" t="s">
        <v>2180</v>
      </c>
      <c r="M67" s="414" t="s">
        <v>6233</v>
      </c>
      <c r="N67" s="412" t="s">
        <v>3264</v>
      </c>
      <c r="O67" s="412" t="s">
        <v>6234</v>
      </c>
      <c r="P67" s="423" t="s">
        <v>6031</v>
      </c>
      <c r="Q67" s="423" t="s">
        <v>6235</v>
      </c>
      <c r="R67" s="423" t="s">
        <v>6236</v>
      </c>
      <c r="S67" s="423" t="s">
        <v>6236</v>
      </c>
      <c r="T67" s="423"/>
      <c r="U67" s="423"/>
      <c r="V67" s="423"/>
      <c r="W67" s="429" t="s">
        <v>6034</v>
      </c>
      <c r="X67" s="423"/>
      <c r="Y67" s="423"/>
      <c r="Z67" s="423"/>
      <c r="AA67" s="423"/>
      <c r="AB67" s="423"/>
      <c r="AC67" s="423"/>
    </row>
    <row r="68" spans="1:85" ht="27">
      <c r="A68" s="413" t="s">
        <v>544</v>
      </c>
      <c r="B68" s="417" t="s">
        <v>6023</v>
      </c>
      <c r="C68" s="413" t="s">
        <v>889</v>
      </c>
      <c r="D68" s="414" t="s">
        <v>6233</v>
      </c>
      <c r="E68" s="413" t="s">
        <v>6025</v>
      </c>
      <c r="F68" s="413" t="s">
        <v>6026</v>
      </c>
      <c r="G68" s="413" t="s">
        <v>6027</v>
      </c>
      <c r="H68" s="413" t="s">
        <v>3265</v>
      </c>
      <c r="I68" s="414" t="s">
        <v>4339</v>
      </c>
      <c r="J68" s="417" t="s">
        <v>6213</v>
      </c>
      <c r="K68" s="417" t="s">
        <v>6237</v>
      </c>
      <c r="L68" s="417" t="s">
        <v>6238</v>
      </c>
      <c r="M68" s="414" t="s">
        <v>6233</v>
      </c>
      <c r="N68" s="412" t="s">
        <v>3265</v>
      </c>
      <c r="O68" s="412" t="s">
        <v>6239</v>
      </c>
      <c r="P68" s="423" t="s">
        <v>6031</v>
      </c>
      <c r="Q68" s="423" t="s">
        <v>6235</v>
      </c>
      <c r="R68" s="423" t="s">
        <v>6240</v>
      </c>
      <c r="S68" s="423" t="s">
        <v>6240</v>
      </c>
      <c r="T68" s="423"/>
      <c r="U68" s="423"/>
      <c r="V68" s="423"/>
      <c r="W68" s="429" t="s">
        <v>6034</v>
      </c>
      <c r="X68" s="423"/>
      <c r="Y68" s="423"/>
      <c r="Z68" s="423"/>
      <c r="AA68" s="423"/>
      <c r="AB68" s="423"/>
      <c r="AC68" s="423"/>
    </row>
    <row r="69" spans="1:85" ht="27">
      <c r="A69" s="413" t="s">
        <v>544</v>
      </c>
      <c r="B69" s="417" t="s">
        <v>6023</v>
      </c>
      <c r="C69" s="413" t="s">
        <v>889</v>
      </c>
      <c r="D69" s="414" t="s">
        <v>6233</v>
      </c>
      <c r="E69" s="413" t="s">
        <v>6025</v>
      </c>
      <c r="F69" s="413" t="s">
        <v>6026</v>
      </c>
      <c r="G69" s="413" t="s">
        <v>6027</v>
      </c>
      <c r="H69" s="413" t="s">
        <v>3266</v>
      </c>
      <c r="I69" s="414" t="s">
        <v>4339</v>
      </c>
      <c r="J69" s="417" t="s">
        <v>6213</v>
      </c>
      <c r="K69" s="417" t="s">
        <v>6241</v>
      </c>
      <c r="L69" s="417" t="s">
        <v>2184</v>
      </c>
      <c r="M69" s="414" t="s">
        <v>6233</v>
      </c>
      <c r="N69" s="412" t="s">
        <v>3266</v>
      </c>
      <c r="O69" s="412" t="s">
        <v>6242</v>
      </c>
      <c r="P69" s="423" t="s">
        <v>6031</v>
      </c>
      <c r="Q69" s="423" t="s">
        <v>6235</v>
      </c>
      <c r="R69" s="423" t="s">
        <v>6243</v>
      </c>
      <c r="S69" s="423" t="s">
        <v>6243</v>
      </c>
      <c r="T69" s="423"/>
      <c r="U69" s="423"/>
      <c r="V69" s="423"/>
      <c r="W69" s="429" t="s">
        <v>6034</v>
      </c>
      <c r="X69" s="423"/>
      <c r="Y69" s="423"/>
      <c r="Z69" s="423"/>
      <c r="AA69" s="423"/>
      <c r="AB69" s="423"/>
      <c r="AC69" s="423"/>
    </row>
    <row r="70" spans="1:85" ht="27">
      <c r="A70" s="413" t="s">
        <v>544</v>
      </c>
      <c r="B70" s="417" t="s">
        <v>6023</v>
      </c>
      <c r="C70" s="413" t="s">
        <v>890</v>
      </c>
      <c r="D70" s="414" t="s">
        <v>6244</v>
      </c>
      <c r="E70" s="413" t="s">
        <v>6025</v>
      </c>
      <c r="F70" s="413" t="s">
        <v>6026</v>
      </c>
      <c r="G70" s="413" t="s">
        <v>6027</v>
      </c>
      <c r="H70" s="413" t="s">
        <v>6245</v>
      </c>
      <c r="I70" s="414" t="s">
        <v>4339</v>
      </c>
      <c r="J70" s="417" t="s">
        <v>6213</v>
      </c>
      <c r="K70" s="417" t="s">
        <v>2186</v>
      </c>
      <c r="L70" s="417" t="s">
        <v>2186</v>
      </c>
      <c r="M70" s="414" t="s">
        <v>6244</v>
      </c>
      <c r="N70" s="412" t="s">
        <v>3267</v>
      </c>
      <c r="O70" s="412" t="s">
        <v>6246</v>
      </c>
      <c r="P70" s="423" t="s">
        <v>6247</v>
      </c>
      <c r="Q70" s="425" t="s">
        <v>6248</v>
      </c>
      <c r="R70" s="425" t="s">
        <v>6249</v>
      </c>
      <c r="S70" s="425" t="s">
        <v>6249</v>
      </c>
      <c r="T70" s="423"/>
      <c r="U70" s="423"/>
      <c r="V70" s="423"/>
      <c r="W70" s="429" t="s">
        <v>6034</v>
      </c>
      <c r="X70" s="423"/>
      <c r="Y70" s="423"/>
      <c r="Z70" s="423"/>
      <c r="AA70" s="423"/>
      <c r="AB70" s="423"/>
      <c r="AC70" s="423"/>
    </row>
    <row r="71" spans="1:85" ht="27">
      <c r="A71" s="413" t="s">
        <v>544</v>
      </c>
      <c r="B71" s="417" t="s">
        <v>6023</v>
      </c>
      <c r="C71" s="413" t="s">
        <v>892</v>
      </c>
      <c r="D71" s="414" t="s">
        <v>6250</v>
      </c>
      <c r="E71" s="413" t="s">
        <v>6025</v>
      </c>
      <c r="F71" s="413" t="s">
        <v>6026</v>
      </c>
      <c r="G71" s="413" t="s">
        <v>6027</v>
      </c>
      <c r="H71" s="413" t="s">
        <v>3268</v>
      </c>
      <c r="I71" s="414" t="s">
        <v>4339</v>
      </c>
      <c r="J71" s="417" t="s">
        <v>6213</v>
      </c>
      <c r="K71" s="417" t="s">
        <v>6251</v>
      </c>
      <c r="L71" s="417" t="s">
        <v>6252</v>
      </c>
      <c r="M71" s="414" t="s">
        <v>6250</v>
      </c>
      <c r="N71" s="412" t="s">
        <v>3268</v>
      </c>
      <c r="O71" s="412" t="s">
        <v>6253</v>
      </c>
      <c r="P71" s="423" t="s">
        <v>6031</v>
      </c>
      <c r="Q71" s="423" t="s">
        <v>6254</v>
      </c>
      <c r="R71" s="423" t="s">
        <v>6255</v>
      </c>
      <c r="S71" s="423" t="s">
        <v>6255</v>
      </c>
      <c r="T71" s="423"/>
      <c r="U71" s="423"/>
      <c r="V71" s="423"/>
      <c r="W71" s="429" t="s">
        <v>6034</v>
      </c>
      <c r="X71" s="423"/>
      <c r="Y71" s="423"/>
      <c r="Z71" s="423"/>
      <c r="AA71" s="423"/>
      <c r="AB71" s="423"/>
      <c r="AC71" s="423"/>
    </row>
    <row r="72" spans="1:85" ht="27">
      <c r="A72" s="413" t="s">
        <v>544</v>
      </c>
      <c r="B72" s="417" t="s">
        <v>6023</v>
      </c>
      <c r="C72" s="413" t="s">
        <v>892</v>
      </c>
      <c r="D72" s="414" t="s">
        <v>6250</v>
      </c>
      <c r="E72" s="413" t="s">
        <v>6025</v>
      </c>
      <c r="F72" s="413" t="s">
        <v>6026</v>
      </c>
      <c r="G72" s="413" t="s">
        <v>6027</v>
      </c>
      <c r="H72" s="413" t="s">
        <v>6256</v>
      </c>
      <c r="I72" s="414" t="s">
        <v>4339</v>
      </c>
      <c r="J72" s="417" t="s">
        <v>6213</v>
      </c>
      <c r="K72" s="417" t="s">
        <v>6257</v>
      </c>
      <c r="L72" s="417" t="s">
        <v>2190</v>
      </c>
      <c r="M72" s="414" t="s">
        <v>6250</v>
      </c>
      <c r="N72" s="412" t="s">
        <v>3269</v>
      </c>
      <c r="O72" s="412" t="s">
        <v>6258</v>
      </c>
      <c r="P72" s="423" t="s">
        <v>6031</v>
      </c>
      <c r="Q72" s="423" t="s">
        <v>6254</v>
      </c>
      <c r="R72" s="423" t="s">
        <v>6259</v>
      </c>
      <c r="S72" s="423" t="s">
        <v>6259</v>
      </c>
      <c r="T72" s="423"/>
      <c r="U72" s="423"/>
      <c r="V72" s="423"/>
      <c r="W72" s="429" t="s">
        <v>6034</v>
      </c>
      <c r="X72" s="423"/>
      <c r="Y72" s="423"/>
      <c r="Z72" s="423"/>
      <c r="AA72" s="423"/>
      <c r="AB72" s="423"/>
      <c r="AC72" s="423"/>
    </row>
    <row r="73" spans="1:85" ht="27">
      <c r="A73" s="413" t="s">
        <v>544</v>
      </c>
      <c r="B73" s="417" t="s">
        <v>6023</v>
      </c>
      <c r="C73" s="413" t="s">
        <v>892</v>
      </c>
      <c r="D73" s="414" t="s">
        <v>6250</v>
      </c>
      <c r="E73" s="413" t="s">
        <v>6025</v>
      </c>
      <c r="F73" s="413" t="s">
        <v>6026</v>
      </c>
      <c r="G73" s="413" t="s">
        <v>6027</v>
      </c>
      <c r="H73" s="413" t="s">
        <v>6260</v>
      </c>
      <c r="I73" s="414" t="s">
        <v>4339</v>
      </c>
      <c r="J73" s="417" t="s">
        <v>6213</v>
      </c>
      <c r="K73" s="417" t="s">
        <v>6257</v>
      </c>
      <c r="L73" s="417" t="s">
        <v>2191</v>
      </c>
      <c r="M73" s="414" t="s">
        <v>6250</v>
      </c>
      <c r="N73" s="412" t="s">
        <v>3270</v>
      </c>
      <c r="O73" s="412" t="s">
        <v>6261</v>
      </c>
      <c r="P73" s="423" t="s">
        <v>6031</v>
      </c>
      <c r="Q73" s="423" t="s">
        <v>6254</v>
      </c>
      <c r="R73" s="423" t="s">
        <v>6262</v>
      </c>
      <c r="S73" s="423" t="s">
        <v>6262</v>
      </c>
      <c r="T73" s="423"/>
      <c r="U73" s="423"/>
      <c r="V73" s="423"/>
      <c r="W73" s="429" t="s">
        <v>6034</v>
      </c>
      <c r="X73" s="423"/>
      <c r="Y73" s="423"/>
      <c r="Z73" s="423"/>
      <c r="AA73" s="423"/>
      <c r="AB73" s="423"/>
      <c r="AC73" s="423"/>
    </row>
    <row r="74" spans="1:85" ht="27">
      <c r="A74" s="413" t="s">
        <v>544</v>
      </c>
      <c r="B74" s="417" t="s">
        <v>6023</v>
      </c>
      <c r="C74" s="413" t="s">
        <v>888</v>
      </c>
      <c r="D74" s="414" t="s">
        <v>6070</v>
      </c>
      <c r="E74" s="413" t="s">
        <v>6025</v>
      </c>
      <c r="F74" s="413" t="s">
        <v>6026</v>
      </c>
      <c r="G74" s="413" t="s">
        <v>6027</v>
      </c>
      <c r="H74" s="412"/>
      <c r="I74" s="412"/>
      <c r="J74" s="412"/>
      <c r="K74" s="412"/>
      <c r="L74" s="412"/>
      <c r="M74" s="414" t="s">
        <v>6070</v>
      </c>
      <c r="N74" s="412" t="s">
        <v>6263</v>
      </c>
      <c r="O74" s="412" t="s">
        <v>6264</v>
      </c>
      <c r="P74" s="423" t="s">
        <v>6031</v>
      </c>
      <c r="Q74" s="423" t="s">
        <v>6099</v>
      </c>
      <c r="R74" s="423" t="s">
        <v>6265</v>
      </c>
      <c r="S74" s="423" t="s">
        <v>6265</v>
      </c>
      <c r="T74" s="423"/>
      <c r="U74" s="423"/>
      <c r="V74" s="423"/>
      <c r="W74" s="429" t="s">
        <v>6266</v>
      </c>
      <c r="X74" s="423"/>
      <c r="Y74" s="423"/>
      <c r="Z74" s="423"/>
      <c r="AA74" s="423"/>
      <c r="AB74" s="423"/>
      <c r="AC74" s="423"/>
    </row>
    <row r="75" spans="1:85" ht="27">
      <c r="A75" s="413" t="s">
        <v>544</v>
      </c>
      <c r="B75" s="417" t="s">
        <v>6023</v>
      </c>
      <c r="C75" s="413" t="s">
        <v>888</v>
      </c>
      <c r="D75" s="414" t="s">
        <v>6070</v>
      </c>
      <c r="E75" s="413" t="s">
        <v>6025</v>
      </c>
      <c r="F75" s="413" t="s">
        <v>6026</v>
      </c>
      <c r="G75" s="413" t="s">
        <v>6027</v>
      </c>
      <c r="H75" s="412"/>
      <c r="I75" s="412"/>
      <c r="J75" s="412"/>
      <c r="K75" s="412"/>
      <c r="L75" s="412"/>
      <c r="M75" s="414" t="s">
        <v>6070</v>
      </c>
      <c r="N75" s="412" t="s">
        <v>6267</v>
      </c>
      <c r="O75" s="412" t="s">
        <v>6268</v>
      </c>
      <c r="P75" s="423" t="s">
        <v>6031</v>
      </c>
      <c r="Q75" s="423" t="s">
        <v>6099</v>
      </c>
      <c r="R75" s="423" t="s">
        <v>6269</v>
      </c>
      <c r="S75" s="423" t="s">
        <v>6269</v>
      </c>
      <c r="T75" s="423"/>
      <c r="U75" s="423"/>
      <c r="V75" s="423"/>
      <c r="W75" s="429" t="s">
        <v>6266</v>
      </c>
      <c r="X75" s="423"/>
      <c r="Y75" s="423"/>
      <c r="Z75" s="423"/>
      <c r="AA75" s="423"/>
      <c r="AB75" s="423"/>
      <c r="AC75" s="423"/>
    </row>
    <row r="76" spans="1:85" ht="27">
      <c r="A76" s="413" t="s">
        <v>544</v>
      </c>
      <c r="B76" s="417" t="s">
        <v>6023</v>
      </c>
      <c r="C76" s="413" t="s">
        <v>888</v>
      </c>
      <c r="D76" s="414" t="s">
        <v>6070</v>
      </c>
      <c r="E76" s="413" t="s">
        <v>6025</v>
      </c>
      <c r="F76" s="413" t="s">
        <v>6026</v>
      </c>
      <c r="G76" s="413" t="s">
        <v>6027</v>
      </c>
      <c r="H76" s="412"/>
      <c r="I76" s="412"/>
      <c r="J76" s="412"/>
      <c r="K76" s="412"/>
      <c r="L76" s="412"/>
      <c r="M76" s="414" t="s">
        <v>6070</v>
      </c>
      <c r="N76" s="412" t="s">
        <v>6270</v>
      </c>
      <c r="O76" s="412" t="s">
        <v>6271</v>
      </c>
      <c r="P76" s="423" t="s">
        <v>6031</v>
      </c>
      <c r="Q76" s="423" t="s">
        <v>6099</v>
      </c>
      <c r="R76" s="423" t="s">
        <v>6272</v>
      </c>
      <c r="S76" s="423" t="s">
        <v>6272</v>
      </c>
      <c r="T76" s="423"/>
      <c r="U76" s="423"/>
      <c r="V76" s="423"/>
      <c r="W76" s="429" t="s">
        <v>6266</v>
      </c>
      <c r="X76" s="423"/>
      <c r="Y76" s="423"/>
      <c r="Z76" s="423"/>
      <c r="AA76" s="423"/>
      <c r="AB76" s="423"/>
      <c r="AC76" s="423"/>
    </row>
    <row r="77" spans="1:85" ht="27">
      <c r="A77" s="413" t="s">
        <v>544</v>
      </c>
      <c r="B77" s="417" t="s">
        <v>6023</v>
      </c>
      <c r="C77" s="413" t="s">
        <v>888</v>
      </c>
      <c r="D77" s="414" t="s">
        <v>6070</v>
      </c>
      <c r="E77" s="413" t="s">
        <v>6025</v>
      </c>
      <c r="F77" s="413" t="s">
        <v>6026</v>
      </c>
      <c r="G77" s="413" t="s">
        <v>6027</v>
      </c>
      <c r="H77" s="412"/>
      <c r="I77" s="412"/>
      <c r="J77" s="412"/>
      <c r="K77" s="412"/>
      <c r="L77" s="412"/>
      <c r="M77" s="414" t="s">
        <v>6070</v>
      </c>
      <c r="N77" s="412" t="s">
        <v>6273</v>
      </c>
      <c r="O77" s="412" t="s">
        <v>6274</v>
      </c>
      <c r="P77" s="423" t="s">
        <v>6031</v>
      </c>
      <c r="Q77" s="423" t="s">
        <v>6099</v>
      </c>
      <c r="R77" s="423" t="s">
        <v>6275</v>
      </c>
      <c r="S77" s="423" t="s">
        <v>6275</v>
      </c>
      <c r="T77" s="423"/>
      <c r="U77" s="423"/>
      <c r="V77" s="423"/>
      <c r="W77" s="429" t="s">
        <v>6266</v>
      </c>
      <c r="X77" s="423"/>
      <c r="Y77" s="423"/>
      <c r="Z77" s="423"/>
      <c r="AA77" s="423"/>
      <c r="AB77" s="423"/>
      <c r="AC77" s="423"/>
    </row>
    <row r="78" spans="1:85" ht="27">
      <c r="A78" s="413" t="s">
        <v>544</v>
      </c>
      <c r="B78" s="417" t="s">
        <v>6023</v>
      </c>
      <c r="C78" s="413" t="s">
        <v>888</v>
      </c>
      <c r="D78" s="414" t="s">
        <v>6070</v>
      </c>
      <c r="E78" s="413" t="s">
        <v>6025</v>
      </c>
      <c r="F78" s="413" t="s">
        <v>6026</v>
      </c>
      <c r="G78" s="413" t="s">
        <v>6027</v>
      </c>
      <c r="H78" s="412"/>
      <c r="I78" s="412"/>
      <c r="J78" s="412"/>
      <c r="K78" s="412"/>
      <c r="L78" s="412"/>
      <c r="M78" s="414" t="s">
        <v>6070</v>
      </c>
      <c r="N78" s="412" t="s">
        <v>6276</v>
      </c>
      <c r="O78" s="412" t="s">
        <v>6277</v>
      </c>
      <c r="P78" s="423" t="s">
        <v>6031</v>
      </c>
      <c r="Q78" s="423" t="s">
        <v>6099</v>
      </c>
      <c r="R78" s="423" t="s">
        <v>6278</v>
      </c>
      <c r="S78" s="423" t="s">
        <v>6278</v>
      </c>
      <c r="T78" s="423"/>
      <c r="U78" s="423"/>
      <c r="V78" s="423"/>
      <c r="W78" s="429" t="s">
        <v>6266</v>
      </c>
      <c r="X78" s="423"/>
      <c r="Y78" s="423"/>
      <c r="Z78" s="423"/>
      <c r="AA78" s="423"/>
      <c r="AB78" s="423"/>
      <c r="AC78" s="423"/>
    </row>
    <row r="79" spans="1:85" ht="27">
      <c r="A79" s="413" t="s">
        <v>544</v>
      </c>
      <c r="B79" s="417" t="s">
        <v>6023</v>
      </c>
      <c r="C79" s="413" t="s">
        <v>888</v>
      </c>
      <c r="D79" s="414" t="s">
        <v>6070</v>
      </c>
      <c r="E79" s="413" t="s">
        <v>6025</v>
      </c>
      <c r="F79" s="413" t="s">
        <v>6026</v>
      </c>
      <c r="G79" s="413" t="s">
        <v>6027</v>
      </c>
      <c r="H79" s="412"/>
      <c r="I79" s="412"/>
      <c r="J79" s="412"/>
      <c r="K79" s="412"/>
      <c r="L79" s="412"/>
      <c r="M79" s="414" t="s">
        <v>6070</v>
      </c>
      <c r="N79" s="412" t="s">
        <v>6279</v>
      </c>
      <c r="O79" s="412" t="s">
        <v>6280</v>
      </c>
      <c r="P79" s="423" t="s">
        <v>6031</v>
      </c>
      <c r="Q79" s="423" t="s">
        <v>6099</v>
      </c>
      <c r="R79" s="423" t="s">
        <v>6281</v>
      </c>
      <c r="S79" s="423" t="s">
        <v>6281</v>
      </c>
      <c r="T79" s="423"/>
      <c r="U79" s="423"/>
      <c r="V79" s="423"/>
      <c r="W79" s="429" t="s">
        <v>6266</v>
      </c>
      <c r="X79" s="423"/>
      <c r="Y79" s="423"/>
      <c r="Z79" s="423"/>
      <c r="AA79" s="423"/>
      <c r="AB79" s="423"/>
      <c r="AC79" s="423"/>
    </row>
    <row r="80" spans="1:85" ht="27">
      <c r="A80" s="413" t="s">
        <v>544</v>
      </c>
      <c r="B80" s="417" t="s">
        <v>6023</v>
      </c>
      <c r="C80" s="413" t="s">
        <v>888</v>
      </c>
      <c r="D80" s="414" t="s">
        <v>6070</v>
      </c>
      <c r="E80" s="413" t="s">
        <v>6025</v>
      </c>
      <c r="F80" s="413" t="s">
        <v>6026</v>
      </c>
      <c r="G80" s="413" t="s">
        <v>6027</v>
      </c>
      <c r="H80" s="412"/>
      <c r="I80" s="412"/>
      <c r="J80" s="412"/>
      <c r="K80" s="412"/>
      <c r="L80" s="412"/>
      <c r="M80" s="414" t="s">
        <v>6070</v>
      </c>
      <c r="N80" s="412" t="s">
        <v>6282</v>
      </c>
      <c r="O80" s="412" t="s">
        <v>6283</v>
      </c>
      <c r="P80" s="423" t="s">
        <v>6031</v>
      </c>
      <c r="Q80" s="423" t="s">
        <v>6099</v>
      </c>
      <c r="R80" s="423" t="s">
        <v>6284</v>
      </c>
      <c r="S80" s="423" t="s">
        <v>6284</v>
      </c>
      <c r="T80" s="423"/>
      <c r="U80" s="423"/>
      <c r="V80" s="423"/>
      <c r="W80" s="429" t="s">
        <v>6266</v>
      </c>
      <c r="X80" s="423"/>
      <c r="Y80" s="423"/>
      <c r="Z80" s="423"/>
      <c r="AA80" s="423"/>
      <c r="AB80" s="423"/>
      <c r="AC80" s="423"/>
    </row>
    <row r="81" spans="1:29" ht="27">
      <c r="A81" s="413" t="s">
        <v>544</v>
      </c>
      <c r="B81" s="417" t="s">
        <v>6023</v>
      </c>
      <c r="C81" s="413" t="s">
        <v>888</v>
      </c>
      <c r="D81" s="414" t="s">
        <v>6070</v>
      </c>
      <c r="E81" s="413" t="s">
        <v>6025</v>
      </c>
      <c r="F81" s="413" t="s">
        <v>6026</v>
      </c>
      <c r="G81" s="413" t="s">
        <v>6027</v>
      </c>
      <c r="H81" s="412"/>
      <c r="I81" s="412"/>
      <c r="J81" s="412"/>
      <c r="K81" s="412"/>
      <c r="L81" s="412"/>
      <c r="M81" s="414" t="s">
        <v>6070</v>
      </c>
      <c r="N81" s="412" t="s">
        <v>6285</v>
      </c>
      <c r="O81" s="412" t="s">
        <v>6286</v>
      </c>
      <c r="P81" s="423" t="s">
        <v>6031</v>
      </c>
      <c r="Q81" s="423" t="s">
        <v>6099</v>
      </c>
      <c r="R81" s="423" t="s">
        <v>6287</v>
      </c>
      <c r="S81" s="423" t="s">
        <v>6287</v>
      </c>
      <c r="T81" s="423"/>
      <c r="U81" s="423"/>
      <c r="V81" s="423"/>
      <c r="W81" s="429" t="s">
        <v>6266</v>
      </c>
      <c r="X81" s="423"/>
      <c r="Y81" s="423"/>
      <c r="Z81" s="423"/>
      <c r="AA81" s="423"/>
      <c r="AB81" s="423"/>
      <c r="AC81" s="423"/>
    </row>
    <row r="82" spans="1:29" ht="27">
      <c r="A82" s="413" t="s">
        <v>544</v>
      </c>
      <c r="B82" s="417" t="s">
        <v>6023</v>
      </c>
      <c r="C82" s="413" t="s">
        <v>888</v>
      </c>
      <c r="D82" s="414" t="s">
        <v>6070</v>
      </c>
      <c r="E82" s="413" t="s">
        <v>6025</v>
      </c>
      <c r="F82" s="413" t="s">
        <v>6026</v>
      </c>
      <c r="G82" s="413" t="s">
        <v>6027</v>
      </c>
      <c r="H82" s="412"/>
      <c r="I82" s="412"/>
      <c r="J82" s="412"/>
      <c r="K82" s="412"/>
      <c r="L82" s="412"/>
      <c r="M82" s="414" t="s">
        <v>6070</v>
      </c>
      <c r="N82" s="412" t="s">
        <v>6288</v>
      </c>
      <c r="O82" s="412" t="s">
        <v>6289</v>
      </c>
      <c r="P82" s="423" t="s">
        <v>6031</v>
      </c>
      <c r="Q82" s="423" t="s">
        <v>6099</v>
      </c>
      <c r="R82" s="423" t="s">
        <v>6290</v>
      </c>
      <c r="S82" s="423" t="s">
        <v>6290</v>
      </c>
      <c r="T82" s="423"/>
      <c r="U82" s="423"/>
      <c r="V82" s="423"/>
      <c r="W82" s="429" t="s">
        <v>6266</v>
      </c>
      <c r="X82" s="423"/>
      <c r="Y82" s="423"/>
      <c r="Z82" s="423"/>
      <c r="AA82" s="423"/>
      <c r="AB82" s="423"/>
      <c r="AC82" s="423"/>
    </row>
    <row r="83" spans="1:29" ht="27">
      <c r="A83" s="413" t="s">
        <v>544</v>
      </c>
      <c r="B83" s="417" t="s">
        <v>6023</v>
      </c>
      <c r="C83" s="413" t="s">
        <v>889</v>
      </c>
      <c r="D83" s="414" t="s">
        <v>6233</v>
      </c>
      <c r="E83" s="413" t="s">
        <v>6025</v>
      </c>
      <c r="F83" s="413" t="s">
        <v>6026</v>
      </c>
      <c r="G83" s="413" t="s">
        <v>6027</v>
      </c>
      <c r="H83" s="412"/>
      <c r="I83" s="412"/>
      <c r="J83" s="412"/>
      <c r="K83" s="412"/>
      <c r="L83" s="412"/>
      <c r="M83" s="414" t="s">
        <v>6233</v>
      </c>
      <c r="N83" s="412" t="s">
        <v>6291</v>
      </c>
      <c r="O83" s="412" t="s">
        <v>6292</v>
      </c>
      <c r="P83" s="423" t="s">
        <v>6031</v>
      </c>
      <c r="Q83" s="423" t="s">
        <v>6235</v>
      </c>
      <c r="R83" s="423" t="s">
        <v>6293</v>
      </c>
      <c r="S83" s="423" t="s">
        <v>6293</v>
      </c>
      <c r="T83" s="423"/>
      <c r="U83" s="423"/>
      <c r="V83" s="423"/>
      <c r="W83" s="429" t="s">
        <v>6266</v>
      </c>
      <c r="X83" s="423"/>
      <c r="Y83" s="423"/>
      <c r="Z83" s="423"/>
      <c r="AA83" s="423"/>
      <c r="AB83" s="423"/>
      <c r="AC83" s="423"/>
    </row>
    <row r="84" spans="1:29" ht="27">
      <c r="A84" s="413" t="s">
        <v>544</v>
      </c>
      <c r="B84" s="417" t="s">
        <v>6023</v>
      </c>
      <c r="C84" s="413" t="s">
        <v>889</v>
      </c>
      <c r="D84" s="414" t="s">
        <v>6233</v>
      </c>
      <c r="E84" s="413" t="s">
        <v>6025</v>
      </c>
      <c r="F84" s="413" t="s">
        <v>6026</v>
      </c>
      <c r="G84" s="413" t="s">
        <v>6027</v>
      </c>
      <c r="H84" s="412"/>
      <c r="I84" s="412"/>
      <c r="J84" s="412"/>
      <c r="K84" s="412"/>
      <c r="L84" s="412"/>
      <c r="M84" s="414" t="s">
        <v>6233</v>
      </c>
      <c r="N84" s="412" t="s">
        <v>6294</v>
      </c>
      <c r="O84" s="412" t="s">
        <v>6295</v>
      </c>
      <c r="P84" s="423" t="s">
        <v>6031</v>
      </c>
      <c r="Q84" s="423" t="s">
        <v>6235</v>
      </c>
      <c r="R84" s="423" t="s">
        <v>6296</v>
      </c>
      <c r="S84" s="423" t="s">
        <v>6296</v>
      </c>
      <c r="T84" s="423"/>
      <c r="U84" s="423"/>
      <c r="V84" s="423"/>
      <c r="W84" s="429" t="s">
        <v>6266</v>
      </c>
      <c r="X84" s="423"/>
      <c r="Y84" s="423"/>
      <c r="Z84" s="423"/>
      <c r="AA84" s="423"/>
      <c r="AB84" s="423"/>
      <c r="AC84" s="423"/>
    </row>
    <row r="85" spans="1:29" ht="27">
      <c r="A85" s="413" t="s">
        <v>544</v>
      </c>
      <c r="B85" s="417" t="s">
        <v>6023</v>
      </c>
      <c r="C85" s="413" t="s">
        <v>889</v>
      </c>
      <c r="D85" s="414" t="s">
        <v>6233</v>
      </c>
      <c r="E85" s="413" t="s">
        <v>6025</v>
      </c>
      <c r="F85" s="413" t="s">
        <v>6026</v>
      </c>
      <c r="G85" s="413" t="s">
        <v>6027</v>
      </c>
      <c r="H85" s="412"/>
      <c r="I85" s="412"/>
      <c r="J85" s="412"/>
      <c r="K85" s="412"/>
      <c r="L85" s="412"/>
      <c r="M85" s="414" t="s">
        <v>6233</v>
      </c>
      <c r="N85" s="412" t="s">
        <v>6297</v>
      </c>
      <c r="O85" s="412" t="s">
        <v>6298</v>
      </c>
      <c r="P85" s="423" t="s">
        <v>6031</v>
      </c>
      <c r="Q85" s="423" t="s">
        <v>6235</v>
      </c>
      <c r="R85" s="423" t="s">
        <v>6299</v>
      </c>
      <c r="S85" s="423" t="s">
        <v>6299</v>
      </c>
      <c r="T85" s="423"/>
      <c r="U85" s="423"/>
      <c r="V85" s="423"/>
      <c r="W85" s="429" t="s">
        <v>6266</v>
      </c>
      <c r="X85" s="423"/>
      <c r="Y85" s="423"/>
      <c r="Z85" s="423"/>
      <c r="AA85" s="423"/>
      <c r="AB85" s="423"/>
      <c r="AC85" s="423"/>
    </row>
    <row r="86" spans="1:29" ht="27">
      <c r="A86" s="413" t="s">
        <v>544</v>
      </c>
      <c r="B86" s="417" t="s">
        <v>6023</v>
      </c>
      <c r="C86" s="413" t="s">
        <v>889</v>
      </c>
      <c r="D86" s="414" t="s">
        <v>6233</v>
      </c>
      <c r="E86" s="413" t="s">
        <v>6025</v>
      </c>
      <c r="F86" s="413" t="s">
        <v>6026</v>
      </c>
      <c r="G86" s="413" t="s">
        <v>6027</v>
      </c>
      <c r="H86" s="412"/>
      <c r="I86" s="412"/>
      <c r="J86" s="412"/>
      <c r="K86" s="412"/>
      <c r="L86" s="412"/>
      <c r="M86" s="414" t="s">
        <v>6233</v>
      </c>
      <c r="N86" s="412" t="s">
        <v>6300</v>
      </c>
      <c r="O86" s="412" t="s">
        <v>6301</v>
      </c>
      <c r="P86" s="423" t="s">
        <v>6031</v>
      </c>
      <c r="Q86" s="423" t="s">
        <v>6235</v>
      </c>
      <c r="R86" s="423" t="s">
        <v>6302</v>
      </c>
      <c r="S86" s="423" t="s">
        <v>6302</v>
      </c>
      <c r="T86" s="423"/>
      <c r="U86" s="423"/>
      <c r="V86" s="423"/>
      <c r="W86" s="429" t="s">
        <v>6266</v>
      </c>
      <c r="X86" s="423"/>
      <c r="Y86" s="423"/>
      <c r="Z86" s="423"/>
      <c r="AA86" s="423"/>
      <c r="AB86" s="423"/>
      <c r="AC86" s="423"/>
    </row>
    <row r="87" spans="1:29" ht="27">
      <c r="A87" s="413" t="s">
        <v>544</v>
      </c>
      <c r="B87" s="417" t="s">
        <v>6023</v>
      </c>
      <c r="C87" s="413" t="s">
        <v>889</v>
      </c>
      <c r="D87" s="414" t="s">
        <v>6233</v>
      </c>
      <c r="E87" s="413" t="s">
        <v>6025</v>
      </c>
      <c r="F87" s="413" t="s">
        <v>6026</v>
      </c>
      <c r="G87" s="413" t="s">
        <v>6027</v>
      </c>
      <c r="H87" s="412"/>
      <c r="I87" s="412"/>
      <c r="J87" s="412"/>
      <c r="K87" s="412"/>
      <c r="L87" s="412"/>
      <c r="M87" s="414" t="s">
        <v>6233</v>
      </c>
      <c r="N87" s="412" t="s">
        <v>6303</v>
      </c>
      <c r="O87" s="412" t="s">
        <v>6304</v>
      </c>
      <c r="P87" s="423" t="s">
        <v>6031</v>
      </c>
      <c r="Q87" s="423" t="s">
        <v>6235</v>
      </c>
      <c r="R87" s="423" t="s">
        <v>6305</v>
      </c>
      <c r="S87" s="423" t="s">
        <v>6305</v>
      </c>
      <c r="T87" s="423"/>
      <c r="U87" s="423"/>
      <c r="V87" s="423"/>
      <c r="W87" s="429" t="s">
        <v>6266</v>
      </c>
      <c r="X87" s="423"/>
      <c r="Y87" s="423"/>
      <c r="Z87" s="423"/>
      <c r="AA87" s="423"/>
      <c r="AB87" s="423"/>
      <c r="AC87" s="423"/>
    </row>
    <row r="88" spans="1:29" ht="27">
      <c r="A88" s="413" t="s">
        <v>544</v>
      </c>
      <c r="B88" s="417" t="s">
        <v>6023</v>
      </c>
      <c r="C88" s="413" t="s">
        <v>889</v>
      </c>
      <c r="D88" s="414" t="s">
        <v>6233</v>
      </c>
      <c r="E88" s="413" t="s">
        <v>6025</v>
      </c>
      <c r="F88" s="413" t="s">
        <v>6026</v>
      </c>
      <c r="G88" s="413" t="s">
        <v>6027</v>
      </c>
      <c r="H88" s="412"/>
      <c r="I88" s="412"/>
      <c r="J88" s="412"/>
      <c r="K88" s="412"/>
      <c r="L88" s="412"/>
      <c r="M88" s="414" t="s">
        <v>6233</v>
      </c>
      <c r="N88" s="412" t="s">
        <v>6306</v>
      </c>
      <c r="O88" s="412" t="s">
        <v>6307</v>
      </c>
      <c r="P88" s="423" t="s">
        <v>6031</v>
      </c>
      <c r="Q88" s="423" t="s">
        <v>6235</v>
      </c>
      <c r="R88" s="423" t="s">
        <v>6308</v>
      </c>
      <c r="S88" s="423" t="s">
        <v>6308</v>
      </c>
      <c r="T88" s="423"/>
      <c r="U88" s="423"/>
      <c r="V88" s="423"/>
      <c r="W88" s="429" t="s">
        <v>6266</v>
      </c>
      <c r="X88" s="423"/>
      <c r="Y88" s="423"/>
      <c r="Z88" s="423"/>
      <c r="AA88" s="423"/>
      <c r="AB88" s="423"/>
      <c r="AC88" s="423"/>
    </row>
    <row r="89" spans="1:29" ht="27">
      <c r="A89" s="413" t="s">
        <v>544</v>
      </c>
      <c r="B89" s="417" t="s">
        <v>6023</v>
      </c>
      <c r="C89" s="413" t="s">
        <v>889</v>
      </c>
      <c r="D89" s="414" t="s">
        <v>6233</v>
      </c>
      <c r="E89" s="413" t="s">
        <v>6025</v>
      </c>
      <c r="F89" s="413" t="s">
        <v>6026</v>
      </c>
      <c r="G89" s="413" t="s">
        <v>6027</v>
      </c>
      <c r="H89" s="412"/>
      <c r="I89" s="412"/>
      <c r="J89" s="412"/>
      <c r="K89" s="412"/>
      <c r="L89" s="412"/>
      <c r="M89" s="414" t="s">
        <v>6233</v>
      </c>
      <c r="N89" s="412" t="s">
        <v>6309</v>
      </c>
      <c r="O89" s="412" t="s">
        <v>6310</v>
      </c>
      <c r="P89" s="423" t="s">
        <v>6031</v>
      </c>
      <c r="Q89" s="423" t="s">
        <v>6235</v>
      </c>
      <c r="R89" s="423" t="s">
        <v>6311</v>
      </c>
      <c r="S89" s="423" t="s">
        <v>6311</v>
      </c>
      <c r="T89" s="423"/>
      <c r="U89" s="423"/>
      <c r="V89" s="423"/>
      <c r="W89" s="429" t="s">
        <v>6266</v>
      </c>
      <c r="X89" s="423"/>
      <c r="Y89" s="423"/>
      <c r="Z89" s="423"/>
      <c r="AA89" s="423"/>
      <c r="AB89" s="423"/>
      <c r="AC89" s="423"/>
    </row>
    <row r="90" spans="1:29" ht="27">
      <c r="A90" s="413" t="s">
        <v>544</v>
      </c>
      <c r="B90" s="417" t="s">
        <v>6023</v>
      </c>
      <c r="C90" s="413" t="s">
        <v>889</v>
      </c>
      <c r="D90" s="414" t="s">
        <v>6233</v>
      </c>
      <c r="E90" s="413" t="s">
        <v>6025</v>
      </c>
      <c r="F90" s="413" t="s">
        <v>6026</v>
      </c>
      <c r="G90" s="413" t="s">
        <v>6027</v>
      </c>
      <c r="H90" s="412"/>
      <c r="I90" s="412"/>
      <c r="J90" s="412"/>
      <c r="K90" s="412"/>
      <c r="L90" s="412"/>
      <c r="M90" s="414" t="s">
        <v>6233</v>
      </c>
      <c r="N90" s="412" t="s">
        <v>6312</v>
      </c>
      <c r="O90" s="412" t="s">
        <v>6313</v>
      </c>
      <c r="P90" s="423" t="s">
        <v>6031</v>
      </c>
      <c r="Q90" s="423" t="s">
        <v>6235</v>
      </c>
      <c r="R90" s="423" t="s">
        <v>6314</v>
      </c>
      <c r="S90" s="423" t="s">
        <v>6314</v>
      </c>
      <c r="T90" s="423"/>
      <c r="U90" s="423"/>
      <c r="V90" s="423"/>
      <c r="W90" s="429" t="s">
        <v>6266</v>
      </c>
      <c r="X90" s="423"/>
      <c r="Y90" s="423"/>
      <c r="Z90" s="423"/>
      <c r="AA90" s="423"/>
      <c r="AB90" s="423"/>
      <c r="AC90" s="423"/>
    </row>
    <row r="91" spans="1:29" ht="27">
      <c r="A91" s="413" t="s">
        <v>544</v>
      </c>
      <c r="B91" s="417" t="s">
        <v>6023</v>
      </c>
      <c r="C91" s="413" t="s">
        <v>889</v>
      </c>
      <c r="D91" s="414" t="s">
        <v>6233</v>
      </c>
      <c r="E91" s="413" t="s">
        <v>6025</v>
      </c>
      <c r="F91" s="413" t="s">
        <v>6026</v>
      </c>
      <c r="G91" s="413" t="s">
        <v>6027</v>
      </c>
      <c r="H91" s="412"/>
      <c r="I91" s="412"/>
      <c r="J91" s="412"/>
      <c r="K91" s="412"/>
      <c r="L91" s="412"/>
      <c r="M91" s="414" t="s">
        <v>6233</v>
      </c>
      <c r="N91" s="412" t="s">
        <v>6315</v>
      </c>
      <c r="O91" s="412" t="s">
        <v>6316</v>
      </c>
      <c r="P91" s="423" t="s">
        <v>6031</v>
      </c>
      <c r="Q91" s="423" t="s">
        <v>6235</v>
      </c>
      <c r="R91" s="423" t="s">
        <v>6317</v>
      </c>
      <c r="S91" s="423" t="s">
        <v>6317</v>
      </c>
      <c r="T91" s="423"/>
      <c r="U91" s="423"/>
      <c r="V91" s="423"/>
      <c r="W91" s="429" t="s">
        <v>6266</v>
      </c>
      <c r="X91" s="423"/>
      <c r="Y91" s="423"/>
      <c r="Z91" s="423"/>
      <c r="AA91" s="423"/>
      <c r="AB91" s="423"/>
      <c r="AC91" s="423"/>
    </row>
    <row r="92" spans="1:29" ht="27">
      <c r="A92" s="413" t="s">
        <v>544</v>
      </c>
      <c r="B92" s="417" t="s">
        <v>6023</v>
      </c>
      <c r="C92" s="413" t="s">
        <v>889</v>
      </c>
      <c r="D92" s="414" t="s">
        <v>6233</v>
      </c>
      <c r="E92" s="413" t="s">
        <v>6025</v>
      </c>
      <c r="F92" s="413" t="s">
        <v>6026</v>
      </c>
      <c r="G92" s="413" t="s">
        <v>6027</v>
      </c>
      <c r="H92" s="412"/>
      <c r="I92" s="412"/>
      <c r="J92" s="412"/>
      <c r="K92" s="412"/>
      <c r="L92" s="412"/>
      <c r="M92" s="414" t="s">
        <v>6233</v>
      </c>
      <c r="N92" s="412" t="s">
        <v>6318</v>
      </c>
      <c r="O92" s="412" t="s">
        <v>6319</v>
      </c>
      <c r="P92" s="423" t="s">
        <v>6031</v>
      </c>
      <c r="Q92" s="423" t="s">
        <v>6235</v>
      </c>
      <c r="R92" s="423" t="s">
        <v>6320</v>
      </c>
      <c r="S92" s="423" t="s">
        <v>6320</v>
      </c>
      <c r="T92" s="423"/>
      <c r="U92" s="423"/>
      <c r="V92" s="423"/>
      <c r="W92" s="429" t="s">
        <v>6266</v>
      </c>
      <c r="X92" s="423"/>
      <c r="Y92" s="423"/>
      <c r="Z92" s="423"/>
      <c r="AA92" s="423"/>
      <c r="AB92" s="423"/>
      <c r="AC92" s="423"/>
    </row>
    <row r="93" spans="1:29" ht="27">
      <c r="A93" s="413" t="s">
        <v>544</v>
      </c>
      <c r="B93" s="417" t="s">
        <v>6023</v>
      </c>
      <c r="C93" s="413" t="s">
        <v>889</v>
      </c>
      <c r="D93" s="414" t="s">
        <v>6233</v>
      </c>
      <c r="E93" s="413" t="s">
        <v>6025</v>
      </c>
      <c r="F93" s="413" t="s">
        <v>6026</v>
      </c>
      <c r="G93" s="413" t="s">
        <v>6027</v>
      </c>
      <c r="H93" s="412"/>
      <c r="I93" s="412"/>
      <c r="J93" s="412"/>
      <c r="K93" s="412"/>
      <c r="L93" s="412"/>
      <c r="M93" s="414" t="s">
        <v>6233</v>
      </c>
      <c r="N93" s="412" t="s">
        <v>6321</v>
      </c>
      <c r="O93" s="412" t="s">
        <v>6322</v>
      </c>
      <c r="P93" s="423" t="s">
        <v>6031</v>
      </c>
      <c r="Q93" s="423" t="s">
        <v>6235</v>
      </c>
      <c r="R93" s="423" t="s">
        <v>6323</v>
      </c>
      <c r="S93" s="423" t="s">
        <v>6323</v>
      </c>
      <c r="T93" s="423"/>
      <c r="U93" s="423"/>
      <c r="V93" s="423"/>
      <c r="W93" s="429" t="s">
        <v>6266</v>
      </c>
      <c r="X93" s="423"/>
      <c r="Y93" s="423"/>
      <c r="Z93" s="423"/>
      <c r="AA93" s="423"/>
      <c r="AB93" s="423"/>
      <c r="AC93" s="423"/>
    </row>
    <row r="94" spans="1:29" ht="27">
      <c r="A94" s="413" t="s">
        <v>544</v>
      </c>
      <c r="B94" s="417" t="s">
        <v>6023</v>
      </c>
      <c r="C94" s="413" t="s">
        <v>889</v>
      </c>
      <c r="D94" s="414" t="s">
        <v>6233</v>
      </c>
      <c r="E94" s="413" t="s">
        <v>6025</v>
      </c>
      <c r="F94" s="413" t="s">
        <v>6026</v>
      </c>
      <c r="G94" s="413" t="s">
        <v>6027</v>
      </c>
      <c r="H94" s="412"/>
      <c r="I94" s="412"/>
      <c r="J94" s="412"/>
      <c r="K94" s="412"/>
      <c r="L94" s="412"/>
      <c r="M94" s="414" t="s">
        <v>6233</v>
      </c>
      <c r="N94" s="412" t="s">
        <v>6324</v>
      </c>
      <c r="O94" s="412" t="s">
        <v>6325</v>
      </c>
      <c r="P94" s="423" t="s">
        <v>6031</v>
      </c>
      <c r="Q94" s="423" t="s">
        <v>6235</v>
      </c>
      <c r="R94" s="423" t="s">
        <v>6326</v>
      </c>
      <c r="S94" s="423" t="s">
        <v>6326</v>
      </c>
      <c r="T94" s="423"/>
      <c r="U94" s="423"/>
      <c r="V94" s="423"/>
      <c r="W94" s="429" t="s">
        <v>6266</v>
      </c>
      <c r="X94" s="423"/>
      <c r="Y94" s="423"/>
      <c r="Z94" s="423"/>
      <c r="AA94" s="423"/>
      <c r="AB94" s="423"/>
      <c r="AC94" s="423"/>
    </row>
    <row r="95" spans="1:29" ht="27">
      <c r="A95" s="413" t="s">
        <v>544</v>
      </c>
      <c r="B95" s="417" t="s">
        <v>6023</v>
      </c>
      <c r="C95" s="413" t="s">
        <v>889</v>
      </c>
      <c r="D95" s="414" t="s">
        <v>6233</v>
      </c>
      <c r="E95" s="413" t="s">
        <v>6025</v>
      </c>
      <c r="F95" s="413" t="s">
        <v>6026</v>
      </c>
      <c r="G95" s="413" t="s">
        <v>6027</v>
      </c>
      <c r="H95" s="412"/>
      <c r="I95" s="412"/>
      <c r="J95" s="412"/>
      <c r="K95" s="412"/>
      <c r="L95" s="412"/>
      <c r="M95" s="414" t="s">
        <v>6233</v>
      </c>
      <c r="N95" s="412" t="s">
        <v>6327</v>
      </c>
      <c r="O95" s="412" t="s">
        <v>6328</v>
      </c>
      <c r="P95" s="423" t="s">
        <v>6031</v>
      </c>
      <c r="Q95" s="423" t="s">
        <v>6235</v>
      </c>
      <c r="R95" s="423" t="s">
        <v>6329</v>
      </c>
      <c r="S95" s="423" t="s">
        <v>6329</v>
      </c>
      <c r="T95" s="423"/>
      <c r="U95" s="423"/>
      <c r="V95" s="423"/>
      <c r="W95" s="429" t="s">
        <v>6266</v>
      </c>
      <c r="X95" s="423"/>
      <c r="Y95" s="423"/>
      <c r="Z95" s="423"/>
      <c r="AA95" s="423"/>
      <c r="AB95" s="423"/>
      <c r="AC95" s="423"/>
    </row>
    <row r="96" spans="1:29" ht="27">
      <c r="A96" s="413" t="s">
        <v>544</v>
      </c>
      <c r="B96" s="417" t="s">
        <v>6023</v>
      </c>
      <c r="C96" s="413" t="s">
        <v>889</v>
      </c>
      <c r="D96" s="414" t="s">
        <v>6233</v>
      </c>
      <c r="E96" s="413" t="s">
        <v>6025</v>
      </c>
      <c r="F96" s="413" t="s">
        <v>6026</v>
      </c>
      <c r="G96" s="413" t="s">
        <v>6027</v>
      </c>
      <c r="H96" s="412"/>
      <c r="I96" s="412"/>
      <c r="J96" s="412"/>
      <c r="K96" s="412"/>
      <c r="L96" s="412"/>
      <c r="M96" s="414" t="s">
        <v>6233</v>
      </c>
      <c r="N96" s="412" t="s">
        <v>6330</v>
      </c>
      <c r="O96" s="412" t="s">
        <v>6331</v>
      </c>
      <c r="P96" s="423" t="s">
        <v>6031</v>
      </c>
      <c r="Q96" s="423" t="s">
        <v>6332</v>
      </c>
      <c r="R96" s="423" t="s">
        <v>6333</v>
      </c>
      <c r="S96" s="423" t="s">
        <v>6333</v>
      </c>
      <c r="T96" s="423"/>
      <c r="U96" s="423"/>
      <c r="V96" s="423"/>
      <c r="W96" s="429" t="s">
        <v>6266</v>
      </c>
      <c r="X96" s="423"/>
      <c r="Y96" s="423"/>
      <c r="Z96" s="423"/>
      <c r="AA96" s="423"/>
      <c r="AB96" s="423"/>
      <c r="AC96" s="423"/>
    </row>
    <row r="97" spans="1:29" ht="27">
      <c r="A97" s="413" t="s">
        <v>544</v>
      </c>
      <c r="B97" s="417" t="s">
        <v>6023</v>
      </c>
      <c r="C97" s="413" t="s">
        <v>889</v>
      </c>
      <c r="D97" s="414" t="s">
        <v>6233</v>
      </c>
      <c r="E97" s="413" t="s">
        <v>6025</v>
      </c>
      <c r="F97" s="413" t="s">
        <v>6026</v>
      </c>
      <c r="G97" s="413" t="s">
        <v>6027</v>
      </c>
      <c r="H97" s="412"/>
      <c r="I97" s="412"/>
      <c r="J97" s="412"/>
      <c r="K97" s="412"/>
      <c r="L97" s="412"/>
      <c r="M97" s="414" t="s">
        <v>6233</v>
      </c>
      <c r="N97" s="412" t="s">
        <v>6334</v>
      </c>
      <c r="O97" s="412" t="s">
        <v>6335</v>
      </c>
      <c r="P97" s="423" t="s">
        <v>6031</v>
      </c>
      <c r="Q97" s="423" t="s">
        <v>6332</v>
      </c>
      <c r="R97" s="423" t="s">
        <v>6333</v>
      </c>
      <c r="S97" s="423" t="s">
        <v>6333</v>
      </c>
      <c r="T97" s="423"/>
      <c r="U97" s="423"/>
      <c r="V97" s="423"/>
      <c r="W97" s="429" t="s">
        <v>6266</v>
      </c>
      <c r="X97" s="423"/>
      <c r="Y97" s="423"/>
      <c r="Z97" s="423"/>
      <c r="AA97" s="423"/>
      <c r="AB97" s="423"/>
      <c r="AC97" s="423"/>
    </row>
    <row r="98" spans="1:29" ht="27">
      <c r="A98" s="413" t="s">
        <v>544</v>
      </c>
      <c r="B98" s="417" t="s">
        <v>6023</v>
      </c>
      <c r="C98" s="413" t="s">
        <v>889</v>
      </c>
      <c r="D98" s="414" t="s">
        <v>6233</v>
      </c>
      <c r="E98" s="413" t="s">
        <v>6025</v>
      </c>
      <c r="F98" s="413" t="s">
        <v>6026</v>
      </c>
      <c r="G98" s="413" t="s">
        <v>6027</v>
      </c>
      <c r="H98" s="412"/>
      <c r="I98" s="412"/>
      <c r="J98" s="412"/>
      <c r="K98" s="412"/>
      <c r="L98" s="412"/>
      <c r="M98" s="414" t="s">
        <v>6233</v>
      </c>
      <c r="N98" s="412" t="s">
        <v>6336</v>
      </c>
      <c r="O98" s="412" t="s">
        <v>6337</v>
      </c>
      <c r="P98" s="423" t="s">
        <v>6031</v>
      </c>
      <c r="Q98" s="423" t="s">
        <v>6332</v>
      </c>
      <c r="R98" s="423" t="s">
        <v>6333</v>
      </c>
      <c r="S98" s="423" t="s">
        <v>6333</v>
      </c>
      <c r="T98" s="423"/>
      <c r="U98" s="423"/>
      <c r="V98" s="423"/>
      <c r="W98" s="429" t="s">
        <v>6266</v>
      </c>
      <c r="X98" s="423"/>
      <c r="Y98" s="423"/>
      <c r="Z98" s="423"/>
      <c r="AA98" s="423"/>
      <c r="AB98" s="423"/>
      <c r="AC98" s="423"/>
    </row>
    <row r="99" spans="1:29" ht="27">
      <c r="A99" s="413" t="s">
        <v>544</v>
      </c>
      <c r="B99" s="417" t="s">
        <v>6023</v>
      </c>
      <c r="C99" s="413" t="s">
        <v>889</v>
      </c>
      <c r="D99" s="414" t="s">
        <v>6233</v>
      </c>
      <c r="E99" s="413" t="s">
        <v>6025</v>
      </c>
      <c r="F99" s="413" t="s">
        <v>6026</v>
      </c>
      <c r="G99" s="413" t="s">
        <v>6027</v>
      </c>
      <c r="H99" s="412"/>
      <c r="I99" s="412"/>
      <c r="J99" s="412"/>
      <c r="K99" s="412"/>
      <c r="L99" s="412"/>
      <c r="M99" s="414" t="s">
        <v>6233</v>
      </c>
      <c r="N99" s="412" t="s">
        <v>6338</v>
      </c>
      <c r="O99" s="412" t="s">
        <v>6339</v>
      </c>
      <c r="P99" s="423" t="s">
        <v>6031</v>
      </c>
      <c r="Q99" s="423" t="s">
        <v>6332</v>
      </c>
      <c r="R99" s="423" t="s">
        <v>6333</v>
      </c>
      <c r="S99" s="423" t="s">
        <v>6333</v>
      </c>
      <c r="T99" s="423"/>
      <c r="U99" s="423"/>
      <c r="V99" s="423"/>
      <c r="W99" s="429" t="s">
        <v>6266</v>
      </c>
      <c r="X99" s="423"/>
      <c r="Y99" s="423"/>
      <c r="Z99" s="423"/>
      <c r="AA99" s="423"/>
      <c r="AB99" s="423"/>
      <c r="AC99" s="423"/>
    </row>
    <row r="100" spans="1:29" ht="27">
      <c r="A100" s="413" t="s">
        <v>544</v>
      </c>
      <c r="B100" s="417" t="s">
        <v>6023</v>
      </c>
      <c r="C100" s="413" t="s">
        <v>890</v>
      </c>
      <c r="D100" s="414" t="s">
        <v>6244</v>
      </c>
      <c r="E100" s="413" t="s">
        <v>6025</v>
      </c>
      <c r="F100" s="413" t="s">
        <v>6026</v>
      </c>
      <c r="G100" s="413" t="s">
        <v>6027</v>
      </c>
      <c r="H100" s="412"/>
      <c r="I100" s="412"/>
      <c r="J100" s="412"/>
      <c r="K100" s="412"/>
      <c r="L100" s="412"/>
      <c r="M100" s="414" t="s">
        <v>6244</v>
      </c>
      <c r="N100" s="412" t="s">
        <v>6340</v>
      </c>
      <c r="O100" s="412" t="s">
        <v>6341</v>
      </c>
      <c r="P100" s="423" t="s">
        <v>6247</v>
      </c>
      <c r="Q100" s="425" t="s">
        <v>6342</v>
      </c>
      <c r="R100" s="425" t="s">
        <v>6343</v>
      </c>
      <c r="S100" s="425" t="s">
        <v>6343</v>
      </c>
      <c r="T100" s="423"/>
      <c r="U100" s="423"/>
      <c r="V100" s="423"/>
      <c r="W100" s="429" t="s">
        <v>6266</v>
      </c>
      <c r="X100" s="423"/>
      <c r="Y100" s="423"/>
      <c r="Z100" s="423"/>
      <c r="AA100" s="423"/>
      <c r="AB100" s="423"/>
      <c r="AC100" s="423"/>
    </row>
    <row r="101" spans="1:29" ht="27">
      <c r="A101" s="413" t="s">
        <v>544</v>
      </c>
      <c r="B101" s="417" t="s">
        <v>6023</v>
      </c>
      <c r="C101" s="413" t="s">
        <v>891</v>
      </c>
      <c r="D101" s="414" t="s">
        <v>6165</v>
      </c>
      <c r="E101" s="413" t="s">
        <v>6025</v>
      </c>
      <c r="F101" s="413" t="s">
        <v>6026</v>
      </c>
      <c r="G101" s="413" t="s">
        <v>6027</v>
      </c>
      <c r="H101" s="412"/>
      <c r="I101" s="412"/>
      <c r="J101" s="412"/>
      <c r="K101" s="412"/>
      <c r="L101" s="412"/>
      <c r="M101" s="414" t="s">
        <v>6165</v>
      </c>
      <c r="N101" s="412" t="s">
        <v>6344</v>
      </c>
      <c r="O101" s="412" t="s">
        <v>6345</v>
      </c>
      <c r="P101" s="423" t="s">
        <v>6031</v>
      </c>
      <c r="Q101" s="423" t="s">
        <v>6168</v>
      </c>
      <c r="R101" s="423" t="s">
        <v>6346</v>
      </c>
      <c r="S101" s="423" t="s">
        <v>6346</v>
      </c>
      <c r="T101" s="423"/>
      <c r="U101" s="423"/>
      <c r="V101" s="423"/>
      <c r="W101" s="429" t="s">
        <v>6266</v>
      </c>
      <c r="X101" s="423"/>
      <c r="Y101" s="423"/>
      <c r="Z101" s="423"/>
      <c r="AA101" s="423"/>
      <c r="AB101" s="423"/>
      <c r="AC101" s="423"/>
    </row>
    <row r="102" spans="1:29" ht="27">
      <c r="A102" s="413" t="s">
        <v>544</v>
      </c>
      <c r="B102" s="417" t="s">
        <v>6023</v>
      </c>
      <c r="C102" s="413" t="s">
        <v>891</v>
      </c>
      <c r="D102" s="414" t="s">
        <v>6165</v>
      </c>
      <c r="E102" s="413" t="s">
        <v>6025</v>
      </c>
      <c r="F102" s="413" t="s">
        <v>6026</v>
      </c>
      <c r="G102" s="413" t="s">
        <v>6027</v>
      </c>
      <c r="H102" s="412"/>
      <c r="I102" s="412"/>
      <c r="J102" s="412"/>
      <c r="K102" s="412"/>
      <c r="L102" s="412"/>
      <c r="M102" s="414" t="s">
        <v>6165</v>
      </c>
      <c r="N102" s="412" t="s">
        <v>6347</v>
      </c>
      <c r="O102" s="412" t="s">
        <v>6348</v>
      </c>
      <c r="P102" s="423" t="s">
        <v>6247</v>
      </c>
      <c r="Q102" s="425" t="s">
        <v>6349</v>
      </c>
      <c r="R102" s="423" t="s">
        <v>6236</v>
      </c>
      <c r="S102" s="423" t="s">
        <v>6236</v>
      </c>
      <c r="T102" s="423"/>
      <c r="U102" s="423"/>
      <c r="V102" s="423"/>
      <c r="W102" s="429" t="s">
        <v>6266</v>
      </c>
      <c r="X102" s="423"/>
      <c r="Y102" s="423"/>
      <c r="Z102" s="423"/>
      <c r="AA102" s="423"/>
      <c r="AB102" s="423"/>
      <c r="AC102" s="423"/>
    </row>
    <row r="103" spans="1:29" ht="27">
      <c r="A103" s="413" t="s">
        <v>544</v>
      </c>
      <c r="B103" s="417" t="s">
        <v>6023</v>
      </c>
      <c r="C103" s="413" t="s">
        <v>891</v>
      </c>
      <c r="D103" s="414" t="s">
        <v>6165</v>
      </c>
      <c r="E103" s="413" t="s">
        <v>6025</v>
      </c>
      <c r="F103" s="413" t="s">
        <v>6026</v>
      </c>
      <c r="G103" s="413" t="s">
        <v>6027</v>
      </c>
      <c r="H103" s="412"/>
      <c r="I103" s="412"/>
      <c r="J103" s="412"/>
      <c r="K103" s="412"/>
      <c r="L103" s="412"/>
      <c r="M103" s="414" t="s">
        <v>6165</v>
      </c>
      <c r="N103" s="412" t="s">
        <v>6350</v>
      </c>
      <c r="O103" s="412" t="s">
        <v>6351</v>
      </c>
      <c r="P103" s="423" t="s">
        <v>6247</v>
      </c>
      <c r="Q103" s="425" t="s">
        <v>6349</v>
      </c>
      <c r="R103" s="423" t="s">
        <v>6296</v>
      </c>
      <c r="S103" s="423" t="s">
        <v>6296</v>
      </c>
      <c r="T103" s="423"/>
      <c r="U103" s="423"/>
      <c r="V103" s="423"/>
      <c r="W103" s="429" t="s">
        <v>6266</v>
      </c>
      <c r="X103" s="423"/>
      <c r="Y103" s="423"/>
      <c r="Z103" s="423"/>
      <c r="AA103" s="423"/>
      <c r="AB103" s="423"/>
      <c r="AC103" s="423"/>
    </row>
    <row r="104" spans="1:29" ht="27">
      <c r="A104" s="413" t="s">
        <v>544</v>
      </c>
      <c r="B104" s="417" t="s">
        <v>6023</v>
      </c>
      <c r="C104" s="413" t="s">
        <v>891</v>
      </c>
      <c r="D104" s="414" t="s">
        <v>6165</v>
      </c>
      <c r="E104" s="413" t="s">
        <v>6025</v>
      </c>
      <c r="F104" s="413" t="s">
        <v>6026</v>
      </c>
      <c r="G104" s="413" t="s">
        <v>6027</v>
      </c>
      <c r="H104" s="412"/>
      <c r="I104" s="412"/>
      <c r="J104" s="412"/>
      <c r="K104" s="412"/>
      <c r="L104" s="412"/>
      <c r="M104" s="414" t="s">
        <v>6165</v>
      </c>
      <c r="N104" s="412" t="s">
        <v>6352</v>
      </c>
      <c r="O104" s="412" t="s">
        <v>6353</v>
      </c>
      <c r="P104" s="423" t="s">
        <v>6247</v>
      </c>
      <c r="Q104" s="425" t="s">
        <v>6349</v>
      </c>
      <c r="R104" s="423" t="s">
        <v>6308</v>
      </c>
      <c r="S104" s="423" t="s">
        <v>6308</v>
      </c>
      <c r="T104" s="423"/>
      <c r="U104" s="423"/>
      <c r="V104" s="423"/>
      <c r="W104" s="429" t="s">
        <v>6266</v>
      </c>
      <c r="X104" s="423"/>
      <c r="Y104" s="423"/>
      <c r="Z104" s="423"/>
      <c r="AA104" s="423"/>
      <c r="AB104" s="423"/>
      <c r="AC104" s="423"/>
    </row>
    <row r="105" spans="1:29" ht="27">
      <c r="A105" s="413" t="s">
        <v>544</v>
      </c>
      <c r="B105" s="417" t="s">
        <v>6023</v>
      </c>
      <c r="C105" s="413" t="s">
        <v>891</v>
      </c>
      <c r="D105" s="414" t="s">
        <v>6165</v>
      </c>
      <c r="E105" s="413" t="s">
        <v>6025</v>
      </c>
      <c r="F105" s="413" t="s">
        <v>6026</v>
      </c>
      <c r="G105" s="413" t="s">
        <v>6027</v>
      </c>
      <c r="H105" s="412"/>
      <c r="I105" s="412"/>
      <c r="J105" s="412"/>
      <c r="K105" s="412"/>
      <c r="L105" s="412"/>
      <c r="M105" s="414" t="s">
        <v>6165</v>
      </c>
      <c r="N105" s="412" t="s">
        <v>6354</v>
      </c>
      <c r="O105" s="412" t="s">
        <v>6355</v>
      </c>
      <c r="P105" s="423" t="s">
        <v>6247</v>
      </c>
      <c r="Q105" s="425" t="s">
        <v>6349</v>
      </c>
      <c r="R105" s="423" t="s">
        <v>6356</v>
      </c>
      <c r="S105" s="423" t="s">
        <v>6356</v>
      </c>
      <c r="T105" s="423"/>
      <c r="U105" s="423"/>
      <c r="V105" s="423"/>
      <c r="W105" s="429" t="s">
        <v>6266</v>
      </c>
      <c r="X105" s="423"/>
      <c r="Y105" s="423"/>
      <c r="Z105" s="423"/>
      <c r="AA105" s="423"/>
      <c r="AB105" s="423"/>
      <c r="AC105" s="423"/>
    </row>
    <row r="106" spans="1:29" ht="27">
      <c r="A106" s="413" t="s">
        <v>544</v>
      </c>
      <c r="B106" s="417" t="s">
        <v>6023</v>
      </c>
      <c r="C106" s="413" t="s">
        <v>891</v>
      </c>
      <c r="D106" s="414" t="s">
        <v>6165</v>
      </c>
      <c r="E106" s="413" t="s">
        <v>6025</v>
      </c>
      <c r="F106" s="413" t="s">
        <v>6026</v>
      </c>
      <c r="G106" s="413" t="s">
        <v>6027</v>
      </c>
      <c r="H106" s="412"/>
      <c r="I106" s="412"/>
      <c r="J106" s="412"/>
      <c r="K106" s="412"/>
      <c r="L106" s="412"/>
      <c r="M106" s="414" t="s">
        <v>6165</v>
      </c>
      <c r="N106" s="412" t="s">
        <v>6357</v>
      </c>
      <c r="O106" s="412" t="s">
        <v>6358</v>
      </c>
      <c r="P106" s="423" t="s">
        <v>6247</v>
      </c>
      <c r="Q106" s="425" t="s">
        <v>6349</v>
      </c>
      <c r="R106" s="423" t="s">
        <v>6359</v>
      </c>
      <c r="S106" s="423" t="s">
        <v>6359</v>
      </c>
      <c r="T106" s="423"/>
      <c r="U106" s="423"/>
      <c r="V106" s="423"/>
      <c r="W106" s="429" t="s">
        <v>6266</v>
      </c>
      <c r="X106" s="423"/>
      <c r="Y106" s="423"/>
      <c r="Z106" s="423"/>
      <c r="AA106" s="423"/>
      <c r="AB106" s="423"/>
      <c r="AC106" s="423"/>
    </row>
    <row r="107" spans="1:29" ht="27">
      <c r="A107" s="413" t="s">
        <v>544</v>
      </c>
      <c r="B107" s="417" t="s">
        <v>6023</v>
      </c>
      <c r="C107" s="413" t="s">
        <v>891</v>
      </c>
      <c r="D107" s="414" t="s">
        <v>6165</v>
      </c>
      <c r="E107" s="413" t="s">
        <v>6025</v>
      </c>
      <c r="F107" s="413" t="s">
        <v>6026</v>
      </c>
      <c r="G107" s="413" t="s">
        <v>6027</v>
      </c>
      <c r="H107" s="412"/>
      <c r="I107" s="412"/>
      <c r="J107" s="412"/>
      <c r="K107" s="412"/>
      <c r="L107" s="412"/>
      <c r="M107" s="414" t="s">
        <v>6165</v>
      </c>
      <c r="N107" s="412" t="s">
        <v>6360</v>
      </c>
      <c r="O107" s="412" t="s">
        <v>6361</v>
      </c>
      <c r="P107" s="423" t="s">
        <v>6247</v>
      </c>
      <c r="Q107" s="425" t="s">
        <v>6362</v>
      </c>
      <c r="R107" s="423" t="s">
        <v>6363</v>
      </c>
      <c r="S107" s="423" t="s">
        <v>6363</v>
      </c>
      <c r="T107" s="423"/>
      <c r="U107" s="423"/>
      <c r="V107" s="423"/>
      <c r="W107" s="429" t="s">
        <v>6266</v>
      </c>
      <c r="X107" s="423"/>
      <c r="Y107" s="423"/>
      <c r="Z107" s="423"/>
      <c r="AA107" s="423"/>
      <c r="AB107" s="423"/>
      <c r="AC107" s="423"/>
    </row>
    <row r="108" spans="1:29" ht="27">
      <c r="A108" s="413" t="s">
        <v>544</v>
      </c>
      <c r="B108" s="417" t="s">
        <v>6023</v>
      </c>
      <c r="C108" s="413" t="s">
        <v>891</v>
      </c>
      <c r="D108" s="414" t="s">
        <v>6165</v>
      </c>
      <c r="E108" s="413" t="s">
        <v>6025</v>
      </c>
      <c r="F108" s="413" t="s">
        <v>6026</v>
      </c>
      <c r="G108" s="413" t="s">
        <v>6027</v>
      </c>
      <c r="H108" s="412"/>
      <c r="I108" s="412"/>
      <c r="J108" s="412"/>
      <c r="K108" s="412"/>
      <c r="L108" s="412"/>
      <c r="M108" s="414" t="s">
        <v>6165</v>
      </c>
      <c r="N108" s="412" t="s">
        <v>6364</v>
      </c>
      <c r="O108" s="412" t="s">
        <v>6365</v>
      </c>
      <c r="P108" s="423" t="s">
        <v>6247</v>
      </c>
      <c r="Q108" s="425" t="s">
        <v>6362</v>
      </c>
      <c r="R108" s="423" t="s">
        <v>6363</v>
      </c>
      <c r="S108" s="423" t="s">
        <v>6363</v>
      </c>
      <c r="T108" s="423"/>
      <c r="U108" s="423"/>
      <c r="V108" s="423"/>
      <c r="W108" s="429" t="s">
        <v>6266</v>
      </c>
      <c r="X108" s="423"/>
      <c r="Y108" s="423"/>
      <c r="Z108" s="423"/>
      <c r="AA108" s="423"/>
      <c r="AB108" s="423"/>
      <c r="AC108" s="423"/>
    </row>
    <row r="109" spans="1:29" ht="27">
      <c r="A109" s="413" t="s">
        <v>544</v>
      </c>
      <c r="B109" s="417" t="s">
        <v>6023</v>
      </c>
      <c r="C109" s="413" t="s">
        <v>891</v>
      </c>
      <c r="D109" s="414" t="s">
        <v>6165</v>
      </c>
      <c r="E109" s="413" t="s">
        <v>6025</v>
      </c>
      <c r="F109" s="413" t="s">
        <v>6026</v>
      </c>
      <c r="G109" s="413" t="s">
        <v>6027</v>
      </c>
      <c r="H109" s="412"/>
      <c r="I109" s="412"/>
      <c r="J109" s="412"/>
      <c r="K109" s="412"/>
      <c r="L109" s="412"/>
      <c r="M109" s="414" t="s">
        <v>6165</v>
      </c>
      <c r="N109" s="412" t="s">
        <v>6366</v>
      </c>
      <c r="O109" s="412" t="s">
        <v>6367</v>
      </c>
      <c r="P109" s="423" t="s">
        <v>6247</v>
      </c>
      <c r="Q109" s="425" t="s">
        <v>6362</v>
      </c>
      <c r="R109" s="423" t="s">
        <v>6363</v>
      </c>
      <c r="S109" s="423" t="s">
        <v>6363</v>
      </c>
      <c r="T109" s="423"/>
      <c r="U109" s="423"/>
      <c r="V109" s="423"/>
      <c r="W109" s="429" t="s">
        <v>6266</v>
      </c>
      <c r="X109" s="423"/>
      <c r="Y109" s="423"/>
      <c r="Z109" s="423"/>
      <c r="AA109" s="423"/>
      <c r="AB109" s="423"/>
      <c r="AC109" s="423"/>
    </row>
    <row r="110" spans="1:29" ht="27">
      <c r="A110" s="413" t="s">
        <v>544</v>
      </c>
      <c r="B110" s="417" t="s">
        <v>6023</v>
      </c>
      <c r="C110" s="413" t="s">
        <v>892</v>
      </c>
      <c r="D110" s="414" t="s">
        <v>6250</v>
      </c>
      <c r="E110" s="413" t="s">
        <v>6025</v>
      </c>
      <c r="F110" s="413" t="s">
        <v>6026</v>
      </c>
      <c r="G110" s="413" t="s">
        <v>6027</v>
      </c>
      <c r="H110" s="412"/>
      <c r="I110" s="412"/>
      <c r="J110" s="412"/>
      <c r="K110" s="412"/>
      <c r="L110" s="412"/>
      <c r="M110" s="414" t="s">
        <v>6250</v>
      </c>
      <c r="N110" s="412" t="s">
        <v>6368</v>
      </c>
      <c r="O110" s="412" t="s">
        <v>6369</v>
      </c>
      <c r="P110" s="423" t="s">
        <v>6031</v>
      </c>
      <c r="Q110" s="423" t="s">
        <v>6254</v>
      </c>
      <c r="R110" s="423" t="s">
        <v>6370</v>
      </c>
      <c r="S110" s="423" t="s">
        <v>6370</v>
      </c>
      <c r="T110" s="423"/>
      <c r="U110" s="423"/>
      <c r="V110" s="423"/>
      <c r="W110" s="429" t="s">
        <v>6266</v>
      </c>
      <c r="X110" s="423"/>
      <c r="Y110" s="423"/>
      <c r="Z110" s="423"/>
      <c r="AA110" s="423"/>
      <c r="AB110" s="423"/>
      <c r="AC110" s="423"/>
    </row>
    <row r="111" spans="1:29" ht="27">
      <c r="A111" s="413" t="s">
        <v>544</v>
      </c>
      <c r="B111" s="417" t="s">
        <v>6023</v>
      </c>
      <c r="C111" s="413" t="s">
        <v>892</v>
      </c>
      <c r="D111" s="414" t="s">
        <v>6250</v>
      </c>
      <c r="E111" s="413" t="s">
        <v>6025</v>
      </c>
      <c r="F111" s="413" t="s">
        <v>6026</v>
      </c>
      <c r="G111" s="413" t="s">
        <v>6027</v>
      </c>
      <c r="H111" s="412"/>
      <c r="I111" s="412"/>
      <c r="J111" s="412"/>
      <c r="K111" s="412"/>
      <c r="L111" s="412"/>
      <c r="M111" s="414" t="s">
        <v>6250</v>
      </c>
      <c r="N111" s="412" t="s">
        <v>6371</v>
      </c>
      <c r="O111" s="412" t="s">
        <v>6372</v>
      </c>
      <c r="P111" s="423" t="s">
        <v>6031</v>
      </c>
      <c r="Q111" s="423" t="s">
        <v>6373</v>
      </c>
      <c r="R111" s="423" t="s">
        <v>6374</v>
      </c>
      <c r="S111" s="423" t="s">
        <v>6374</v>
      </c>
      <c r="T111" s="423"/>
      <c r="U111" s="423"/>
      <c r="V111" s="423"/>
      <c r="W111" s="429" t="s">
        <v>6266</v>
      </c>
      <c r="X111" s="423"/>
      <c r="Y111" s="423"/>
      <c r="Z111" s="423"/>
      <c r="AA111" s="423"/>
      <c r="AB111" s="423"/>
      <c r="AC111" s="423"/>
    </row>
    <row r="112" spans="1:29" ht="27">
      <c r="A112" s="413" t="s">
        <v>544</v>
      </c>
      <c r="B112" s="417" t="s">
        <v>6023</v>
      </c>
      <c r="C112" s="413" t="s">
        <v>892</v>
      </c>
      <c r="D112" s="414" t="s">
        <v>6250</v>
      </c>
      <c r="E112" s="413" t="s">
        <v>6025</v>
      </c>
      <c r="F112" s="413" t="s">
        <v>6026</v>
      </c>
      <c r="G112" s="413" t="s">
        <v>6027</v>
      </c>
      <c r="H112" s="412"/>
      <c r="I112" s="412"/>
      <c r="J112" s="412"/>
      <c r="K112" s="412"/>
      <c r="L112" s="412"/>
      <c r="M112" s="414" t="s">
        <v>6250</v>
      </c>
      <c r="N112" s="412" t="s">
        <v>6375</v>
      </c>
      <c r="O112" s="412" t="s">
        <v>6376</v>
      </c>
      <c r="P112" s="423" t="s">
        <v>6031</v>
      </c>
      <c r="Q112" s="423" t="s">
        <v>6373</v>
      </c>
      <c r="R112" s="423" t="s">
        <v>6377</v>
      </c>
      <c r="S112" s="423" t="s">
        <v>6377</v>
      </c>
      <c r="T112" s="423"/>
      <c r="U112" s="423"/>
      <c r="V112" s="423"/>
      <c r="W112" s="429" t="s">
        <v>6266</v>
      </c>
      <c r="X112" s="423"/>
      <c r="Y112" s="423"/>
      <c r="Z112" s="423"/>
      <c r="AA112" s="423"/>
      <c r="AB112" s="423"/>
      <c r="AC112" s="423"/>
    </row>
    <row r="113" spans="1:29" ht="27">
      <c r="A113" s="413" t="s">
        <v>544</v>
      </c>
      <c r="B113" s="417" t="s">
        <v>6023</v>
      </c>
      <c r="C113" s="413" t="s">
        <v>892</v>
      </c>
      <c r="D113" s="414" t="s">
        <v>6250</v>
      </c>
      <c r="E113" s="413" t="s">
        <v>6025</v>
      </c>
      <c r="F113" s="413" t="s">
        <v>6026</v>
      </c>
      <c r="G113" s="413" t="s">
        <v>6027</v>
      </c>
      <c r="H113" s="412"/>
      <c r="I113" s="412"/>
      <c r="J113" s="412"/>
      <c r="K113" s="412"/>
      <c r="L113" s="412"/>
      <c r="M113" s="414" t="s">
        <v>6250</v>
      </c>
      <c r="N113" s="412" t="s">
        <v>6378</v>
      </c>
      <c r="O113" s="412" t="s">
        <v>6379</v>
      </c>
      <c r="P113" s="423" t="s">
        <v>6031</v>
      </c>
      <c r="Q113" s="423" t="s">
        <v>6380</v>
      </c>
      <c r="R113" s="423" t="s">
        <v>6381</v>
      </c>
      <c r="S113" s="423" t="s">
        <v>6381</v>
      </c>
      <c r="T113" s="423"/>
      <c r="U113" s="423"/>
      <c r="V113" s="423"/>
      <c r="W113" s="429" t="s">
        <v>6266</v>
      </c>
      <c r="X113" s="423"/>
      <c r="Y113" s="423"/>
      <c r="Z113" s="423"/>
      <c r="AA113" s="423"/>
      <c r="AB113" s="423"/>
      <c r="AC113" s="423"/>
    </row>
    <row r="114" spans="1:29" ht="27">
      <c r="A114" s="413" t="s">
        <v>544</v>
      </c>
      <c r="B114" s="417" t="s">
        <v>6023</v>
      </c>
      <c r="C114" s="413" t="s">
        <v>892</v>
      </c>
      <c r="D114" s="414" t="s">
        <v>6250</v>
      </c>
      <c r="E114" s="413" t="s">
        <v>6025</v>
      </c>
      <c r="F114" s="413" t="s">
        <v>6026</v>
      </c>
      <c r="G114" s="413" t="s">
        <v>6027</v>
      </c>
      <c r="H114" s="412"/>
      <c r="I114" s="412"/>
      <c r="J114" s="412"/>
      <c r="K114" s="412"/>
      <c r="L114" s="412"/>
      <c r="M114" s="414" t="s">
        <v>6250</v>
      </c>
      <c r="N114" s="412" t="s">
        <v>6382</v>
      </c>
      <c r="O114" s="412" t="s">
        <v>6383</v>
      </c>
      <c r="P114" s="423" t="s">
        <v>6031</v>
      </c>
      <c r="Q114" s="423" t="s">
        <v>6380</v>
      </c>
      <c r="R114" s="423" t="s">
        <v>6384</v>
      </c>
      <c r="S114" s="423" t="s">
        <v>6384</v>
      </c>
      <c r="T114" s="423"/>
      <c r="U114" s="423"/>
      <c r="V114" s="423"/>
      <c r="W114" s="429" t="s">
        <v>6266</v>
      </c>
      <c r="X114" s="423"/>
      <c r="Y114" s="423"/>
      <c r="Z114" s="423"/>
      <c r="AA114" s="423"/>
      <c r="AB114" s="423"/>
      <c r="AC114" s="423"/>
    </row>
    <row r="115" spans="1:29" ht="27">
      <c r="A115" s="413" t="s">
        <v>544</v>
      </c>
      <c r="B115" s="417" t="s">
        <v>6023</v>
      </c>
      <c r="C115" s="413" t="s">
        <v>892</v>
      </c>
      <c r="D115" s="414" t="s">
        <v>6250</v>
      </c>
      <c r="E115" s="413" t="s">
        <v>6025</v>
      </c>
      <c r="F115" s="413" t="s">
        <v>6026</v>
      </c>
      <c r="G115" s="413" t="s">
        <v>6027</v>
      </c>
      <c r="H115" s="412"/>
      <c r="I115" s="412"/>
      <c r="J115" s="412"/>
      <c r="K115" s="412"/>
      <c r="L115" s="412"/>
      <c r="M115" s="414" t="s">
        <v>6250</v>
      </c>
      <c r="N115" s="412" t="s">
        <v>6385</v>
      </c>
      <c r="O115" s="412" t="s">
        <v>6386</v>
      </c>
      <c r="P115" s="423" t="s">
        <v>6031</v>
      </c>
      <c r="Q115" s="423" t="s">
        <v>6380</v>
      </c>
      <c r="R115" s="423" t="s">
        <v>6387</v>
      </c>
      <c r="S115" s="423" t="s">
        <v>6387</v>
      </c>
      <c r="T115" s="423"/>
      <c r="U115" s="423"/>
      <c r="V115" s="423"/>
      <c r="W115" s="429" t="s">
        <v>6266</v>
      </c>
      <c r="X115" s="423"/>
      <c r="Y115" s="423"/>
      <c r="Z115" s="423"/>
      <c r="AA115" s="423"/>
      <c r="AB115" s="423"/>
      <c r="AC115" s="423"/>
    </row>
    <row r="116" spans="1:29" ht="27">
      <c r="A116" s="413" t="s">
        <v>544</v>
      </c>
      <c r="B116" s="417" t="s">
        <v>6023</v>
      </c>
      <c r="C116" s="413" t="s">
        <v>892</v>
      </c>
      <c r="D116" s="414" t="s">
        <v>6250</v>
      </c>
      <c r="E116" s="413" t="s">
        <v>6025</v>
      </c>
      <c r="F116" s="413" t="s">
        <v>6026</v>
      </c>
      <c r="G116" s="413" t="s">
        <v>6027</v>
      </c>
      <c r="H116" s="412"/>
      <c r="I116" s="412"/>
      <c r="J116" s="412"/>
      <c r="K116" s="412"/>
      <c r="L116" s="412"/>
      <c r="M116" s="414" t="s">
        <v>6250</v>
      </c>
      <c r="N116" s="412" t="s">
        <v>6388</v>
      </c>
      <c r="O116" s="412" t="s">
        <v>6389</v>
      </c>
      <c r="P116" s="423" t="s">
        <v>6031</v>
      </c>
      <c r="Q116" s="423" t="s">
        <v>6380</v>
      </c>
      <c r="R116" s="423" t="s">
        <v>6390</v>
      </c>
      <c r="S116" s="423" t="s">
        <v>6390</v>
      </c>
      <c r="T116" s="423"/>
      <c r="U116" s="423"/>
      <c r="V116" s="423"/>
      <c r="W116" s="429" t="s">
        <v>6266</v>
      </c>
      <c r="X116" s="423"/>
      <c r="Y116" s="423"/>
      <c r="Z116" s="423"/>
      <c r="AA116" s="423"/>
      <c r="AB116" s="423"/>
      <c r="AC116" s="423"/>
    </row>
    <row r="117" spans="1:29" ht="27">
      <c r="A117" s="413" t="s">
        <v>545</v>
      </c>
      <c r="B117" s="414" t="s">
        <v>6391</v>
      </c>
      <c r="C117" s="413" t="s">
        <v>6392</v>
      </c>
      <c r="D117" s="414" t="s">
        <v>5994</v>
      </c>
      <c r="E117" s="413" t="s">
        <v>6025</v>
      </c>
      <c r="F117" s="413" t="s">
        <v>6026</v>
      </c>
      <c r="G117" s="413" t="s">
        <v>6027</v>
      </c>
      <c r="H117" s="407" t="s">
        <v>3271</v>
      </c>
      <c r="I117" s="406" t="s">
        <v>2193</v>
      </c>
      <c r="J117" s="417" t="s">
        <v>6393</v>
      </c>
      <c r="K117" s="417" t="s">
        <v>6394</v>
      </c>
      <c r="L117" s="417" t="s">
        <v>6394</v>
      </c>
      <c r="M117" s="414" t="s">
        <v>5994</v>
      </c>
      <c r="N117" s="412" t="s">
        <v>3271</v>
      </c>
      <c r="O117" s="412" t="s">
        <v>6395</v>
      </c>
      <c r="P117" s="423" t="s">
        <v>6031</v>
      </c>
      <c r="Q117" s="423" t="s">
        <v>6396</v>
      </c>
      <c r="R117" s="423" t="s">
        <v>6397</v>
      </c>
      <c r="S117" s="423" t="s">
        <v>6397</v>
      </c>
      <c r="T117" s="423"/>
      <c r="U117" s="423"/>
      <c r="V117" s="423"/>
      <c r="W117" s="429" t="s">
        <v>6034</v>
      </c>
      <c r="X117" s="423"/>
      <c r="Y117" s="423"/>
      <c r="Z117" s="423"/>
      <c r="AA117" s="423"/>
      <c r="AB117" s="423"/>
      <c r="AC117" s="423"/>
    </row>
    <row r="118" spans="1:29" ht="27">
      <c r="A118" s="413" t="s">
        <v>545</v>
      </c>
      <c r="B118" s="414" t="s">
        <v>6391</v>
      </c>
      <c r="C118" s="413" t="s">
        <v>6398</v>
      </c>
      <c r="D118" s="414" t="s">
        <v>5994</v>
      </c>
      <c r="E118" s="413" t="s">
        <v>6025</v>
      </c>
      <c r="F118" s="413" t="s">
        <v>6026</v>
      </c>
      <c r="G118" s="413" t="s">
        <v>6027</v>
      </c>
      <c r="H118" s="413" t="s">
        <v>3272</v>
      </c>
      <c r="I118" s="406" t="s">
        <v>2193</v>
      </c>
      <c r="J118" s="417" t="s">
        <v>6393</v>
      </c>
      <c r="K118" s="417" t="s">
        <v>6399</v>
      </c>
      <c r="L118" s="417" t="s">
        <v>6399</v>
      </c>
      <c r="M118" s="414" t="s">
        <v>5994</v>
      </c>
      <c r="N118" s="412" t="s">
        <v>3272</v>
      </c>
      <c r="O118" s="412" t="s">
        <v>6400</v>
      </c>
      <c r="P118" s="423" t="s">
        <v>6031</v>
      </c>
      <c r="Q118" s="423" t="s">
        <v>6396</v>
      </c>
      <c r="R118" s="423" t="s">
        <v>6401</v>
      </c>
      <c r="S118" s="423" t="s">
        <v>6401</v>
      </c>
      <c r="T118" s="423"/>
      <c r="U118" s="423"/>
      <c r="V118" s="423"/>
      <c r="W118" s="429" t="s">
        <v>6034</v>
      </c>
      <c r="X118" s="423"/>
      <c r="Y118" s="423"/>
      <c r="Z118" s="423"/>
      <c r="AA118" s="423"/>
      <c r="AB118" s="423"/>
      <c r="AC118" s="423"/>
    </row>
    <row r="119" spans="1:29" ht="27">
      <c r="A119" s="413" t="s">
        <v>545</v>
      </c>
      <c r="B119" s="414" t="s">
        <v>6391</v>
      </c>
      <c r="C119" s="413" t="s">
        <v>6402</v>
      </c>
      <c r="D119" s="414" t="s">
        <v>5994</v>
      </c>
      <c r="E119" s="413" t="s">
        <v>6025</v>
      </c>
      <c r="F119" s="413" t="s">
        <v>6026</v>
      </c>
      <c r="G119" s="413" t="s">
        <v>6027</v>
      </c>
      <c r="H119" s="413" t="s">
        <v>3273</v>
      </c>
      <c r="I119" s="406" t="s">
        <v>2193</v>
      </c>
      <c r="J119" s="417" t="s">
        <v>6393</v>
      </c>
      <c r="K119" s="417" t="s">
        <v>6403</v>
      </c>
      <c r="L119" s="417" t="s">
        <v>6403</v>
      </c>
      <c r="M119" s="414" t="s">
        <v>5994</v>
      </c>
      <c r="N119" s="412" t="s">
        <v>3273</v>
      </c>
      <c r="O119" s="412" t="s">
        <v>6404</v>
      </c>
      <c r="P119" s="423" t="s">
        <v>6031</v>
      </c>
      <c r="Q119" s="423" t="s">
        <v>6396</v>
      </c>
      <c r="R119" s="423" t="s">
        <v>6405</v>
      </c>
      <c r="S119" s="423" t="s">
        <v>6405</v>
      </c>
      <c r="T119" s="423"/>
      <c r="U119" s="423"/>
      <c r="V119" s="423"/>
      <c r="W119" s="429" t="s">
        <v>6034</v>
      </c>
      <c r="X119" s="423"/>
      <c r="Y119" s="423"/>
      <c r="Z119" s="423"/>
      <c r="AA119" s="423"/>
      <c r="AB119" s="423"/>
      <c r="AC119" s="423"/>
    </row>
    <row r="120" spans="1:29" ht="27">
      <c r="A120" s="413" t="s">
        <v>545</v>
      </c>
      <c r="B120" s="414" t="s">
        <v>6391</v>
      </c>
      <c r="C120" s="413" t="s">
        <v>6402</v>
      </c>
      <c r="D120" s="414" t="s">
        <v>5994</v>
      </c>
      <c r="E120" s="413" t="s">
        <v>6025</v>
      </c>
      <c r="F120" s="413" t="s">
        <v>6026</v>
      </c>
      <c r="G120" s="413" t="s">
        <v>6027</v>
      </c>
      <c r="H120" s="413" t="s">
        <v>3274</v>
      </c>
      <c r="I120" s="406" t="s">
        <v>2193</v>
      </c>
      <c r="J120" s="417" t="s">
        <v>6393</v>
      </c>
      <c r="K120" s="417" t="s">
        <v>6406</v>
      </c>
      <c r="L120" s="417" t="s">
        <v>6406</v>
      </c>
      <c r="M120" s="414" t="s">
        <v>5994</v>
      </c>
      <c r="N120" s="412" t="s">
        <v>3274</v>
      </c>
      <c r="O120" s="412" t="s">
        <v>6407</v>
      </c>
      <c r="P120" s="423" t="s">
        <v>6031</v>
      </c>
      <c r="Q120" s="423" t="s">
        <v>6396</v>
      </c>
      <c r="R120" s="423" t="s">
        <v>6408</v>
      </c>
      <c r="S120" s="423" t="s">
        <v>6408</v>
      </c>
      <c r="T120" s="423"/>
      <c r="U120" s="423"/>
      <c r="V120" s="423"/>
      <c r="W120" s="429" t="s">
        <v>6034</v>
      </c>
      <c r="X120" s="423"/>
      <c r="Y120" s="423"/>
      <c r="Z120" s="423"/>
      <c r="AA120" s="423"/>
      <c r="AB120" s="423"/>
      <c r="AC120" s="423"/>
    </row>
    <row r="121" spans="1:29" ht="27">
      <c r="A121" s="413" t="s">
        <v>545</v>
      </c>
      <c r="B121" s="414" t="s">
        <v>6391</v>
      </c>
      <c r="C121" s="413" t="s">
        <v>6409</v>
      </c>
      <c r="D121" s="414" t="s">
        <v>5994</v>
      </c>
      <c r="E121" s="413" t="s">
        <v>6025</v>
      </c>
      <c r="F121" s="413" t="s">
        <v>6026</v>
      </c>
      <c r="G121" s="413" t="s">
        <v>6027</v>
      </c>
      <c r="H121" s="413" t="s">
        <v>3275</v>
      </c>
      <c r="I121" s="406" t="s">
        <v>2193</v>
      </c>
      <c r="J121" s="417" t="s">
        <v>6393</v>
      </c>
      <c r="K121" s="417" t="s">
        <v>6410</v>
      </c>
      <c r="L121" s="417" t="s">
        <v>6410</v>
      </c>
      <c r="M121" s="414" t="s">
        <v>5994</v>
      </c>
      <c r="N121" s="412" t="s">
        <v>3275</v>
      </c>
      <c r="O121" s="412" t="s">
        <v>6411</v>
      </c>
      <c r="P121" s="423" t="s">
        <v>6031</v>
      </c>
      <c r="Q121" s="423" t="s">
        <v>6396</v>
      </c>
      <c r="R121" s="423" t="s">
        <v>6412</v>
      </c>
      <c r="S121" s="423" t="s">
        <v>6412</v>
      </c>
      <c r="T121" s="423"/>
      <c r="U121" s="423"/>
      <c r="V121" s="423"/>
      <c r="W121" s="429" t="s">
        <v>6034</v>
      </c>
      <c r="X121" s="423"/>
      <c r="Y121" s="423"/>
      <c r="Z121" s="423"/>
      <c r="AA121" s="423"/>
      <c r="AB121" s="423"/>
      <c r="AC121" s="423"/>
    </row>
    <row r="122" spans="1:29" ht="27">
      <c r="A122" s="413" t="s">
        <v>545</v>
      </c>
      <c r="B122" s="414" t="s">
        <v>6391</v>
      </c>
      <c r="C122" s="413" t="s">
        <v>6409</v>
      </c>
      <c r="D122" s="414" t="s">
        <v>5994</v>
      </c>
      <c r="E122" s="413" t="s">
        <v>6025</v>
      </c>
      <c r="F122" s="413" t="s">
        <v>6026</v>
      </c>
      <c r="G122" s="413" t="s">
        <v>6027</v>
      </c>
      <c r="H122" s="413" t="s">
        <v>3276</v>
      </c>
      <c r="I122" s="406" t="s">
        <v>2193</v>
      </c>
      <c r="J122" s="417" t="s">
        <v>6393</v>
      </c>
      <c r="K122" s="417" t="s">
        <v>6413</v>
      </c>
      <c r="L122" s="417" t="s">
        <v>6413</v>
      </c>
      <c r="M122" s="414" t="s">
        <v>5994</v>
      </c>
      <c r="N122" s="412" t="s">
        <v>3276</v>
      </c>
      <c r="O122" s="412" t="s">
        <v>6414</v>
      </c>
      <c r="P122" s="423" t="s">
        <v>6031</v>
      </c>
      <c r="Q122" s="423" t="s">
        <v>6396</v>
      </c>
      <c r="R122" s="423" t="s">
        <v>6415</v>
      </c>
      <c r="S122" s="423" t="s">
        <v>6415</v>
      </c>
      <c r="T122" s="423"/>
      <c r="U122" s="423"/>
      <c r="V122" s="423"/>
      <c r="W122" s="429" t="s">
        <v>6034</v>
      </c>
      <c r="X122" s="423"/>
      <c r="Y122" s="423"/>
      <c r="Z122" s="423"/>
      <c r="AA122" s="423"/>
      <c r="AB122" s="423"/>
      <c r="AC122" s="423"/>
    </row>
    <row r="123" spans="1:29" ht="27">
      <c r="A123" s="413" t="s">
        <v>545</v>
      </c>
      <c r="B123" s="414" t="s">
        <v>6391</v>
      </c>
      <c r="C123" s="413" t="s">
        <v>6409</v>
      </c>
      <c r="D123" s="414" t="s">
        <v>5994</v>
      </c>
      <c r="E123" s="413" t="s">
        <v>6025</v>
      </c>
      <c r="F123" s="413" t="s">
        <v>6026</v>
      </c>
      <c r="G123" s="413" t="s">
        <v>6027</v>
      </c>
      <c r="H123" s="413" t="s">
        <v>3277</v>
      </c>
      <c r="I123" s="406" t="s">
        <v>2193</v>
      </c>
      <c r="J123" s="417" t="s">
        <v>6393</v>
      </c>
      <c r="K123" s="417" t="s">
        <v>6416</v>
      </c>
      <c r="L123" s="417" t="s">
        <v>6416</v>
      </c>
      <c r="M123" s="414" t="s">
        <v>5994</v>
      </c>
      <c r="N123" s="412" t="s">
        <v>3277</v>
      </c>
      <c r="O123" s="412" t="s">
        <v>6417</v>
      </c>
      <c r="P123" s="423" t="s">
        <v>6031</v>
      </c>
      <c r="Q123" s="423" t="s">
        <v>6396</v>
      </c>
      <c r="R123" s="423" t="s">
        <v>6418</v>
      </c>
      <c r="S123" s="423" t="s">
        <v>6418</v>
      </c>
      <c r="T123" s="423"/>
      <c r="U123" s="423"/>
      <c r="V123" s="423"/>
      <c r="W123" s="429" t="s">
        <v>6034</v>
      </c>
      <c r="X123" s="423"/>
      <c r="Y123" s="423"/>
      <c r="Z123" s="423"/>
      <c r="AA123" s="423"/>
      <c r="AB123" s="423"/>
      <c r="AC123" s="423"/>
    </row>
    <row r="124" spans="1:29" ht="27">
      <c r="A124" s="413" t="s">
        <v>545</v>
      </c>
      <c r="B124" s="414" t="s">
        <v>6391</v>
      </c>
      <c r="C124" s="413" t="s">
        <v>6409</v>
      </c>
      <c r="D124" s="414" t="s">
        <v>5994</v>
      </c>
      <c r="E124" s="413" t="s">
        <v>6025</v>
      </c>
      <c r="F124" s="413" t="s">
        <v>6026</v>
      </c>
      <c r="G124" s="413" t="s">
        <v>6027</v>
      </c>
      <c r="H124" s="413" t="s">
        <v>3278</v>
      </c>
      <c r="I124" s="406" t="s">
        <v>2193</v>
      </c>
      <c r="J124" s="417" t="s">
        <v>6393</v>
      </c>
      <c r="K124" s="417" t="s">
        <v>6419</v>
      </c>
      <c r="L124" s="417" t="s">
        <v>6419</v>
      </c>
      <c r="M124" s="414" t="s">
        <v>5994</v>
      </c>
      <c r="N124" s="412" t="s">
        <v>3278</v>
      </c>
      <c r="O124" s="412" t="s">
        <v>6420</v>
      </c>
      <c r="P124" s="423" t="s">
        <v>6031</v>
      </c>
      <c r="Q124" s="423" t="s">
        <v>6396</v>
      </c>
      <c r="R124" s="423" t="s">
        <v>6421</v>
      </c>
      <c r="S124" s="423" t="s">
        <v>6421</v>
      </c>
      <c r="T124" s="423"/>
      <c r="U124" s="423"/>
      <c r="V124" s="423"/>
      <c r="W124" s="429" t="s">
        <v>6034</v>
      </c>
      <c r="X124" s="423"/>
      <c r="Y124" s="423"/>
      <c r="Z124" s="423"/>
      <c r="AA124" s="423"/>
      <c r="AB124" s="423"/>
      <c r="AC124" s="423"/>
    </row>
    <row r="125" spans="1:29" ht="27">
      <c r="A125" s="413" t="s">
        <v>545</v>
      </c>
      <c r="B125" s="414" t="s">
        <v>6391</v>
      </c>
      <c r="C125" s="413" t="s">
        <v>6422</v>
      </c>
      <c r="D125" s="414" t="s">
        <v>5994</v>
      </c>
      <c r="E125" s="413" t="s">
        <v>6025</v>
      </c>
      <c r="F125" s="413" t="s">
        <v>6026</v>
      </c>
      <c r="G125" s="413" t="s">
        <v>6027</v>
      </c>
      <c r="H125" s="413" t="s">
        <v>3279</v>
      </c>
      <c r="I125" s="406" t="s">
        <v>2193</v>
      </c>
      <c r="J125" s="417" t="s">
        <v>6393</v>
      </c>
      <c r="K125" s="417" t="s">
        <v>6423</v>
      </c>
      <c r="L125" s="417" t="s">
        <v>6423</v>
      </c>
      <c r="M125" s="414" t="s">
        <v>5994</v>
      </c>
      <c r="N125" s="412" t="s">
        <v>3279</v>
      </c>
      <c r="O125" s="412" t="s">
        <v>6424</v>
      </c>
      <c r="P125" s="423" t="s">
        <v>6031</v>
      </c>
      <c r="Q125" s="423" t="s">
        <v>6396</v>
      </c>
      <c r="R125" s="423" t="s">
        <v>6425</v>
      </c>
      <c r="S125" s="423" t="s">
        <v>6425</v>
      </c>
      <c r="T125" s="423"/>
      <c r="U125" s="423"/>
      <c r="V125" s="423"/>
      <c r="W125" s="429" t="s">
        <v>6034</v>
      </c>
      <c r="X125" s="423"/>
      <c r="Y125" s="423"/>
      <c r="Z125" s="423"/>
      <c r="AA125" s="423"/>
      <c r="AB125" s="423"/>
      <c r="AC125" s="423"/>
    </row>
    <row r="126" spans="1:29" ht="27">
      <c r="A126" s="413" t="s">
        <v>545</v>
      </c>
      <c r="B126" s="414" t="s">
        <v>6391</v>
      </c>
      <c r="C126" s="413" t="s">
        <v>6422</v>
      </c>
      <c r="D126" s="414" t="s">
        <v>5994</v>
      </c>
      <c r="E126" s="413" t="s">
        <v>6025</v>
      </c>
      <c r="F126" s="413" t="s">
        <v>6026</v>
      </c>
      <c r="G126" s="413" t="s">
        <v>6027</v>
      </c>
      <c r="H126" s="413" t="s">
        <v>3280</v>
      </c>
      <c r="I126" s="406" t="s">
        <v>2193</v>
      </c>
      <c r="J126" s="417" t="s">
        <v>6393</v>
      </c>
      <c r="K126" s="417" t="s">
        <v>6426</v>
      </c>
      <c r="L126" s="417" t="s">
        <v>6426</v>
      </c>
      <c r="M126" s="414" t="s">
        <v>5994</v>
      </c>
      <c r="N126" s="412" t="s">
        <v>3280</v>
      </c>
      <c r="O126" s="412" t="s">
        <v>6427</v>
      </c>
      <c r="P126" s="423" t="s">
        <v>6031</v>
      </c>
      <c r="Q126" s="423" t="s">
        <v>6396</v>
      </c>
      <c r="R126" s="423" t="s">
        <v>6428</v>
      </c>
      <c r="S126" s="423" t="s">
        <v>6428</v>
      </c>
      <c r="T126" s="423"/>
      <c r="U126" s="423"/>
      <c r="V126" s="423"/>
      <c r="W126" s="429" t="s">
        <v>6034</v>
      </c>
      <c r="X126" s="423"/>
      <c r="Y126" s="423"/>
      <c r="Z126" s="423"/>
      <c r="AA126" s="423"/>
      <c r="AB126" s="423"/>
      <c r="AC126" s="423"/>
    </row>
    <row r="127" spans="1:29" ht="27">
      <c r="A127" s="413" t="s">
        <v>545</v>
      </c>
      <c r="B127" s="414" t="s">
        <v>6391</v>
      </c>
      <c r="C127" s="413" t="s">
        <v>895</v>
      </c>
      <c r="D127" s="414" t="s">
        <v>6429</v>
      </c>
      <c r="E127" s="413" t="s">
        <v>6025</v>
      </c>
      <c r="F127" s="413" t="s">
        <v>6026</v>
      </c>
      <c r="G127" s="413" t="s">
        <v>6027</v>
      </c>
      <c r="H127" s="413" t="s">
        <v>3281</v>
      </c>
      <c r="I127" s="414" t="s">
        <v>4363</v>
      </c>
      <c r="J127" s="417" t="s">
        <v>6430</v>
      </c>
      <c r="K127" s="417" t="s">
        <v>6431</v>
      </c>
      <c r="L127" s="417" t="s">
        <v>6431</v>
      </c>
      <c r="M127" s="414" t="s">
        <v>6429</v>
      </c>
      <c r="N127" s="412" t="s">
        <v>3281</v>
      </c>
      <c r="O127" s="412" t="s">
        <v>6432</v>
      </c>
      <c r="P127" s="423" t="s">
        <v>6031</v>
      </c>
      <c r="Q127" s="423" t="s">
        <v>6433</v>
      </c>
      <c r="R127" s="423" t="s">
        <v>6434</v>
      </c>
      <c r="S127" s="423" t="s">
        <v>6434</v>
      </c>
      <c r="T127" s="423"/>
      <c r="U127" s="423"/>
      <c r="V127" s="423"/>
      <c r="W127" s="429" t="s">
        <v>6034</v>
      </c>
      <c r="X127" s="423"/>
      <c r="Y127" s="423"/>
      <c r="Z127" s="423"/>
      <c r="AA127" s="423"/>
      <c r="AB127" s="423"/>
      <c r="AC127" s="423"/>
    </row>
    <row r="128" spans="1:29" ht="27">
      <c r="A128" s="413" t="s">
        <v>545</v>
      </c>
      <c r="B128" s="414" t="s">
        <v>6391</v>
      </c>
      <c r="C128" s="413" t="s">
        <v>895</v>
      </c>
      <c r="D128" s="414" t="s">
        <v>6429</v>
      </c>
      <c r="E128" s="413" t="s">
        <v>6025</v>
      </c>
      <c r="F128" s="413" t="s">
        <v>6026</v>
      </c>
      <c r="G128" s="413" t="s">
        <v>6027</v>
      </c>
      <c r="H128" s="413" t="s">
        <v>3282</v>
      </c>
      <c r="I128" s="414" t="s">
        <v>4363</v>
      </c>
      <c r="J128" s="417" t="s">
        <v>6430</v>
      </c>
      <c r="K128" s="417" t="s">
        <v>6435</v>
      </c>
      <c r="L128" s="417" t="s">
        <v>6435</v>
      </c>
      <c r="M128" s="414" t="s">
        <v>6429</v>
      </c>
      <c r="N128" s="412" t="s">
        <v>3282</v>
      </c>
      <c r="O128" s="412" t="s">
        <v>6436</v>
      </c>
      <c r="P128" s="423" t="s">
        <v>6031</v>
      </c>
      <c r="Q128" s="423" t="s">
        <v>6433</v>
      </c>
      <c r="R128" s="423" t="s">
        <v>6437</v>
      </c>
      <c r="S128" s="423" t="s">
        <v>6437</v>
      </c>
      <c r="T128" s="423"/>
      <c r="U128" s="423"/>
      <c r="V128" s="423"/>
      <c r="W128" s="429" t="s">
        <v>6034</v>
      </c>
      <c r="X128" s="423"/>
      <c r="Y128" s="423"/>
      <c r="Z128" s="423"/>
      <c r="AA128" s="423"/>
      <c r="AB128" s="423"/>
      <c r="AC128" s="423"/>
    </row>
    <row r="129" spans="1:29" ht="27">
      <c r="A129" s="413" t="s">
        <v>545</v>
      </c>
      <c r="B129" s="414" t="s">
        <v>6391</v>
      </c>
      <c r="C129" s="413" t="s">
        <v>895</v>
      </c>
      <c r="D129" s="414" t="s">
        <v>6429</v>
      </c>
      <c r="E129" s="413" t="s">
        <v>6025</v>
      </c>
      <c r="F129" s="413" t="s">
        <v>6026</v>
      </c>
      <c r="G129" s="413" t="s">
        <v>6027</v>
      </c>
      <c r="H129" s="413" t="s">
        <v>3283</v>
      </c>
      <c r="I129" s="414" t="s">
        <v>4363</v>
      </c>
      <c r="J129" s="417" t="s">
        <v>6430</v>
      </c>
      <c r="K129" s="417" t="s">
        <v>6438</v>
      </c>
      <c r="L129" s="417" t="s">
        <v>6438</v>
      </c>
      <c r="M129" s="414" t="s">
        <v>6429</v>
      </c>
      <c r="N129" s="412" t="s">
        <v>3283</v>
      </c>
      <c r="O129" s="412" t="s">
        <v>6439</v>
      </c>
      <c r="P129" s="423" t="s">
        <v>6031</v>
      </c>
      <c r="Q129" s="423" t="s">
        <v>6433</v>
      </c>
      <c r="R129" s="423" t="s">
        <v>6440</v>
      </c>
      <c r="S129" s="423" t="s">
        <v>6440</v>
      </c>
      <c r="T129" s="423"/>
      <c r="U129" s="423"/>
      <c r="V129" s="423"/>
      <c r="W129" s="429" t="s">
        <v>6034</v>
      </c>
      <c r="X129" s="423"/>
      <c r="Y129" s="423"/>
      <c r="Z129" s="423"/>
      <c r="AA129" s="423"/>
      <c r="AB129" s="423"/>
      <c r="AC129" s="423"/>
    </row>
    <row r="130" spans="1:29" ht="27">
      <c r="A130" s="413" t="s">
        <v>545</v>
      </c>
      <c r="B130" s="414" t="s">
        <v>6391</v>
      </c>
      <c r="C130" s="413" t="s">
        <v>896</v>
      </c>
      <c r="D130" s="414" t="s">
        <v>6441</v>
      </c>
      <c r="E130" s="413" t="s">
        <v>6025</v>
      </c>
      <c r="F130" s="413" t="s">
        <v>6026</v>
      </c>
      <c r="G130" s="413" t="s">
        <v>6027</v>
      </c>
      <c r="H130" s="413" t="s">
        <v>3284</v>
      </c>
      <c r="I130" s="414" t="s">
        <v>4363</v>
      </c>
      <c r="J130" s="417" t="s">
        <v>6430</v>
      </c>
      <c r="K130" s="417" t="s">
        <v>6442</v>
      </c>
      <c r="L130" s="417" t="s">
        <v>6442</v>
      </c>
      <c r="M130" s="414" t="s">
        <v>6441</v>
      </c>
      <c r="N130" s="412" t="s">
        <v>3284</v>
      </c>
      <c r="O130" s="412" t="s">
        <v>6443</v>
      </c>
      <c r="P130" s="423" t="s">
        <v>6031</v>
      </c>
      <c r="Q130" s="423" t="s">
        <v>6444</v>
      </c>
      <c r="R130" s="423" t="s">
        <v>6445</v>
      </c>
      <c r="S130" s="423" t="s">
        <v>6445</v>
      </c>
      <c r="T130" s="423"/>
      <c r="U130" s="423"/>
      <c r="V130" s="423"/>
      <c r="W130" s="429" t="s">
        <v>6034</v>
      </c>
      <c r="X130" s="423"/>
      <c r="Y130" s="423"/>
      <c r="Z130" s="423"/>
      <c r="AA130" s="423"/>
      <c r="AB130" s="423"/>
      <c r="AC130" s="423"/>
    </row>
    <row r="131" spans="1:29" ht="27">
      <c r="A131" s="413" t="s">
        <v>545</v>
      </c>
      <c r="B131" s="414" t="s">
        <v>6391</v>
      </c>
      <c r="C131" s="413" t="s">
        <v>896</v>
      </c>
      <c r="D131" s="414" t="s">
        <v>6441</v>
      </c>
      <c r="E131" s="413" t="s">
        <v>6025</v>
      </c>
      <c r="F131" s="413" t="s">
        <v>6026</v>
      </c>
      <c r="G131" s="413" t="s">
        <v>6027</v>
      </c>
      <c r="H131" s="413" t="s">
        <v>3285</v>
      </c>
      <c r="I131" s="414" t="s">
        <v>4363</v>
      </c>
      <c r="J131" s="417" t="s">
        <v>6430</v>
      </c>
      <c r="K131" s="417" t="s">
        <v>6446</v>
      </c>
      <c r="L131" s="417" t="s">
        <v>6446</v>
      </c>
      <c r="M131" s="414" t="s">
        <v>6441</v>
      </c>
      <c r="N131" s="412" t="s">
        <v>3285</v>
      </c>
      <c r="O131" s="412" t="s">
        <v>6447</v>
      </c>
      <c r="P131" s="423" t="s">
        <v>6031</v>
      </c>
      <c r="Q131" s="423" t="s">
        <v>6444</v>
      </c>
      <c r="R131" s="423" t="s">
        <v>6448</v>
      </c>
      <c r="S131" s="423" t="s">
        <v>6448</v>
      </c>
      <c r="T131" s="423"/>
      <c r="U131" s="423"/>
      <c r="V131" s="423"/>
      <c r="W131" s="429" t="s">
        <v>6034</v>
      </c>
      <c r="X131" s="423"/>
      <c r="Y131" s="423"/>
      <c r="Z131" s="423"/>
      <c r="AA131" s="423"/>
      <c r="AB131" s="423"/>
      <c r="AC131" s="423"/>
    </row>
    <row r="132" spans="1:29" ht="27">
      <c r="A132" s="413" t="s">
        <v>545</v>
      </c>
      <c r="B132" s="414" t="s">
        <v>6391</v>
      </c>
      <c r="C132" s="413" t="s">
        <v>896</v>
      </c>
      <c r="D132" s="414" t="s">
        <v>6441</v>
      </c>
      <c r="E132" s="413" t="s">
        <v>6025</v>
      </c>
      <c r="F132" s="413" t="s">
        <v>6026</v>
      </c>
      <c r="G132" s="413" t="s">
        <v>6027</v>
      </c>
      <c r="H132" s="413" t="s">
        <v>3286</v>
      </c>
      <c r="I132" s="414" t="s">
        <v>4363</v>
      </c>
      <c r="J132" s="417" t="s">
        <v>6430</v>
      </c>
      <c r="K132" s="417" t="s">
        <v>6449</v>
      </c>
      <c r="L132" s="417" t="s">
        <v>6449</v>
      </c>
      <c r="M132" s="414" t="s">
        <v>6441</v>
      </c>
      <c r="N132" s="412" t="s">
        <v>3286</v>
      </c>
      <c r="O132" s="412" t="s">
        <v>6450</v>
      </c>
      <c r="P132" s="423" t="s">
        <v>6031</v>
      </c>
      <c r="Q132" s="423" t="s">
        <v>6444</v>
      </c>
      <c r="R132" s="423" t="s">
        <v>6451</v>
      </c>
      <c r="S132" s="423" t="s">
        <v>6451</v>
      </c>
      <c r="T132" s="423"/>
      <c r="U132" s="423"/>
      <c r="V132" s="423"/>
      <c r="W132" s="429" t="s">
        <v>6034</v>
      </c>
      <c r="X132" s="423"/>
      <c r="Y132" s="423"/>
      <c r="Z132" s="423"/>
      <c r="AA132" s="423"/>
      <c r="AB132" s="423"/>
      <c r="AC132" s="423"/>
    </row>
    <row r="133" spans="1:29" ht="27">
      <c r="A133" s="413" t="s">
        <v>545</v>
      </c>
      <c r="B133" s="414" t="s">
        <v>6391</v>
      </c>
      <c r="C133" s="413" t="s">
        <v>896</v>
      </c>
      <c r="D133" s="414" t="s">
        <v>6441</v>
      </c>
      <c r="E133" s="413" t="s">
        <v>6025</v>
      </c>
      <c r="F133" s="413" t="s">
        <v>6026</v>
      </c>
      <c r="G133" s="413" t="s">
        <v>6027</v>
      </c>
      <c r="H133" s="413" t="s">
        <v>3287</v>
      </c>
      <c r="I133" s="414" t="s">
        <v>4363</v>
      </c>
      <c r="J133" s="417" t="s">
        <v>6430</v>
      </c>
      <c r="K133" s="417" t="s">
        <v>6452</v>
      </c>
      <c r="L133" s="417" t="s">
        <v>6452</v>
      </c>
      <c r="M133" s="414" t="s">
        <v>6441</v>
      </c>
      <c r="N133" s="412" t="s">
        <v>3287</v>
      </c>
      <c r="O133" s="412" t="s">
        <v>6453</v>
      </c>
      <c r="P133" s="423" t="s">
        <v>6031</v>
      </c>
      <c r="Q133" s="423" t="s">
        <v>6444</v>
      </c>
      <c r="R133" s="423" t="s">
        <v>6454</v>
      </c>
      <c r="S133" s="423" t="s">
        <v>6454</v>
      </c>
      <c r="T133" s="423"/>
      <c r="U133" s="423"/>
      <c r="V133" s="423"/>
      <c r="W133" s="429" t="s">
        <v>6034</v>
      </c>
      <c r="X133" s="423"/>
      <c r="Y133" s="423"/>
      <c r="Z133" s="423"/>
      <c r="AA133" s="423"/>
      <c r="AB133" s="423"/>
      <c r="AC133" s="423"/>
    </row>
    <row r="134" spans="1:29" ht="27">
      <c r="A134" s="413" t="s">
        <v>545</v>
      </c>
      <c r="B134" s="414" t="s">
        <v>6391</v>
      </c>
      <c r="C134" s="413" t="s">
        <v>897</v>
      </c>
      <c r="D134" s="414" t="s">
        <v>6455</v>
      </c>
      <c r="E134" s="413" t="s">
        <v>6025</v>
      </c>
      <c r="F134" s="413" t="s">
        <v>6026</v>
      </c>
      <c r="G134" s="413" t="s">
        <v>6027</v>
      </c>
      <c r="H134" s="413" t="s">
        <v>3288</v>
      </c>
      <c r="I134" s="414" t="s">
        <v>4363</v>
      </c>
      <c r="J134" s="417" t="s">
        <v>6430</v>
      </c>
      <c r="K134" s="417" t="s">
        <v>6456</v>
      </c>
      <c r="L134" s="417" t="s">
        <v>6456</v>
      </c>
      <c r="M134" s="414" t="s">
        <v>6455</v>
      </c>
      <c r="N134" s="412" t="s">
        <v>3288</v>
      </c>
      <c r="O134" s="412" t="s">
        <v>6457</v>
      </c>
      <c r="P134" s="423" t="s">
        <v>6031</v>
      </c>
      <c r="Q134" s="423" t="s">
        <v>6458</v>
      </c>
      <c r="R134" s="423" t="s">
        <v>6459</v>
      </c>
      <c r="S134" s="423" t="s">
        <v>6459</v>
      </c>
      <c r="T134" s="423"/>
      <c r="U134" s="423"/>
      <c r="V134" s="423"/>
      <c r="W134" s="429" t="s">
        <v>6034</v>
      </c>
      <c r="X134" s="423"/>
      <c r="Y134" s="423"/>
      <c r="Z134" s="423"/>
      <c r="AA134" s="423"/>
      <c r="AB134" s="423"/>
      <c r="AC134" s="423"/>
    </row>
    <row r="135" spans="1:29" ht="27">
      <c r="A135" s="413" t="s">
        <v>545</v>
      </c>
      <c r="B135" s="414" t="s">
        <v>6391</v>
      </c>
      <c r="C135" s="413" t="s">
        <v>897</v>
      </c>
      <c r="D135" s="414" t="s">
        <v>6455</v>
      </c>
      <c r="E135" s="413" t="s">
        <v>6025</v>
      </c>
      <c r="F135" s="413" t="s">
        <v>6026</v>
      </c>
      <c r="G135" s="413" t="s">
        <v>6027</v>
      </c>
      <c r="H135" s="413" t="s">
        <v>3289</v>
      </c>
      <c r="I135" s="414" t="s">
        <v>4363</v>
      </c>
      <c r="J135" s="417" t="s">
        <v>6430</v>
      </c>
      <c r="K135" s="417" t="s">
        <v>6460</v>
      </c>
      <c r="L135" s="417" t="s">
        <v>6460</v>
      </c>
      <c r="M135" s="414" t="s">
        <v>6455</v>
      </c>
      <c r="N135" s="412" t="s">
        <v>3289</v>
      </c>
      <c r="O135" s="412" t="s">
        <v>6461</v>
      </c>
      <c r="P135" s="423" t="s">
        <v>6031</v>
      </c>
      <c r="Q135" s="423" t="s">
        <v>6458</v>
      </c>
      <c r="R135" s="423" t="s">
        <v>6462</v>
      </c>
      <c r="S135" s="423" t="s">
        <v>6462</v>
      </c>
      <c r="T135" s="423"/>
      <c r="U135" s="423"/>
      <c r="V135" s="423"/>
      <c r="W135" s="429" t="s">
        <v>6034</v>
      </c>
      <c r="X135" s="423"/>
      <c r="Y135" s="423"/>
      <c r="Z135" s="423"/>
      <c r="AA135" s="423"/>
      <c r="AB135" s="423"/>
      <c r="AC135" s="423"/>
    </row>
    <row r="136" spans="1:29" ht="27">
      <c r="A136" s="413" t="s">
        <v>545</v>
      </c>
      <c r="B136" s="414" t="s">
        <v>6391</v>
      </c>
      <c r="C136" s="413" t="s">
        <v>897</v>
      </c>
      <c r="D136" s="414" t="s">
        <v>6455</v>
      </c>
      <c r="E136" s="413" t="s">
        <v>6025</v>
      </c>
      <c r="F136" s="413" t="s">
        <v>6026</v>
      </c>
      <c r="G136" s="413" t="s">
        <v>6027</v>
      </c>
      <c r="H136" s="413" t="s">
        <v>3290</v>
      </c>
      <c r="I136" s="414" t="s">
        <v>4363</v>
      </c>
      <c r="J136" s="417" t="s">
        <v>6430</v>
      </c>
      <c r="K136" s="417" t="s">
        <v>6463</v>
      </c>
      <c r="L136" s="417" t="s">
        <v>6463</v>
      </c>
      <c r="M136" s="414" t="s">
        <v>6455</v>
      </c>
      <c r="N136" s="412" t="s">
        <v>3290</v>
      </c>
      <c r="O136" s="412" t="s">
        <v>6464</v>
      </c>
      <c r="P136" s="423" t="s">
        <v>6031</v>
      </c>
      <c r="Q136" s="423" t="s">
        <v>6458</v>
      </c>
      <c r="R136" s="423" t="s">
        <v>6465</v>
      </c>
      <c r="S136" s="423" t="s">
        <v>6465</v>
      </c>
      <c r="T136" s="423"/>
      <c r="U136" s="423"/>
      <c r="V136" s="423"/>
      <c r="W136" s="429" t="s">
        <v>6034</v>
      </c>
      <c r="X136" s="423"/>
      <c r="Y136" s="423"/>
      <c r="Z136" s="423"/>
      <c r="AA136" s="423"/>
      <c r="AB136" s="423"/>
      <c r="AC136" s="423"/>
    </row>
    <row r="137" spans="1:29" ht="27">
      <c r="A137" s="413" t="s">
        <v>545</v>
      </c>
      <c r="B137" s="414" t="s">
        <v>6391</v>
      </c>
      <c r="C137" s="413" t="s">
        <v>897</v>
      </c>
      <c r="D137" s="414" t="s">
        <v>6455</v>
      </c>
      <c r="E137" s="413" t="s">
        <v>6025</v>
      </c>
      <c r="F137" s="413" t="s">
        <v>6026</v>
      </c>
      <c r="G137" s="413" t="s">
        <v>6027</v>
      </c>
      <c r="H137" s="413" t="s">
        <v>3291</v>
      </c>
      <c r="I137" s="414" t="s">
        <v>4363</v>
      </c>
      <c r="J137" s="417" t="s">
        <v>6430</v>
      </c>
      <c r="K137" s="417" t="s">
        <v>6466</v>
      </c>
      <c r="L137" s="417" t="s">
        <v>6466</v>
      </c>
      <c r="M137" s="414" t="s">
        <v>6455</v>
      </c>
      <c r="N137" s="412" t="s">
        <v>3291</v>
      </c>
      <c r="O137" s="412" t="s">
        <v>6467</v>
      </c>
      <c r="P137" s="423" t="s">
        <v>6031</v>
      </c>
      <c r="Q137" s="423" t="s">
        <v>6458</v>
      </c>
      <c r="R137" s="423" t="s">
        <v>6468</v>
      </c>
      <c r="S137" s="423" t="s">
        <v>6468</v>
      </c>
      <c r="T137" s="423"/>
      <c r="U137" s="423"/>
      <c r="V137" s="423"/>
      <c r="W137" s="429" t="s">
        <v>6034</v>
      </c>
      <c r="X137" s="423"/>
      <c r="Y137" s="423"/>
      <c r="Z137" s="423"/>
      <c r="AA137" s="423"/>
      <c r="AB137" s="423"/>
      <c r="AC137" s="423"/>
    </row>
    <row r="138" spans="1:29" ht="27">
      <c r="A138" s="413" t="s">
        <v>545</v>
      </c>
      <c r="B138" s="414" t="s">
        <v>6391</v>
      </c>
      <c r="C138" s="413" t="s">
        <v>897</v>
      </c>
      <c r="D138" s="414" t="s">
        <v>6455</v>
      </c>
      <c r="E138" s="413" t="s">
        <v>6025</v>
      </c>
      <c r="F138" s="413" t="s">
        <v>6026</v>
      </c>
      <c r="G138" s="413" t="s">
        <v>6027</v>
      </c>
      <c r="H138" s="413" t="s">
        <v>3292</v>
      </c>
      <c r="I138" s="414" t="s">
        <v>4363</v>
      </c>
      <c r="J138" s="417" t="s">
        <v>6430</v>
      </c>
      <c r="K138" s="417" t="s">
        <v>6469</v>
      </c>
      <c r="L138" s="417" t="s">
        <v>6469</v>
      </c>
      <c r="M138" s="414" t="s">
        <v>6455</v>
      </c>
      <c r="N138" s="412" t="s">
        <v>3292</v>
      </c>
      <c r="O138" s="412" t="s">
        <v>6470</v>
      </c>
      <c r="P138" s="423" t="s">
        <v>6031</v>
      </c>
      <c r="Q138" s="423" t="s">
        <v>6458</v>
      </c>
      <c r="R138" s="423" t="s">
        <v>6471</v>
      </c>
      <c r="S138" s="423" t="s">
        <v>6471</v>
      </c>
      <c r="T138" s="423"/>
      <c r="U138" s="423"/>
      <c r="V138" s="423"/>
      <c r="W138" s="429" t="s">
        <v>6034</v>
      </c>
      <c r="X138" s="423"/>
      <c r="Y138" s="423"/>
      <c r="Z138" s="423"/>
      <c r="AA138" s="423"/>
      <c r="AB138" s="423"/>
      <c r="AC138" s="423"/>
    </row>
    <row r="139" spans="1:29">
      <c r="A139" s="413" t="s">
        <v>545</v>
      </c>
      <c r="B139" s="414" t="s">
        <v>6391</v>
      </c>
      <c r="C139" s="413" t="s">
        <v>898</v>
      </c>
      <c r="D139" s="414" t="s">
        <v>4369</v>
      </c>
      <c r="E139" s="413" t="s">
        <v>6025</v>
      </c>
      <c r="F139" s="413" t="s">
        <v>6026</v>
      </c>
      <c r="G139" s="413" t="s">
        <v>6027</v>
      </c>
      <c r="H139" s="413" t="s">
        <v>3293</v>
      </c>
      <c r="I139" s="414" t="s">
        <v>4363</v>
      </c>
      <c r="J139" s="417" t="s">
        <v>6472</v>
      </c>
      <c r="K139" s="417" t="s">
        <v>6473</v>
      </c>
      <c r="L139" s="417" t="s">
        <v>6473</v>
      </c>
      <c r="M139" s="414" t="s">
        <v>4369</v>
      </c>
      <c r="N139" s="412" t="s">
        <v>3293</v>
      </c>
      <c r="O139" s="412" t="s">
        <v>6474</v>
      </c>
      <c r="P139" s="423" t="s">
        <v>6031</v>
      </c>
      <c r="Q139" s="423" t="s">
        <v>6475</v>
      </c>
      <c r="R139" s="423" t="s">
        <v>6476</v>
      </c>
      <c r="S139" s="423" t="s">
        <v>6476</v>
      </c>
      <c r="T139" s="423"/>
      <c r="U139" s="423"/>
      <c r="V139" s="423"/>
      <c r="W139" s="429" t="s">
        <v>6034</v>
      </c>
      <c r="X139" s="423"/>
      <c r="Y139" s="423"/>
      <c r="Z139" s="423"/>
      <c r="AA139" s="423"/>
      <c r="AB139" s="423"/>
      <c r="AC139" s="423"/>
    </row>
    <row r="140" spans="1:29">
      <c r="A140" s="413" t="s">
        <v>545</v>
      </c>
      <c r="B140" s="414" t="s">
        <v>6391</v>
      </c>
      <c r="C140" s="413" t="s">
        <v>898</v>
      </c>
      <c r="D140" s="414" t="s">
        <v>4369</v>
      </c>
      <c r="E140" s="413" t="s">
        <v>6025</v>
      </c>
      <c r="F140" s="413" t="s">
        <v>6026</v>
      </c>
      <c r="G140" s="413" t="s">
        <v>6027</v>
      </c>
      <c r="H140" s="413" t="s">
        <v>3294</v>
      </c>
      <c r="I140" s="414" t="s">
        <v>4363</v>
      </c>
      <c r="J140" s="417" t="s">
        <v>6472</v>
      </c>
      <c r="K140" s="417" t="s">
        <v>6477</v>
      </c>
      <c r="L140" s="417" t="s">
        <v>6477</v>
      </c>
      <c r="M140" s="414" t="s">
        <v>4369</v>
      </c>
      <c r="N140" s="412" t="s">
        <v>3294</v>
      </c>
      <c r="O140" s="412" t="s">
        <v>6478</v>
      </c>
      <c r="P140" s="423" t="s">
        <v>6031</v>
      </c>
      <c r="Q140" s="423" t="s">
        <v>6475</v>
      </c>
      <c r="R140" s="423" t="s">
        <v>6479</v>
      </c>
      <c r="S140" s="423" t="s">
        <v>6479</v>
      </c>
      <c r="T140" s="423"/>
      <c r="U140" s="423"/>
      <c r="V140" s="423"/>
      <c r="W140" s="429" t="s">
        <v>6034</v>
      </c>
      <c r="X140" s="423"/>
      <c r="Y140" s="423"/>
      <c r="Z140" s="423"/>
      <c r="AA140" s="423"/>
      <c r="AB140" s="423"/>
      <c r="AC140" s="423"/>
    </row>
    <row r="141" spans="1:29">
      <c r="A141" s="413" t="s">
        <v>545</v>
      </c>
      <c r="B141" s="414" t="s">
        <v>6391</v>
      </c>
      <c r="C141" s="413" t="s">
        <v>898</v>
      </c>
      <c r="D141" s="414" t="s">
        <v>4369</v>
      </c>
      <c r="E141" s="413" t="s">
        <v>6025</v>
      </c>
      <c r="F141" s="413" t="s">
        <v>6026</v>
      </c>
      <c r="G141" s="413" t="s">
        <v>6027</v>
      </c>
      <c r="H141" s="413" t="s">
        <v>3295</v>
      </c>
      <c r="I141" s="414" t="s">
        <v>4363</v>
      </c>
      <c r="J141" s="417" t="s">
        <v>6472</v>
      </c>
      <c r="K141" s="417" t="s">
        <v>6480</v>
      </c>
      <c r="L141" s="417" t="s">
        <v>6480</v>
      </c>
      <c r="M141" s="414" t="s">
        <v>4369</v>
      </c>
      <c r="N141" s="412" t="s">
        <v>3295</v>
      </c>
      <c r="O141" s="412" t="s">
        <v>6481</v>
      </c>
      <c r="P141" s="423" t="s">
        <v>6031</v>
      </c>
      <c r="Q141" s="423" t="s">
        <v>6475</v>
      </c>
      <c r="R141" s="423" t="s">
        <v>6482</v>
      </c>
      <c r="S141" s="423" t="s">
        <v>6482</v>
      </c>
      <c r="T141" s="423"/>
      <c r="U141" s="423"/>
      <c r="V141" s="423"/>
      <c r="W141" s="429" t="s">
        <v>6034</v>
      </c>
      <c r="X141" s="423"/>
      <c r="Y141" s="423"/>
      <c r="Z141" s="423"/>
      <c r="AA141" s="423"/>
      <c r="AB141" s="423"/>
      <c r="AC141" s="423"/>
    </row>
    <row r="142" spans="1:29">
      <c r="A142" s="413" t="s">
        <v>545</v>
      </c>
      <c r="B142" s="414" t="s">
        <v>6391</v>
      </c>
      <c r="C142" s="413" t="s">
        <v>898</v>
      </c>
      <c r="D142" s="414" t="s">
        <v>4369</v>
      </c>
      <c r="E142" s="413" t="s">
        <v>6025</v>
      </c>
      <c r="F142" s="413" t="s">
        <v>6026</v>
      </c>
      <c r="G142" s="413" t="s">
        <v>6027</v>
      </c>
      <c r="H142" s="413" t="s">
        <v>3296</v>
      </c>
      <c r="I142" s="414" t="s">
        <v>4363</v>
      </c>
      <c r="J142" s="417" t="s">
        <v>6472</v>
      </c>
      <c r="K142" s="417" t="s">
        <v>6483</v>
      </c>
      <c r="L142" s="417" t="s">
        <v>6483</v>
      </c>
      <c r="M142" s="414" t="s">
        <v>4369</v>
      </c>
      <c r="N142" s="412" t="s">
        <v>3296</v>
      </c>
      <c r="O142" s="412" t="s">
        <v>6484</v>
      </c>
      <c r="P142" s="423" t="s">
        <v>6031</v>
      </c>
      <c r="Q142" s="423" t="s">
        <v>6475</v>
      </c>
      <c r="R142" s="423" t="s">
        <v>6485</v>
      </c>
      <c r="S142" s="423" t="s">
        <v>6485</v>
      </c>
      <c r="T142" s="423"/>
      <c r="U142" s="423"/>
      <c r="V142" s="423"/>
      <c r="W142" s="429" t="s">
        <v>6034</v>
      </c>
      <c r="X142" s="423"/>
      <c r="Y142" s="423"/>
      <c r="Z142" s="423"/>
      <c r="AA142" s="423"/>
      <c r="AB142" s="423"/>
      <c r="AC142" s="423"/>
    </row>
    <row r="143" spans="1:29">
      <c r="A143" s="413" t="s">
        <v>545</v>
      </c>
      <c r="B143" s="414" t="s">
        <v>6391</v>
      </c>
      <c r="C143" s="413" t="s">
        <v>898</v>
      </c>
      <c r="D143" s="414" t="s">
        <v>4369</v>
      </c>
      <c r="E143" s="413" t="s">
        <v>6025</v>
      </c>
      <c r="F143" s="413" t="s">
        <v>6026</v>
      </c>
      <c r="G143" s="413" t="s">
        <v>6027</v>
      </c>
      <c r="H143" s="413" t="s">
        <v>3297</v>
      </c>
      <c r="I143" s="414" t="s">
        <v>4363</v>
      </c>
      <c r="J143" s="417" t="s">
        <v>6472</v>
      </c>
      <c r="K143" s="417" t="s">
        <v>6486</v>
      </c>
      <c r="L143" s="417" t="s">
        <v>6486</v>
      </c>
      <c r="M143" s="414" t="s">
        <v>4369</v>
      </c>
      <c r="N143" s="412" t="s">
        <v>3297</v>
      </c>
      <c r="O143" s="412" t="s">
        <v>6487</v>
      </c>
      <c r="P143" s="423" t="s">
        <v>6031</v>
      </c>
      <c r="Q143" s="423" t="s">
        <v>6488</v>
      </c>
      <c r="R143" s="423" t="s">
        <v>6489</v>
      </c>
      <c r="S143" s="423" t="s">
        <v>6489</v>
      </c>
      <c r="T143" s="423"/>
      <c r="U143" s="423"/>
      <c r="V143" s="423"/>
      <c r="W143" s="429" t="s">
        <v>6034</v>
      </c>
      <c r="X143" s="423"/>
      <c r="Y143" s="423"/>
      <c r="Z143" s="423"/>
      <c r="AA143" s="423"/>
      <c r="AB143" s="423"/>
      <c r="AC143" s="423"/>
    </row>
    <row r="144" spans="1:29">
      <c r="A144" s="413" t="s">
        <v>545</v>
      </c>
      <c r="B144" s="414" t="s">
        <v>6391</v>
      </c>
      <c r="C144" s="413" t="s">
        <v>898</v>
      </c>
      <c r="D144" s="414" t="s">
        <v>4369</v>
      </c>
      <c r="E144" s="413" t="s">
        <v>6025</v>
      </c>
      <c r="F144" s="413" t="s">
        <v>6026</v>
      </c>
      <c r="G144" s="413" t="s">
        <v>6027</v>
      </c>
      <c r="H144" s="413" t="s">
        <v>3298</v>
      </c>
      <c r="I144" s="414" t="s">
        <v>4363</v>
      </c>
      <c r="J144" s="417" t="s">
        <v>6472</v>
      </c>
      <c r="K144" s="417" t="s">
        <v>6490</v>
      </c>
      <c r="L144" s="417" t="s">
        <v>6490</v>
      </c>
      <c r="M144" s="414" t="s">
        <v>4369</v>
      </c>
      <c r="N144" s="412" t="s">
        <v>3298</v>
      </c>
      <c r="O144" s="412" t="s">
        <v>6491</v>
      </c>
      <c r="P144" s="423" t="s">
        <v>6031</v>
      </c>
      <c r="Q144" s="423" t="s">
        <v>6488</v>
      </c>
      <c r="R144" s="423" t="s">
        <v>6492</v>
      </c>
      <c r="S144" s="423" t="s">
        <v>6492</v>
      </c>
      <c r="T144" s="423"/>
      <c r="U144" s="423"/>
      <c r="V144" s="423"/>
      <c r="W144" s="429" t="s">
        <v>6034</v>
      </c>
      <c r="X144" s="423"/>
      <c r="Y144" s="423"/>
      <c r="Z144" s="423"/>
      <c r="AA144" s="423"/>
      <c r="AB144" s="423"/>
      <c r="AC144" s="423"/>
    </row>
    <row r="145" spans="1:29">
      <c r="A145" s="413" t="s">
        <v>545</v>
      </c>
      <c r="B145" s="414" t="s">
        <v>6391</v>
      </c>
      <c r="C145" s="413" t="s">
        <v>898</v>
      </c>
      <c r="D145" s="414" t="s">
        <v>4369</v>
      </c>
      <c r="E145" s="413" t="s">
        <v>6025</v>
      </c>
      <c r="F145" s="413" t="s">
        <v>6026</v>
      </c>
      <c r="G145" s="413" t="s">
        <v>6027</v>
      </c>
      <c r="H145" s="413" t="s">
        <v>3299</v>
      </c>
      <c r="I145" s="414" t="s">
        <v>4363</v>
      </c>
      <c r="J145" s="417" t="s">
        <v>6472</v>
      </c>
      <c r="K145" s="417" t="s">
        <v>6493</v>
      </c>
      <c r="L145" s="417" t="s">
        <v>6493</v>
      </c>
      <c r="M145" s="414" t="s">
        <v>4369</v>
      </c>
      <c r="N145" s="412" t="s">
        <v>3299</v>
      </c>
      <c r="O145" s="412" t="s">
        <v>6494</v>
      </c>
      <c r="P145" s="423" t="s">
        <v>6031</v>
      </c>
      <c r="Q145" s="423" t="s">
        <v>6488</v>
      </c>
      <c r="R145" s="423" t="s">
        <v>6495</v>
      </c>
      <c r="S145" s="423" t="s">
        <v>6495</v>
      </c>
      <c r="T145" s="423"/>
      <c r="U145" s="423"/>
      <c r="V145" s="423"/>
      <c r="W145" s="429" t="s">
        <v>6034</v>
      </c>
      <c r="X145" s="423"/>
      <c r="Y145" s="423"/>
      <c r="Z145" s="423"/>
      <c r="AA145" s="423"/>
      <c r="AB145" s="423"/>
      <c r="AC145" s="423"/>
    </row>
    <row r="146" spans="1:29">
      <c r="A146" s="413" t="s">
        <v>545</v>
      </c>
      <c r="B146" s="414" t="s">
        <v>6391</v>
      </c>
      <c r="C146" s="413" t="s">
        <v>898</v>
      </c>
      <c r="D146" s="414" t="s">
        <v>4369</v>
      </c>
      <c r="E146" s="413" t="s">
        <v>6025</v>
      </c>
      <c r="F146" s="413" t="s">
        <v>6026</v>
      </c>
      <c r="G146" s="413" t="s">
        <v>6027</v>
      </c>
      <c r="H146" s="413" t="s">
        <v>3300</v>
      </c>
      <c r="I146" s="414" t="s">
        <v>4363</v>
      </c>
      <c r="J146" s="417" t="s">
        <v>6472</v>
      </c>
      <c r="K146" s="417" t="s">
        <v>6496</v>
      </c>
      <c r="L146" s="417" t="s">
        <v>6496</v>
      </c>
      <c r="M146" s="414" t="s">
        <v>4369</v>
      </c>
      <c r="N146" s="412" t="s">
        <v>3300</v>
      </c>
      <c r="O146" s="412" t="s">
        <v>6497</v>
      </c>
      <c r="P146" s="423" t="s">
        <v>6031</v>
      </c>
      <c r="Q146" s="423" t="s">
        <v>6488</v>
      </c>
      <c r="R146" s="423" t="s">
        <v>6498</v>
      </c>
      <c r="S146" s="423" t="s">
        <v>6498</v>
      </c>
      <c r="T146" s="423"/>
      <c r="U146" s="423"/>
      <c r="V146" s="423"/>
      <c r="W146" s="429" t="s">
        <v>6034</v>
      </c>
      <c r="X146" s="423"/>
      <c r="Y146" s="423"/>
      <c r="Z146" s="423"/>
      <c r="AA146" s="423"/>
      <c r="AB146" s="423"/>
      <c r="AC146" s="423"/>
    </row>
    <row r="147" spans="1:29">
      <c r="A147" s="413" t="s">
        <v>545</v>
      </c>
      <c r="B147" s="414" t="s">
        <v>6391</v>
      </c>
      <c r="C147" s="413" t="s">
        <v>898</v>
      </c>
      <c r="D147" s="414" t="s">
        <v>4369</v>
      </c>
      <c r="E147" s="413" t="s">
        <v>6025</v>
      </c>
      <c r="F147" s="413" t="s">
        <v>6026</v>
      </c>
      <c r="G147" s="413" t="s">
        <v>6027</v>
      </c>
      <c r="H147" s="413" t="s">
        <v>3301</v>
      </c>
      <c r="I147" s="414" t="s">
        <v>4363</v>
      </c>
      <c r="J147" s="417" t="s">
        <v>6472</v>
      </c>
      <c r="K147" s="417" t="s">
        <v>6499</v>
      </c>
      <c r="L147" s="417" t="s">
        <v>6499</v>
      </c>
      <c r="M147" s="414" t="s">
        <v>4369</v>
      </c>
      <c r="N147" s="412" t="s">
        <v>3301</v>
      </c>
      <c r="O147" s="412" t="s">
        <v>6500</v>
      </c>
      <c r="P147" s="423" t="s">
        <v>6031</v>
      </c>
      <c r="Q147" s="423" t="s">
        <v>6488</v>
      </c>
      <c r="R147" s="423" t="s">
        <v>6501</v>
      </c>
      <c r="S147" s="423" t="s">
        <v>6501</v>
      </c>
      <c r="T147" s="423"/>
      <c r="U147" s="423"/>
      <c r="V147" s="423"/>
      <c r="W147" s="429" t="s">
        <v>6034</v>
      </c>
      <c r="X147" s="423"/>
      <c r="Y147" s="423"/>
      <c r="Z147" s="423"/>
      <c r="AA147" s="423"/>
      <c r="AB147" s="423"/>
      <c r="AC147" s="423"/>
    </row>
    <row r="148" spans="1:29">
      <c r="A148" s="413" t="s">
        <v>545</v>
      </c>
      <c r="B148" s="414" t="s">
        <v>6391</v>
      </c>
      <c r="C148" s="413" t="s">
        <v>898</v>
      </c>
      <c r="D148" s="414" t="s">
        <v>4369</v>
      </c>
      <c r="E148" s="413" t="s">
        <v>6025</v>
      </c>
      <c r="F148" s="413" t="s">
        <v>6026</v>
      </c>
      <c r="G148" s="413" t="s">
        <v>6027</v>
      </c>
      <c r="H148" s="413" t="s">
        <v>3302</v>
      </c>
      <c r="I148" s="414" t="s">
        <v>4363</v>
      </c>
      <c r="J148" s="417" t="s">
        <v>6472</v>
      </c>
      <c r="K148" s="417" t="s">
        <v>6502</v>
      </c>
      <c r="L148" s="417" t="s">
        <v>6502</v>
      </c>
      <c r="M148" s="414" t="s">
        <v>4369</v>
      </c>
      <c r="N148" s="412" t="s">
        <v>3302</v>
      </c>
      <c r="O148" s="412" t="s">
        <v>6503</v>
      </c>
      <c r="P148" s="423" t="s">
        <v>6031</v>
      </c>
      <c r="Q148" s="423" t="s">
        <v>6488</v>
      </c>
      <c r="R148" s="423" t="s">
        <v>6504</v>
      </c>
      <c r="S148" s="423" t="s">
        <v>6504</v>
      </c>
      <c r="T148" s="423"/>
      <c r="U148" s="423"/>
      <c r="V148" s="423"/>
      <c r="W148" s="429" t="s">
        <v>6034</v>
      </c>
      <c r="X148" s="423"/>
      <c r="Y148" s="423"/>
      <c r="Z148" s="423"/>
      <c r="AA148" s="423"/>
      <c r="AB148" s="423"/>
      <c r="AC148" s="423"/>
    </row>
    <row r="149" spans="1:29" ht="27">
      <c r="A149" s="413" t="s">
        <v>545</v>
      </c>
      <c r="B149" s="414" t="s">
        <v>6391</v>
      </c>
      <c r="C149" s="413" t="s">
        <v>899</v>
      </c>
      <c r="D149" s="414" t="s">
        <v>6505</v>
      </c>
      <c r="E149" s="413" t="s">
        <v>6025</v>
      </c>
      <c r="F149" s="413" t="s">
        <v>6026</v>
      </c>
      <c r="G149" s="413" t="s">
        <v>6027</v>
      </c>
      <c r="H149" s="413" t="s">
        <v>3303</v>
      </c>
      <c r="I149" s="414" t="s">
        <v>4373</v>
      </c>
      <c r="J149" s="417" t="s">
        <v>2232</v>
      </c>
      <c r="K149" s="417" t="s">
        <v>6506</v>
      </c>
      <c r="L149" s="423"/>
      <c r="M149" s="414" t="s">
        <v>6505</v>
      </c>
      <c r="N149" s="412" t="s">
        <v>3303</v>
      </c>
      <c r="O149" s="412" t="s">
        <v>6507</v>
      </c>
      <c r="P149" s="423" t="s">
        <v>6031</v>
      </c>
      <c r="Q149" s="423" t="s">
        <v>6508</v>
      </c>
      <c r="R149" s="423" t="s">
        <v>6509</v>
      </c>
      <c r="S149" s="423" t="s">
        <v>6509</v>
      </c>
      <c r="T149" s="423"/>
      <c r="U149" s="423"/>
      <c r="V149" s="423"/>
      <c r="W149" s="429" t="s">
        <v>6034</v>
      </c>
      <c r="X149" s="423"/>
      <c r="Y149" s="423"/>
      <c r="Z149" s="423"/>
      <c r="AA149" s="423"/>
      <c r="AB149" s="423"/>
      <c r="AC149" s="423"/>
    </row>
    <row r="150" spans="1:29" ht="27">
      <c r="A150" s="413" t="s">
        <v>545</v>
      </c>
      <c r="B150" s="414" t="s">
        <v>6391</v>
      </c>
      <c r="C150" s="413" t="s">
        <v>899</v>
      </c>
      <c r="D150" s="414" t="s">
        <v>6505</v>
      </c>
      <c r="E150" s="413" t="s">
        <v>6025</v>
      </c>
      <c r="F150" s="413" t="s">
        <v>6026</v>
      </c>
      <c r="G150" s="413" t="s">
        <v>6027</v>
      </c>
      <c r="H150" s="413" t="s">
        <v>3304</v>
      </c>
      <c r="I150" s="414" t="s">
        <v>4373</v>
      </c>
      <c r="J150" s="417" t="s">
        <v>2232</v>
      </c>
      <c r="K150" s="417" t="s">
        <v>6510</v>
      </c>
      <c r="L150" s="423"/>
      <c r="M150" s="414" t="s">
        <v>6505</v>
      </c>
      <c r="N150" s="412" t="s">
        <v>3304</v>
      </c>
      <c r="O150" s="412" t="s">
        <v>6511</v>
      </c>
      <c r="P150" s="423" t="s">
        <v>6031</v>
      </c>
      <c r="Q150" s="423" t="s">
        <v>6508</v>
      </c>
      <c r="R150" s="423" t="s">
        <v>6512</v>
      </c>
      <c r="S150" s="423" t="s">
        <v>6512</v>
      </c>
      <c r="T150" s="423"/>
      <c r="U150" s="423"/>
      <c r="V150" s="423"/>
      <c r="W150" s="429" t="s">
        <v>6034</v>
      </c>
      <c r="X150" s="423"/>
      <c r="Y150" s="423"/>
      <c r="Z150" s="423"/>
      <c r="AA150" s="423"/>
      <c r="AB150" s="423"/>
      <c r="AC150" s="423"/>
    </row>
    <row r="151" spans="1:29" ht="27">
      <c r="A151" s="413" t="s">
        <v>545</v>
      </c>
      <c r="B151" s="414" t="s">
        <v>6391</v>
      </c>
      <c r="C151" s="413" t="s">
        <v>899</v>
      </c>
      <c r="D151" s="414" t="s">
        <v>6505</v>
      </c>
      <c r="E151" s="413" t="s">
        <v>6025</v>
      </c>
      <c r="F151" s="413" t="s">
        <v>6026</v>
      </c>
      <c r="G151" s="413" t="s">
        <v>6027</v>
      </c>
      <c r="H151" s="413" t="s">
        <v>3305</v>
      </c>
      <c r="I151" s="414" t="s">
        <v>4373</v>
      </c>
      <c r="J151" s="417" t="s">
        <v>2232</v>
      </c>
      <c r="K151" s="417" t="s">
        <v>6513</v>
      </c>
      <c r="L151" s="423"/>
      <c r="M151" s="414" t="s">
        <v>6505</v>
      </c>
      <c r="N151" s="412" t="s">
        <v>3305</v>
      </c>
      <c r="O151" s="412" t="s">
        <v>6514</v>
      </c>
      <c r="P151" s="423" t="s">
        <v>6031</v>
      </c>
      <c r="Q151" s="423" t="s">
        <v>6508</v>
      </c>
      <c r="R151" s="423" t="s">
        <v>6515</v>
      </c>
      <c r="S151" s="423" t="s">
        <v>6515</v>
      </c>
      <c r="T151" s="423"/>
      <c r="U151" s="423"/>
      <c r="V151" s="423"/>
      <c r="W151" s="429" t="s">
        <v>6034</v>
      </c>
      <c r="X151" s="423"/>
      <c r="Y151" s="423"/>
      <c r="Z151" s="423"/>
      <c r="AA151" s="423"/>
      <c r="AB151" s="423"/>
      <c r="AC151" s="423"/>
    </row>
    <row r="152" spans="1:29" ht="27">
      <c r="A152" s="413" t="s">
        <v>545</v>
      </c>
      <c r="B152" s="414" t="s">
        <v>6391</v>
      </c>
      <c r="C152" s="413" t="s">
        <v>899</v>
      </c>
      <c r="D152" s="414" t="s">
        <v>6505</v>
      </c>
      <c r="E152" s="413" t="s">
        <v>6025</v>
      </c>
      <c r="F152" s="413" t="s">
        <v>6026</v>
      </c>
      <c r="G152" s="413" t="s">
        <v>6027</v>
      </c>
      <c r="H152" s="413" t="s">
        <v>3306</v>
      </c>
      <c r="I152" s="414" t="s">
        <v>4373</v>
      </c>
      <c r="J152" s="417" t="s">
        <v>2232</v>
      </c>
      <c r="K152" s="417" t="s">
        <v>6516</v>
      </c>
      <c r="L152" s="423"/>
      <c r="M152" s="414" t="s">
        <v>6505</v>
      </c>
      <c r="N152" s="412" t="s">
        <v>3306</v>
      </c>
      <c r="O152" s="412" t="s">
        <v>6517</v>
      </c>
      <c r="P152" s="423" t="s">
        <v>6031</v>
      </c>
      <c r="Q152" s="423" t="s">
        <v>6508</v>
      </c>
      <c r="R152" s="423" t="s">
        <v>6518</v>
      </c>
      <c r="S152" s="423" t="s">
        <v>6518</v>
      </c>
      <c r="T152" s="423"/>
      <c r="U152" s="423"/>
      <c r="V152" s="423"/>
      <c r="W152" s="429" t="s">
        <v>6034</v>
      </c>
      <c r="X152" s="423"/>
      <c r="Y152" s="423"/>
      <c r="Z152" s="423"/>
      <c r="AA152" s="423"/>
      <c r="AB152" s="423"/>
      <c r="AC152" s="423"/>
    </row>
    <row r="153" spans="1:29" ht="27">
      <c r="A153" s="413" t="s">
        <v>545</v>
      </c>
      <c r="B153" s="414" t="s">
        <v>6391</v>
      </c>
      <c r="C153" s="413" t="s">
        <v>899</v>
      </c>
      <c r="D153" s="414" t="s">
        <v>6505</v>
      </c>
      <c r="E153" s="413" t="s">
        <v>6025</v>
      </c>
      <c r="F153" s="413" t="s">
        <v>6026</v>
      </c>
      <c r="G153" s="413" t="s">
        <v>6027</v>
      </c>
      <c r="H153" s="413" t="s">
        <v>3307</v>
      </c>
      <c r="I153" s="414" t="s">
        <v>4373</v>
      </c>
      <c r="J153" s="417" t="s">
        <v>2232</v>
      </c>
      <c r="K153" s="417" t="s">
        <v>6519</v>
      </c>
      <c r="L153" s="423"/>
      <c r="M153" s="414" t="s">
        <v>6505</v>
      </c>
      <c r="N153" s="412" t="s">
        <v>3307</v>
      </c>
      <c r="O153" s="412" t="s">
        <v>6520</v>
      </c>
      <c r="P153" s="423" t="s">
        <v>6031</v>
      </c>
      <c r="Q153" s="423" t="s">
        <v>6508</v>
      </c>
      <c r="R153" s="423" t="s">
        <v>6521</v>
      </c>
      <c r="S153" s="423" t="s">
        <v>6521</v>
      </c>
      <c r="T153" s="423"/>
      <c r="U153" s="423"/>
      <c r="V153" s="423"/>
      <c r="W153" s="429" t="s">
        <v>6034</v>
      </c>
      <c r="X153" s="423"/>
      <c r="Y153" s="423"/>
      <c r="Z153" s="423"/>
      <c r="AA153" s="423"/>
      <c r="AB153" s="423"/>
      <c r="AC153" s="423"/>
    </row>
    <row r="154" spans="1:29" ht="27">
      <c r="A154" s="413" t="s">
        <v>545</v>
      </c>
      <c r="B154" s="414" t="s">
        <v>6391</v>
      </c>
      <c r="C154" s="413" t="s">
        <v>899</v>
      </c>
      <c r="D154" s="414" t="s">
        <v>6505</v>
      </c>
      <c r="E154" s="413" t="s">
        <v>6025</v>
      </c>
      <c r="F154" s="413" t="s">
        <v>6026</v>
      </c>
      <c r="G154" s="413" t="s">
        <v>6027</v>
      </c>
      <c r="H154" s="413" t="s">
        <v>3308</v>
      </c>
      <c r="I154" s="414" t="s">
        <v>4373</v>
      </c>
      <c r="J154" s="417" t="s">
        <v>2232</v>
      </c>
      <c r="K154" s="417" t="s">
        <v>6522</v>
      </c>
      <c r="L154" s="423"/>
      <c r="M154" s="414" t="s">
        <v>6505</v>
      </c>
      <c r="N154" s="412" t="s">
        <v>3308</v>
      </c>
      <c r="O154" s="412" t="s">
        <v>6523</v>
      </c>
      <c r="P154" s="423" t="s">
        <v>6031</v>
      </c>
      <c r="Q154" s="423" t="s">
        <v>6508</v>
      </c>
      <c r="R154" s="423" t="s">
        <v>6524</v>
      </c>
      <c r="S154" s="423" t="s">
        <v>6524</v>
      </c>
      <c r="T154" s="423"/>
      <c r="U154" s="423"/>
      <c r="V154" s="423"/>
      <c r="W154" s="429" t="s">
        <v>6034</v>
      </c>
      <c r="X154" s="423"/>
      <c r="Y154" s="423"/>
      <c r="Z154" s="423"/>
      <c r="AA154" s="423"/>
      <c r="AB154" s="423"/>
      <c r="AC154" s="423"/>
    </row>
    <row r="155" spans="1:29" ht="27">
      <c r="A155" s="413" t="s">
        <v>545</v>
      </c>
      <c r="B155" s="414" t="s">
        <v>6391</v>
      </c>
      <c r="C155" s="413" t="s">
        <v>899</v>
      </c>
      <c r="D155" s="414" t="s">
        <v>6505</v>
      </c>
      <c r="E155" s="413" t="s">
        <v>6025</v>
      </c>
      <c r="F155" s="413" t="s">
        <v>6026</v>
      </c>
      <c r="G155" s="413" t="s">
        <v>6027</v>
      </c>
      <c r="H155" s="413" t="s">
        <v>3309</v>
      </c>
      <c r="I155" s="414" t="s">
        <v>4373</v>
      </c>
      <c r="J155" s="417" t="s">
        <v>2232</v>
      </c>
      <c r="K155" s="417" t="s">
        <v>6525</v>
      </c>
      <c r="L155" s="417"/>
      <c r="M155" s="414" t="s">
        <v>6505</v>
      </c>
      <c r="N155" s="412" t="s">
        <v>3309</v>
      </c>
      <c r="O155" s="412" t="s">
        <v>6526</v>
      </c>
      <c r="P155" s="423" t="s">
        <v>6031</v>
      </c>
      <c r="Q155" s="423" t="s">
        <v>6508</v>
      </c>
      <c r="R155" s="423" t="s">
        <v>6527</v>
      </c>
      <c r="S155" s="423" t="s">
        <v>6527</v>
      </c>
      <c r="T155" s="423"/>
      <c r="U155" s="423"/>
      <c r="V155" s="423"/>
      <c r="W155" s="429" t="s">
        <v>6034</v>
      </c>
      <c r="X155" s="423"/>
      <c r="Y155" s="423"/>
      <c r="Z155" s="423"/>
      <c r="AA155" s="423"/>
      <c r="AB155" s="423"/>
      <c r="AC155" s="423"/>
    </row>
    <row r="156" spans="1:29" ht="27">
      <c r="A156" s="413" t="s">
        <v>545</v>
      </c>
      <c r="B156" s="414" t="s">
        <v>6391</v>
      </c>
      <c r="C156" s="413" t="s">
        <v>899</v>
      </c>
      <c r="D156" s="414" t="s">
        <v>6505</v>
      </c>
      <c r="E156" s="413" t="s">
        <v>6025</v>
      </c>
      <c r="F156" s="413" t="s">
        <v>6026</v>
      </c>
      <c r="G156" s="413" t="s">
        <v>6027</v>
      </c>
      <c r="H156" s="413" t="s">
        <v>3310</v>
      </c>
      <c r="I156" s="414" t="s">
        <v>4373</v>
      </c>
      <c r="J156" s="417" t="s">
        <v>2239</v>
      </c>
      <c r="K156" s="417" t="s">
        <v>6528</v>
      </c>
      <c r="L156" s="417"/>
      <c r="M156" s="414" t="s">
        <v>6505</v>
      </c>
      <c r="N156" s="412" t="s">
        <v>3310</v>
      </c>
      <c r="O156" s="412" t="s">
        <v>6529</v>
      </c>
      <c r="P156" s="423" t="s">
        <v>6031</v>
      </c>
      <c r="Q156" s="423" t="s">
        <v>6508</v>
      </c>
      <c r="R156" s="423" t="s">
        <v>6530</v>
      </c>
      <c r="S156" s="423" t="s">
        <v>6530</v>
      </c>
      <c r="T156" s="423"/>
      <c r="U156" s="423"/>
      <c r="V156" s="423"/>
      <c r="W156" s="429" t="s">
        <v>6034</v>
      </c>
      <c r="X156" s="423"/>
      <c r="Y156" s="423"/>
      <c r="Z156" s="423"/>
      <c r="AA156" s="423"/>
      <c r="AB156" s="423"/>
      <c r="AC156" s="423"/>
    </row>
    <row r="157" spans="1:29" ht="27">
      <c r="A157" s="413" t="s">
        <v>545</v>
      </c>
      <c r="B157" s="414" t="s">
        <v>6391</v>
      </c>
      <c r="C157" s="413" t="s">
        <v>899</v>
      </c>
      <c r="D157" s="414" t="s">
        <v>6505</v>
      </c>
      <c r="E157" s="413" t="s">
        <v>6025</v>
      </c>
      <c r="F157" s="413" t="s">
        <v>6026</v>
      </c>
      <c r="G157" s="413" t="s">
        <v>6027</v>
      </c>
      <c r="H157" s="413" t="s">
        <v>3311</v>
      </c>
      <c r="I157" s="414" t="s">
        <v>4373</v>
      </c>
      <c r="J157" s="417" t="s">
        <v>2239</v>
      </c>
      <c r="K157" s="417" t="s">
        <v>6531</v>
      </c>
      <c r="L157" s="417"/>
      <c r="M157" s="414" t="s">
        <v>6505</v>
      </c>
      <c r="N157" s="412" t="s">
        <v>3311</v>
      </c>
      <c r="O157" s="412" t="s">
        <v>6532</v>
      </c>
      <c r="P157" s="423" t="s">
        <v>6031</v>
      </c>
      <c r="Q157" s="423" t="s">
        <v>6508</v>
      </c>
      <c r="R157" s="423" t="s">
        <v>6533</v>
      </c>
      <c r="S157" s="423" t="s">
        <v>6533</v>
      </c>
      <c r="T157" s="423"/>
      <c r="U157" s="423"/>
      <c r="V157" s="423"/>
      <c r="W157" s="429" t="s">
        <v>6034</v>
      </c>
      <c r="X157" s="423"/>
      <c r="Y157" s="423"/>
      <c r="Z157" s="423"/>
      <c r="AA157" s="423"/>
      <c r="AB157" s="423"/>
      <c r="AC157" s="423"/>
    </row>
    <row r="158" spans="1:29" ht="27">
      <c r="A158" s="413" t="s">
        <v>545</v>
      </c>
      <c r="B158" s="414" t="s">
        <v>6391</v>
      </c>
      <c r="C158" s="413" t="s">
        <v>899</v>
      </c>
      <c r="D158" s="414" t="s">
        <v>6505</v>
      </c>
      <c r="E158" s="413" t="s">
        <v>6025</v>
      </c>
      <c r="F158" s="413" t="s">
        <v>6026</v>
      </c>
      <c r="G158" s="413" t="s">
        <v>6027</v>
      </c>
      <c r="H158" s="413" t="s">
        <v>3312</v>
      </c>
      <c r="I158" s="414" t="s">
        <v>4373</v>
      </c>
      <c r="J158" s="417" t="s">
        <v>2239</v>
      </c>
      <c r="K158" s="417" t="s">
        <v>6534</v>
      </c>
      <c r="L158" s="417"/>
      <c r="M158" s="414" t="s">
        <v>6505</v>
      </c>
      <c r="N158" s="412" t="s">
        <v>3312</v>
      </c>
      <c r="O158" s="412" t="s">
        <v>6535</v>
      </c>
      <c r="P158" s="423" t="s">
        <v>6031</v>
      </c>
      <c r="Q158" s="423" t="s">
        <v>6508</v>
      </c>
      <c r="R158" s="423" t="s">
        <v>6536</v>
      </c>
      <c r="S158" s="423" t="s">
        <v>6536</v>
      </c>
      <c r="T158" s="423"/>
      <c r="U158" s="423"/>
      <c r="V158" s="423"/>
      <c r="W158" s="429" t="s">
        <v>6034</v>
      </c>
      <c r="X158" s="423"/>
      <c r="Y158" s="423"/>
      <c r="Z158" s="423"/>
      <c r="AA158" s="423"/>
      <c r="AB158" s="423"/>
      <c r="AC158" s="423"/>
    </row>
    <row r="159" spans="1:29" ht="27">
      <c r="A159" s="413" t="s">
        <v>545</v>
      </c>
      <c r="B159" s="414" t="s">
        <v>6391</v>
      </c>
      <c r="C159" s="413" t="s">
        <v>899</v>
      </c>
      <c r="D159" s="414" t="s">
        <v>6505</v>
      </c>
      <c r="E159" s="413" t="s">
        <v>6025</v>
      </c>
      <c r="F159" s="413" t="s">
        <v>6026</v>
      </c>
      <c r="G159" s="413" t="s">
        <v>6027</v>
      </c>
      <c r="H159" s="413" t="s">
        <v>3313</v>
      </c>
      <c r="I159" s="414" t="s">
        <v>4373</v>
      </c>
      <c r="J159" s="417" t="s">
        <v>2239</v>
      </c>
      <c r="K159" s="417" t="s">
        <v>6537</v>
      </c>
      <c r="L159" s="417"/>
      <c r="M159" s="414" t="s">
        <v>6505</v>
      </c>
      <c r="N159" s="412" t="s">
        <v>3313</v>
      </c>
      <c r="O159" s="412" t="s">
        <v>6538</v>
      </c>
      <c r="P159" s="423" t="s">
        <v>6031</v>
      </c>
      <c r="Q159" s="423" t="s">
        <v>6508</v>
      </c>
      <c r="R159" s="423" t="s">
        <v>6539</v>
      </c>
      <c r="S159" s="423" t="s">
        <v>6539</v>
      </c>
      <c r="T159" s="423"/>
      <c r="U159" s="423"/>
      <c r="V159" s="423"/>
      <c r="W159" s="429" t="s">
        <v>6034</v>
      </c>
      <c r="X159" s="423"/>
      <c r="Y159" s="423"/>
      <c r="Z159" s="423"/>
      <c r="AA159" s="423"/>
      <c r="AB159" s="423"/>
      <c r="AC159" s="423"/>
    </row>
    <row r="160" spans="1:29" ht="27">
      <c r="A160" s="413" t="s">
        <v>545</v>
      </c>
      <c r="B160" s="414" t="s">
        <v>6391</v>
      </c>
      <c r="C160" s="413" t="s">
        <v>899</v>
      </c>
      <c r="D160" s="414" t="s">
        <v>6505</v>
      </c>
      <c r="E160" s="413" t="s">
        <v>6025</v>
      </c>
      <c r="F160" s="413" t="s">
        <v>6026</v>
      </c>
      <c r="G160" s="413" t="s">
        <v>6027</v>
      </c>
      <c r="H160" s="413" t="s">
        <v>3314</v>
      </c>
      <c r="I160" s="414" t="s">
        <v>4373</v>
      </c>
      <c r="J160" s="417" t="s">
        <v>2239</v>
      </c>
      <c r="K160" s="417" t="s">
        <v>6540</v>
      </c>
      <c r="L160" s="417"/>
      <c r="M160" s="414" t="s">
        <v>6505</v>
      </c>
      <c r="N160" s="412" t="s">
        <v>3314</v>
      </c>
      <c r="O160" s="412" t="s">
        <v>6541</v>
      </c>
      <c r="P160" s="423" t="s">
        <v>6031</v>
      </c>
      <c r="Q160" s="423" t="s">
        <v>6508</v>
      </c>
      <c r="R160" s="423" t="s">
        <v>6542</v>
      </c>
      <c r="S160" s="423" t="s">
        <v>6542</v>
      </c>
      <c r="T160" s="423"/>
      <c r="U160" s="423"/>
      <c r="V160" s="423"/>
      <c r="W160" s="429" t="s">
        <v>6034</v>
      </c>
      <c r="X160" s="423"/>
      <c r="Y160" s="423"/>
      <c r="Z160" s="423"/>
      <c r="AA160" s="423"/>
      <c r="AB160" s="423"/>
      <c r="AC160" s="423"/>
    </row>
    <row r="161" spans="1:29" ht="27">
      <c r="A161" s="413" t="s">
        <v>545</v>
      </c>
      <c r="B161" s="414" t="s">
        <v>6391</v>
      </c>
      <c r="C161" s="413" t="s">
        <v>899</v>
      </c>
      <c r="D161" s="414" t="s">
        <v>6505</v>
      </c>
      <c r="E161" s="413" t="s">
        <v>6025</v>
      </c>
      <c r="F161" s="413" t="s">
        <v>6026</v>
      </c>
      <c r="G161" s="413" t="s">
        <v>6027</v>
      </c>
      <c r="H161" s="413" t="s">
        <v>3315</v>
      </c>
      <c r="I161" s="414" t="s">
        <v>4373</v>
      </c>
      <c r="J161" s="417" t="s">
        <v>2239</v>
      </c>
      <c r="K161" s="417" t="s">
        <v>6543</v>
      </c>
      <c r="L161" s="417"/>
      <c r="M161" s="414" t="s">
        <v>6505</v>
      </c>
      <c r="N161" s="412" t="s">
        <v>3315</v>
      </c>
      <c r="O161" s="412" t="s">
        <v>6544</v>
      </c>
      <c r="P161" s="423" t="s">
        <v>6031</v>
      </c>
      <c r="Q161" s="423" t="s">
        <v>6508</v>
      </c>
      <c r="R161" s="423" t="s">
        <v>6545</v>
      </c>
      <c r="S161" s="423" t="s">
        <v>6545</v>
      </c>
      <c r="T161" s="423"/>
      <c r="U161" s="423"/>
      <c r="V161" s="423"/>
      <c r="W161" s="429" t="s">
        <v>6034</v>
      </c>
      <c r="X161" s="423"/>
      <c r="Y161" s="423"/>
      <c r="Z161" s="423"/>
      <c r="AA161" s="423"/>
      <c r="AB161" s="423"/>
      <c r="AC161" s="423"/>
    </row>
    <row r="162" spans="1:29" ht="27">
      <c r="A162" s="413" t="s">
        <v>545</v>
      </c>
      <c r="B162" s="414" t="s">
        <v>6391</v>
      </c>
      <c r="C162" s="413" t="s">
        <v>899</v>
      </c>
      <c r="D162" s="414" t="s">
        <v>6505</v>
      </c>
      <c r="E162" s="413" t="s">
        <v>6025</v>
      </c>
      <c r="F162" s="413" t="s">
        <v>6026</v>
      </c>
      <c r="G162" s="413" t="s">
        <v>6027</v>
      </c>
      <c r="H162" s="413" t="s">
        <v>3316</v>
      </c>
      <c r="I162" s="414" t="s">
        <v>4373</v>
      </c>
      <c r="J162" s="417" t="s">
        <v>2248</v>
      </c>
      <c r="K162" s="417" t="s">
        <v>6546</v>
      </c>
      <c r="L162" s="417"/>
      <c r="M162" s="414" t="s">
        <v>6505</v>
      </c>
      <c r="N162" s="412" t="s">
        <v>3316</v>
      </c>
      <c r="O162" s="412" t="s">
        <v>6547</v>
      </c>
      <c r="P162" s="423" t="s">
        <v>6031</v>
      </c>
      <c r="Q162" s="423" t="s">
        <v>6508</v>
      </c>
      <c r="R162" s="423" t="s">
        <v>6539</v>
      </c>
      <c r="S162" s="423" t="s">
        <v>6539</v>
      </c>
      <c r="T162" s="423"/>
      <c r="U162" s="423"/>
      <c r="V162" s="423"/>
      <c r="W162" s="429" t="s">
        <v>6034</v>
      </c>
      <c r="X162" s="423"/>
      <c r="Y162" s="423"/>
      <c r="Z162" s="423"/>
      <c r="AA162" s="423"/>
      <c r="AB162" s="423"/>
      <c r="AC162" s="423"/>
    </row>
    <row r="163" spans="1:29" ht="27">
      <c r="A163" s="413" t="s">
        <v>545</v>
      </c>
      <c r="B163" s="414" t="s">
        <v>6391</v>
      </c>
      <c r="C163" s="413" t="s">
        <v>899</v>
      </c>
      <c r="D163" s="414" t="s">
        <v>6505</v>
      </c>
      <c r="E163" s="413" t="s">
        <v>6025</v>
      </c>
      <c r="F163" s="413" t="s">
        <v>6026</v>
      </c>
      <c r="G163" s="413" t="s">
        <v>6027</v>
      </c>
      <c r="H163" s="413" t="s">
        <v>3317</v>
      </c>
      <c r="I163" s="414" t="s">
        <v>4373</v>
      </c>
      <c r="J163" s="417" t="s">
        <v>2248</v>
      </c>
      <c r="K163" s="417" t="s">
        <v>6548</v>
      </c>
      <c r="L163" s="417"/>
      <c r="M163" s="414" t="s">
        <v>6505</v>
      </c>
      <c r="N163" s="412" t="s">
        <v>3317</v>
      </c>
      <c r="O163" s="412" t="s">
        <v>6549</v>
      </c>
      <c r="P163" s="423" t="s">
        <v>6031</v>
      </c>
      <c r="Q163" s="423" t="s">
        <v>6508</v>
      </c>
      <c r="R163" s="423" t="s">
        <v>6550</v>
      </c>
      <c r="S163" s="423" t="s">
        <v>6550</v>
      </c>
      <c r="T163" s="423"/>
      <c r="U163" s="423"/>
      <c r="V163" s="423"/>
      <c r="W163" s="429" t="s">
        <v>6034</v>
      </c>
      <c r="X163" s="423"/>
      <c r="Y163" s="423"/>
      <c r="Z163" s="423"/>
      <c r="AA163" s="423"/>
      <c r="AB163" s="423"/>
      <c r="AC163" s="423"/>
    </row>
    <row r="164" spans="1:29" ht="27">
      <c r="A164" s="413" t="s">
        <v>545</v>
      </c>
      <c r="B164" s="414" t="s">
        <v>6391</v>
      </c>
      <c r="C164" s="413" t="s">
        <v>899</v>
      </c>
      <c r="D164" s="414" t="s">
        <v>6505</v>
      </c>
      <c r="E164" s="413" t="s">
        <v>6025</v>
      </c>
      <c r="F164" s="413" t="s">
        <v>6026</v>
      </c>
      <c r="G164" s="413" t="s">
        <v>6027</v>
      </c>
      <c r="H164" s="413" t="s">
        <v>3318</v>
      </c>
      <c r="I164" s="414" t="s">
        <v>4373</v>
      </c>
      <c r="J164" s="417" t="s">
        <v>2248</v>
      </c>
      <c r="K164" s="417" t="s">
        <v>6551</v>
      </c>
      <c r="L164" s="417"/>
      <c r="M164" s="414" t="s">
        <v>6505</v>
      </c>
      <c r="N164" s="412" t="s">
        <v>3318</v>
      </c>
      <c r="O164" s="412" t="s">
        <v>6552</v>
      </c>
      <c r="P164" s="423" t="s">
        <v>6031</v>
      </c>
      <c r="Q164" s="423" t="s">
        <v>6508</v>
      </c>
      <c r="R164" s="423" t="s">
        <v>6553</v>
      </c>
      <c r="S164" s="423" t="s">
        <v>6553</v>
      </c>
      <c r="T164" s="423"/>
      <c r="U164" s="423"/>
      <c r="V164" s="423"/>
      <c r="W164" s="429" t="s">
        <v>6034</v>
      </c>
      <c r="X164" s="423"/>
      <c r="Y164" s="423"/>
      <c r="Z164" s="423"/>
      <c r="AA164" s="423"/>
      <c r="AB164" s="423"/>
      <c r="AC164" s="423"/>
    </row>
    <row r="165" spans="1:29" ht="27">
      <c r="A165" s="413" t="s">
        <v>545</v>
      </c>
      <c r="B165" s="414" t="s">
        <v>6391</v>
      </c>
      <c r="C165" s="413" t="s">
        <v>899</v>
      </c>
      <c r="D165" s="414" t="s">
        <v>6505</v>
      </c>
      <c r="E165" s="413" t="s">
        <v>6025</v>
      </c>
      <c r="F165" s="413" t="s">
        <v>6026</v>
      </c>
      <c r="G165" s="413" t="s">
        <v>6027</v>
      </c>
      <c r="H165" s="413" t="s">
        <v>3319</v>
      </c>
      <c r="I165" s="410" t="s">
        <v>4373</v>
      </c>
      <c r="J165" s="417" t="s">
        <v>2248</v>
      </c>
      <c r="K165" s="417" t="s">
        <v>6554</v>
      </c>
      <c r="L165" s="417"/>
      <c r="M165" s="414" t="s">
        <v>6505</v>
      </c>
      <c r="N165" s="412" t="s">
        <v>3319</v>
      </c>
      <c r="O165" s="412" t="s">
        <v>6555</v>
      </c>
      <c r="P165" s="423" t="s">
        <v>6031</v>
      </c>
      <c r="Q165" s="423" t="s">
        <v>6556</v>
      </c>
      <c r="R165" s="423" t="s">
        <v>6557</v>
      </c>
      <c r="S165" s="423" t="s">
        <v>6557</v>
      </c>
      <c r="T165" s="423"/>
      <c r="U165" s="423"/>
      <c r="V165" s="423"/>
      <c r="W165" s="429" t="s">
        <v>6034</v>
      </c>
      <c r="X165" s="423"/>
      <c r="Y165" s="423"/>
      <c r="Z165" s="423"/>
      <c r="AA165" s="423"/>
      <c r="AB165" s="423"/>
      <c r="AC165" s="423"/>
    </row>
    <row r="166" spans="1:29" ht="27">
      <c r="A166" s="413" t="s">
        <v>545</v>
      </c>
      <c r="B166" s="414" t="s">
        <v>6391</v>
      </c>
      <c r="C166" s="413" t="s">
        <v>899</v>
      </c>
      <c r="D166" s="414" t="s">
        <v>6505</v>
      </c>
      <c r="E166" s="413" t="s">
        <v>6025</v>
      </c>
      <c r="F166" s="413" t="s">
        <v>6026</v>
      </c>
      <c r="G166" s="413" t="s">
        <v>6027</v>
      </c>
      <c r="H166" s="413" t="s">
        <v>3320</v>
      </c>
      <c r="I166" s="410" t="s">
        <v>4373</v>
      </c>
      <c r="J166" s="417" t="s">
        <v>2248</v>
      </c>
      <c r="K166" s="417" t="s">
        <v>6558</v>
      </c>
      <c r="L166" s="417"/>
      <c r="M166" s="414" t="s">
        <v>6505</v>
      </c>
      <c r="N166" s="412" t="s">
        <v>3320</v>
      </c>
      <c r="O166" s="412" t="s">
        <v>6559</v>
      </c>
      <c r="P166" s="423" t="s">
        <v>6031</v>
      </c>
      <c r="Q166" s="423" t="s">
        <v>6556</v>
      </c>
      <c r="R166" s="423" t="s">
        <v>6560</v>
      </c>
      <c r="S166" s="423" t="s">
        <v>6560</v>
      </c>
      <c r="T166" s="423"/>
      <c r="U166" s="423"/>
      <c r="V166" s="423"/>
      <c r="W166" s="429" t="s">
        <v>6034</v>
      </c>
      <c r="X166" s="423"/>
      <c r="Y166" s="423"/>
      <c r="Z166" s="423"/>
      <c r="AA166" s="423"/>
      <c r="AB166" s="423"/>
      <c r="AC166" s="423"/>
    </row>
    <row r="167" spans="1:29" ht="27">
      <c r="A167" s="413" t="s">
        <v>545</v>
      </c>
      <c r="B167" s="414" t="s">
        <v>6391</v>
      </c>
      <c r="C167" s="413" t="s">
        <v>899</v>
      </c>
      <c r="D167" s="414" t="s">
        <v>6505</v>
      </c>
      <c r="E167" s="413" t="s">
        <v>6025</v>
      </c>
      <c r="F167" s="413" t="s">
        <v>6026</v>
      </c>
      <c r="G167" s="413" t="s">
        <v>6027</v>
      </c>
      <c r="H167" s="413" t="s">
        <v>3321</v>
      </c>
      <c r="I167" s="410" t="s">
        <v>4373</v>
      </c>
      <c r="J167" s="417" t="s">
        <v>2248</v>
      </c>
      <c r="K167" s="417" t="s">
        <v>6561</v>
      </c>
      <c r="L167" s="417"/>
      <c r="M167" s="414" t="s">
        <v>6505</v>
      </c>
      <c r="N167" s="412" t="s">
        <v>3321</v>
      </c>
      <c r="O167" s="412" t="s">
        <v>6562</v>
      </c>
      <c r="P167" s="423" t="s">
        <v>6031</v>
      </c>
      <c r="Q167" s="423" t="s">
        <v>6556</v>
      </c>
      <c r="R167" s="423" t="s">
        <v>6563</v>
      </c>
      <c r="S167" s="423" t="s">
        <v>6563</v>
      </c>
      <c r="T167" s="423"/>
      <c r="U167" s="423"/>
      <c r="V167" s="423"/>
      <c r="W167" s="429" t="s">
        <v>6034</v>
      </c>
      <c r="X167" s="423"/>
      <c r="Y167" s="423"/>
      <c r="Z167" s="423"/>
      <c r="AA167" s="423"/>
      <c r="AB167" s="423"/>
      <c r="AC167" s="423"/>
    </row>
    <row r="168" spans="1:29" ht="27">
      <c r="A168" s="413" t="s">
        <v>545</v>
      </c>
      <c r="B168" s="414" t="s">
        <v>6391</v>
      </c>
      <c r="C168" s="413" t="s">
        <v>900</v>
      </c>
      <c r="D168" s="414" t="s">
        <v>6564</v>
      </c>
      <c r="E168" s="413" t="s">
        <v>6025</v>
      </c>
      <c r="F168" s="413" t="s">
        <v>6026</v>
      </c>
      <c r="G168" s="413" t="s">
        <v>6027</v>
      </c>
      <c r="H168" s="413" t="s">
        <v>3322</v>
      </c>
      <c r="I168" s="410" t="s">
        <v>4373</v>
      </c>
      <c r="J168" s="417" t="s">
        <v>2256</v>
      </c>
      <c r="K168" s="417" t="s">
        <v>6565</v>
      </c>
      <c r="L168" s="417"/>
      <c r="M168" s="414" t="s">
        <v>6564</v>
      </c>
      <c r="N168" s="412" t="s">
        <v>3322</v>
      </c>
      <c r="O168" s="412" t="s">
        <v>6566</v>
      </c>
      <c r="P168" s="423" t="s">
        <v>6031</v>
      </c>
      <c r="Q168" s="423" t="s">
        <v>6567</v>
      </c>
      <c r="R168" s="423" t="s">
        <v>6568</v>
      </c>
      <c r="S168" s="423" t="s">
        <v>6568</v>
      </c>
      <c r="T168" s="423"/>
      <c r="U168" s="423"/>
      <c r="V168" s="423"/>
      <c r="W168" s="429" t="s">
        <v>6034</v>
      </c>
      <c r="X168" s="423"/>
      <c r="Y168" s="423"/>
      <c r="Z168" s="423"/>
      <c r="AA168" s="423"/>
      <c r="AB168" s="423"/>
      <c r="AC168" s="423"/>
    </row>
    <row r="169" spans="1:29" ht="27">
      <c r="A169" s="413" t="s">
        <v>545</v>
      </c>
      <c r="B169" s="414" t="s">
        <v>6391</v>
      </c>
      <c r="C169" s="413" t="s">
        <v>900</v>
      </c>
      <c r="D169" s="414" t="s">
        <v>6564</v>
      </c>
      <c r="E169" s="413" t="s">
        <v>6025</v>
      </c>
      <c r="F169" s="413" t="s">
        <v>6026</v>
      </c>
      <c r="G169" s="413" t="s">
        <v>6027</v>
      </c>
      <c r="H169" s="413" t="s">
        <v>3323</v>
      </c>
      <c r="I169" s="410" t="s">
        <v>4373</v>
      </c>
      <c r="J169" s="417" t="s">
        <v>2256</v>
      </c>
      <c r="K169" s="417" t="s">
        <v>6569</v>
      </c>
      <c r="L169" s="417"/>
      <c r="M169" s="414" t="s">
        <v>6564</v>
      </c>
      <c r="N169" s="412" t="s">
        <v>3323</v>
      </c>
      <c r="O169" s="412" t="s">
        <v>6570</v>
      </c>
      <c r="P169" s="423" t="s">
        <v>6031</v>
      </c>
      <c r="Q169" s="423" t="s">
        <v>6567</v>
      </c>
      <c r="R169" s="423" t="s">
        <v>6571</v>
      </c>
      <c r="S169" s="423" t="s">
        <v>6571</v>
      </c>
      <c r="T169" s="423"/>
      <c r="U169" s="423"/>
      <c r="V169" s="423"/>
      <c r="W169" s="429" t="s">
        <v>6034</v>
      </c>
      <c r="X169" s="423"/>
      <c r="Y169" s="423"/>
      <c r="Z169" s="423"/>
      <c r="AA169" s="423"/>
      <c r="AB169" s="423"/>
      <c r="AC169" s="423"/>
    </row>
    <row r="170" spans="1:29" ht="27">
      <c r="A170" s="413" t="s">
        <v>545</v>
      </c>
      <c r="B170" s="414" t="s">
        <v>6391</v>
      </c>
      <c r="C170" s="413" t="s">
        <v>900</v>
      </c>
      <c r="D170" s="414" t="s">
        <v>6564</v>
      </c>
      <c r="E170" s="413" t="s">
        <v>6025</v>
      </c>
      <c r="F170" s="413" t="s">
        <v>6026</v>
      </c>
      <c r="G170" s="413" t="s">
        <v>6027</v>
      </c>
      <c r="H170" s="413" t="s">
        <v>3324</v>
      </c>
      <c r="I170" s="410" t="s">
        <v>4373</v>
      </c>
      <c r="J170" s="417" t="s">
        <v>2256</v>
      </c>
      <c r="K170" s="417" t="s">
        <v>6572</v>
      </c>
      <c r="L170" s="417"/>
      <c r="M170" s="414" t="s">
        <v>6564</v>
      </c>
      <c r="N170" s="412" t="s">
        <v>3324</v>
      </c>
      <c r="O170" s="412" t="s">
        <v>6573</v>
      </c>
      <c r="P170" s="423" t="s">
        <v>6031</v>
      </c>
      <c r="Q170" s="423" t="s">
        <v>6574</v>
      </c>
      <c r="R170" s="423" t="s">
        <v>6188</v>
      </c>
      <c r="S170" s="423" t="s">
        <v>6188</v>
      </c>
      <c r="T170" s="423"/>
      <c r="U170" s="423"/>
      <c r="V170" s="423"/>
      <c r="W170" s="429" t="s">
        <v>6034</v>
      </c>
      <c r="X170" s="423"/>
      <c r="Y170" s="423"/>
      <c r="Z170" s="423"/>
      <c r="AA170" s="423"/>
      <c r="AB170" s="423"/>
      <c r="AC170" s="423"/>
    </row>
    <row r="171" spans="1:29" ht="27">
      <c r="A171" s="413" t="s">
        <v>545</v>
      </c>
      <c r="B171" s="414" t="s">
        <v>6391</v>
      </c>
      <c r="C171" s="413" t="s">
        <v>900</v>
      </c>
      <c r="D171" s="414" t="s">
        <v>6564</v>
      </c>
      <c r="E171" s="413" t="s">
        <v>6025</v>
      </c>
      <c r="F171" s="413" t="s">
        <v>6026</v>
      </c>
      <c r="G171" s="413" t="s">
        <v>6027</v>
      </c>
      <c r="H171" s="413" t="s">
        <v>3325</v>
      </c>
      <c r="I171" s="410" t="s">
        <v>4373</v>
      </c>
      <c r="J171" s="417" t="s">
        <v>2256</v>
      </c>
      <c r="K171" s="417" t="s">
        <v>6575</v>
      </c>
      <c r="L171" s="417"/>
      <c r="M171" s="414" t="s">
        <v>6564</v>
      </c>
      <c r="N171" s="412" t="s">
        <v>3325</v>
      </c>
      <c r="O171" s="412" t="s">
        <v>6576</v>
      </c>
      <c r="P171" s="423" t="s">
        <v>6031</v>
      </c>
      <c r="Q171" s="423" t="s">
        <v>6574</v>
      </c>
      <c r="R171" s="423" t="s">
        <v>6190</v>
      </c>
      <c r="S171" s="423" t="s">
        <v>6190</v>
      </c>
      <c r="T171" s="423"/>
      <c r="U171" s="423"/>
      <c r="V171" s="423"/>
      <c r="W171" s="429" t="s">
        <v>6034</v>
      </c>
      <c r="X171" s="423"/>
      <c r="Y171" s="423"/>
      <c r="Z171" s="423"/>
      <c r="AA171" s="423"/>
      <c r="AB171" s="423"/>
      <c r="AC171" s="423"/>
    </row>
    <row r="172" spans="1:29" ht="27">
      <c r="A172" s="413" t="s">
        <v>545</v>
      </c>
      <c r="B172" s="414" t="s">
        <v>6391</v>
      </c>
      <c r="C172" s="413" t="s">
        <v>900</v>
      </c>
      <c r="D172" s="414" t="s">
        <v>6564</v>
      </c>
      <c r="E172" s="413" t="s">
        <v>6025</v>
      </c>
      <c r="F172" s="413" t="s">
        <v>6026</v>
      </c>
      <c r="G172" s="413" t="s">
        <v>6027</v>
      </c>
      <c r="H172" s="413" t="s">
        <v>3326</v>
      </c>
      <c r="I172" s="410" t="s">
        <v>4373</v>
      </c>
      <c r="J172" s="417" t="s">
        <v>2262</v>
      </c>
      <c r="K172" s="417" t="s">
        <v>6577</v>
      </c>
      <c r="L172" s="417"/>
      <c r="M172" s="414" t="s">
        <v>6564</v>
      </c>
      <c r="N172" s="412" t="s">
        <v>3326</v>
      </c>
      <c r="O172" s="412" t="s">
        <v>6578</v>
      </c>
      <c r="P172" s="423" t="s">
        <v>6031</v>
      </c>
      <c r="Q172" s="423" t="s">
        <v>6579</v>
      </c>
      <c r="R172" s="423" t="s">
        <v>6580</v>
      </c>
      <c r="S172" s="423" t="s">
        <v>6580</v>
      </c>
      <c r="T172" s="423"/>
      <c r="U172" s="423"/>
      <c r="V172" s="423"/>
      <c r="W172" s="429" t="s">
        <v>6034</v>
      </c>
      <c r="X172" s="423"/>
      <c r="Y172" s="423"/>
      <c r="Z172" s="423"/>
      <c r="AA172" s="423"/>
      <c r="AB172" s="423"/>
      <c r="AC172" s="423"/>
    </row>
    <row r="173" spans="1:29" ht="27">
      <c r="A173" s="413" t="s">
        <v>545</v>
      </c>
      <c r="B173" s="414" t="s">
        <v>6391</v>
      </c>
      <c r="C173" s="413" t="s">
        <v>900</v>
      </c>
      <c r="D173" s="414" t="s">
        <v>6564</v>
      </c>
      <c r="E173" s="413" t="s">
        <v>6025</v>
      </c>
      <c r="F173" s="413" t="s">
        <v>6026</v>
      </c>
      <c r="G173" s="413" t="s">
        <v>6027</v>
      </c>
      <c r="H173" s="413" t="s">
        <v>3327</v>
      </c>
      <c r="I173" s="410" t="s">
        <v>4373</v>
      </c>
      <c r="J173" s="417" t="s">
        <v>2262</v>
      </c>
      <c r="K173" s="417" t="s">
        <v>6581</v>
      </c>
      <c r="L173" s="417"/>
      <c r="M173" s="414" t="s">
        <v>6564</v>
      </c>
      <c r="N173" s="412" t="s">
        <v>3327</v>
      </c>
      <c r="O173" s="412" t="s">
        <v>6582</v>
      </c>
      <c r="P173" s="423" t="s">
        <v>6247</v>
      </c>
      <c r="Q173" s="423" t="s">
        <v>6583</v>
      </c>
      <c r="R173" s="423" t="s">
        <v>6584</v>
      </c>
      <c r="S173" s="423" t="s">
        <v>6584</v>
      </c>
      <c r="T173" s="423"/>
      <c r="U173" s="423"/>
      <c r="V173" s="423"/>
      <c r="W173" s="429" t="s">
        <v>6034</v>
      </c>
      <c r="X173" s="423"/>
      <c r="Y173" s="423"/>
      <c r="Z173" s="423"/>
      <c r="AA173" s="423"/>
      <c r="AB173" s="423"/>
      <c r="AC173" s="423"/>
    </row>
    <row r="174" spans="1:29" ht="27">
      <c r="A174" s="413" t="s">
        <v>545</v>
      </c>
      <c r="B174" s="414" t="s">
        <v>6391</v>
      </c>
      <c r="C174" s="413" t="s">
        <v>900</v>
      </c>
      <c r="D174" s="414" t="s">
        <v>6564</v>
      </c>
      <c r="E174" s="413" t="s">
        <v>6025</v>
      </c>
      <c r="F174" s="413" t="s">
        <v>6026</v>
      </c>
      <c r="G174" s="413" t="s">
        <v>6027</v>
      </c>
      <c r="H174" s="413" t="s">
        <v>3328</v>
      </c>
      <c r="I174" s="410" t="s">
        <v>4373</v>
      </c>
      <c r="J174" s="417" t="s">
        <v>2262</v>
      </c>
      <c r="K174" s="417" t="s">
        <v>6585</v>
      </c>
      <c r="L174" s="417"/>
      <c r="M174" s="414" t="s">
        <v>6564</v>
      </c>
      <c r="N174" s="412" t="s">
        <v>3328</v>
      </c>
      <c r="O174" s="412" t="s">
        <v>6586</v>
      </c>
      <c r="P174" s="423" t="s">
        <v>6247</v>
      </c>
      <c r="Q174" s="423" t="s">
        <v>6587</v>
      </c>
      <c r="R174" s="423" t="s">
        <v>6588</v>
      </c>
      <c r="S174" s="423" t="s">
        <v>6588</v>
      </c>
      <c r="T174" s="423"/>
      <c r="U174" s="423"/>
      <c r="V174" s="423"/>
      <c r="W174" s="429" t="s">
        <v>6034</v>
      </c>
      <c r="X174" s="423"/>
      <c r="Y174" s="423"/>
      <c r="Z174" s="423"/>
      <c r="AA174" s="423"/>
      <c r="AB174" s="423"/>
      <c r="AC174" s="423"/>
    </row>
    <row r="175" spans="1:29" ht="27">
      <c r="A175" s="413" t="s">
        <v>545</v>
      </c>
      <c r="B175" s="414" t="s">
        <v>6391</v>
      </c>
      <c r="C175" s="413" t="s">
        <v>900</v>
      </c>
      <c r="D175" s="414" t="s">
        <v>6564</v>
      </c>
      <c r="E175" s="413" t="s">
        <v>6025</v>
      </c>
      <c r="F175" s="413" t="s">
        <v>6026</v>
      </c>
      <c r="G175" s="413" t="s">
        <v>6027</v>
      </c>
      <c r="H175" s="413" t="s">
        <v>3329</v>
      </c>
      <c r="I175" s="414" t="s">
        <v>4373</v>
      </c>
      <c r="J175" s="417" t="s">
        <v>2262</v>
      </c>
      <c r="K175" s="417" t="s">
        <v>6589</v>
      </c>
      <c r="L175" s="417"/>
      <c r="M175" s="414" t="s">
        <v>6564</v>
      </c>
      <c r="N175" s="412" t="s">
        <v>3329</v>
      </c>
      <c r="O175" s="412" t="s">
        <v>6590</v>
      </c>
      <c r="P175" s="423" t="s">
        <v>6247</v>
      </c>
      <c r="Q175" s="423" t="s">
        <v>6591</v>
      </c>
      <c r="R175" s="423" t="s">
        <v>6592</v>
      </c>
      <c r="S175" s="423" t="s">
        <v>6592</v>
      </c>
      <c r="T175" s="423"/>
      <c r="U175" s="423"/>
      <c r="V175" s="423"/>
      <c r="W175" s="429" t="s">
        <v>6034</v>
      </c>
      <c r="X175" s="423"/>
      <c r="Y175" s="423"/>
      <c r="Z175" s="423"/>
      <c r="AA175" s="423"/>
      <c r="AB175" s="423"/>
      <c r="AC175" s="423"/>
    </row>
    <row r="176" spans="1:29" ht="27">
      <c r="A176" s="413" t="s">
        <v>545</v>
      </c>
      <c r="B176" s="414" t="s">
        <v>6391</v>
      </c>
      <c r="C176" s="413" t="s">
        <v>900</v>
      </c>
      <c r="D176" s="414" t="s">
        <v>6564</v>
      </c>
      <c r="E176" s="413" t="s">
        <v>6025</v>
      </c>
      <c r="F176" s="413" t="s">
        <v>6026</v>
      </c>
      <c r="G176" s="413" t="s">
        <v>6027</v>
      </c>
      <c r="H176" s="413" t="s">
        <v>3330</v>
      </c>
      <c r="I176" s="414" t="s">
        <v>4373</v>
      </c>
      <c r="J176" s="417" t="s">
        <v>2262</v>
      </c>
      <c r="K176" s="417" t="s">
        <v>6593</v>
      </c>
      <c r="L176" s="417"/>
      <c r="M176" s="414" t="s">
        <v>6564</v>
      </c>
      <c r="N176" s="412" t="s">
        <v>3330</v>
      </c>
      <c r="O176" s="412" t="s">
        <v>6594</v>
      </c>
      <c r="P176" s="423" t="s">
        <v>6247</v>
      </c>
      <c r="Q176" s="423" t="s">
        <v>6591</v>
      </c>
      <c r="R176" s="423" t="s">
        <v>6595</v>
      </c>
      <c r="S176" s="423" t="s">
        <v>6595</v>
      </c>
      <c r="T176" s="423"/>
      <c r="U176" s="423"/>
      <c r="V176" s="423"/>
      <c r="W176" s="429" t="s">
        <v>6034</v>
      </c>
      <c r="X176" s="423"/>
      <c r="Y176" s="423"/>
      <c r="Z176" s="423"/>
      <c r="AA176" s="423"/>
      <c r="AB176" s="423"/>
      <c r="AC176" s="423"/>
    </row>
    <row r="177" spans="1:29" ht="27">
      <c r="A177" s="413" t="s">
        <v>545</v>
      </c>
      <c r="B177" s="414" t="s">
        <v>6391</v>
      </c>
      <c r="C177" s="413" t="s">
        <v>900</v>
      </c>
      <c r="D177" s="414" t="s">
        <v>6564</v>
      </c>
      <c r="E177" s="413" t="s">
        <v>6025</v>
      </c>
      <c r="F177" s="413" t="s">
        <v>6026</v>
      </c>
      <c r="G177" s="413" t="s">
        <v>6027</v>
      </c>
      <c r="H177" s="413" t="s">
        <v>3331</v>
      </c>
      <c r="I177" s="414" t="s">
        <v>4373</v>
      </c>
      <c r="J177" s="417" t="s">
        <v>2269</v>
      </c>
      <c r="K177" s="417" t="s">
        <v>6596</v>
      </c>
      <c r="L177" s="417"/>
      <c r="M177" s="414" t="s">
        <v>6564</v>
      </c>
      <c r="N177" s="412" t="s">
        <v>3331</v>
      </c>
      <c r="O177" s="412" t="s">
        <v>6597</v>
      </c>
      <c r="P177" s="423" t="s">
        <v>6247</v>
      </c>
      <c r="Q177" s="423" t="s">
        <v>6591</v>
      </c>
      <c r="R177" s="423" t="s">
        <v>6598</v>
      </c>
      <c r="S177" s="423" t="s">
        <v>6598</v>
      </c>
      <c r="T177" s="423"/>
      <c r="U177" s="423"/>
      <c r="V177" s="423"/>
      <c r="W177" s="429" t="s">
        <v>6034</v>
      </c>
      <c r="X177" s="423"/>
      <c r="Y177" s="423"/>
      <c r="Z177" s="423"/>
      <c r="AA177" s="423"/>
      <c r="AB177" s="423"/>
      <c r="AC177" s="423"/>
    </row>
    <row r="178" spans="1:29" ht="27">
      <c r="A178" s="413" t="s">
        <v>545</v>
      </c>
      <c r="B178" s="414" t="s">
        <v>6391</v>
      </c>
      <c r="C178" s="413" t="s">
        <v>900</v>
      </c>
      <c r="D178" s="414" t="s">
        <v>6564</v>
      </c>
      <c r="E178" s="413" t="s">
        <v>6025</v>
      </c>
      <c r="F178" s="413" t="s">
        <v>6026</v>
      </c>
      <c r="G178" s="413" t="s">
        <v>6027</v>
      </c>
      <c r="H178" s="413" t="s">
        <v>3332</v>
      </c>
      <c r="I178" s="414" t="s">
        <v>4373</v>
      </c>
      <c r="J178" s="417" t="s">
        <v>2269</v>
      </c>
      <c r="K178" s="417" t="s">
        <v>6599</v>
      </c>
      <c r="L178" s="417"/>
      <c r="M178" s="414" t="s">
        <v>6564</v>
      </c>
      <c r="N178" s="412" t="s">
        <v>3332</v>
      </c>
      <c r="O178" s="412" t="s">
        <v>6600</v>
      </c>
      <c r="P178" s="423" t="s">
        <v>6247</v>
      </c>
      <c r="Q178" s="423" t="s">
        <v>6591</v>
      </c>
      <c r="R178" s="423" t="s">
        <v>6601</v>
      </c>
      <c r="S178" s="423" t="s">
        <v>6601</v>
      </c>
      <c r="T178" s="423"/>
      <c r="U178" s="423"/>
      <c r="V178" s="423"/>
      <c r="W178" s="429" t="s">
        <v>6034</v>
      </c>
      <c r="X178" s="423"/>
      <c r="Y178" s="423"/>
      <c r="Z178" s="423"/>
      <c r="AA178" s="423"/>
      <c r="AB178" s="423"/>
      <c r="AC178" s="423"/>
    </row>
    <row r="179" spans="1:29" ht="27">
      <c r="A179" s="413" t="s">
        <v>545</v>
      </c>
      <c r="B179" s="414" t="s">
        <v>6391</v>
      </c>
      <c r="C179" s="413" t="s">
        <v>900</v>
      </c>
      <c r="D179" s="414" t="s">
        <v>6564</v>
      </c>
      <c r="E179" s="413" t="s">
        <v>6025</v>
      </c>
      <c r="F179" s="413" t="s">
        <v>6026</v>
      </c>
      <c r="G179" s="413" t="s">
        <v>6027</v>
      </c>
      <c r="H179" s="413" t="s">
        <v>3333</v>
      </c>
      <c r="I179" s="414" t="s">
        <v>4373</v>
      </c>
      <c r="J179" s="417" t="s">
        <v>2269</v>
      </c>
      <c r="K179" s="417" t="s">
        <v>6602</v>
      </c>
      <c r="L179" s="417"/>
      <c r="M179" s="414" t="s">
        <v>6564</v>
      </c>
      <c r="N179" s="412" t="s">
        <v>3333</v>
      </c>
      <c r="O179" s="412" t="s">
        <v>6603</v>
      </c>
      <c r="P179" s="423" t="s">
        <v>6247</v>
      </c>
      <c r="Q179" s="423" t="s">
        <v>6591</v>
      </c>
      <c r="R179" s="423" t="s">
        <v>6592</v>
      </c>
      <c r="S179" s="423" t="s">
        <v>6592</v>
      </c>
      <c r="T179" s="423"/>
      <c r="U179" s="423"/>
      <c r="V179" s="423"/>
      <c r="W179" s="429" t="s">
        <v>6034</v>
      </c>
      <c r="X179" s="423"/>
      <c r="Y179" s="423"/>
      <c r="Z179" s="423"/>
      <c r="AA179" s="423"/>
      <c r="AB179" s="423"/>
      <c r="AC179" s="423"/>
    </row>
    <row r="180" spans="1:29" ht="27">
      <c r="A180" s="413" t="s">
        <v>545</v>
      </c>
      <c r="B180" s="414" t="s">
        <v>6391</v>
      </c>
      <c r="C180" s="413" t="s">
        <v>900</v>
      </c>
      <c r="D180" s="414" t="s">
        <v>6564</v>
      </c>
      <c r="E180" s="413" t="s">
        <v>6025</v>
      </c>
      <c r="F180" s="413" t="s">
        <v>6026</v>
      </c>
      <c r="G180" s="413" t="s">
        <v>6027</v>
      </c>
      <c r="H180" s="413" t="s">
        <v>3334</v>
      </c>
      <c r="I180" s="414" t="s">
        <v>4373</v>
      </c>
      <c r="J180" s="417" t="s">
        <v>2274</v>
      </c>
      <c r="K180" s="417" t="s">
        <v>6604</v>
      </c>
      <c r="L180" s="417"/>
      <c r="M180" s="414" t="s">
        <v>6564</v>
      </c>
      <c r="N180" s="412" t="s">
        <v>3334</v>
      </c>
      <c r="O180" s="412" t="s">
        <v>6605</v>
      </c>
      <c r="P180" s="423" t="s">
        <v>6247</v>
      </c>
      <c r="Q180" s="423" t="s">
        <v>6591</v>
      </c>
      <c r="R180" s="423" t="s">
        <v>6595</v>
      </c>
      <c r="S180" s="423" t="s">
        <v>6595</v>
      </c>
      <c r="T180" s="423"/>
      <c r="U180" s="423"/>
      <c r="V180" s="423"/>
      <c r="W180" s="429" t="s">
        <v>6034</v>
      </c>
      <c r="X180" s="423"/>
      <c r="Y180" s="423"/>
      <c r="Z180" s="423"/>
      <c r="AA180" s="423"/>
      <c r="AB180" s="423"/>
      <c r="AC180" s="423"/>
    </row>
    <row r="181" spans="1:29" ht="27">
      <c r="A181" s="413" t="s">
        <v>545</v>
      </c>
      <c r="B181" s="414" t="s">
        <v>6391</v>
      </c>
      <c r="C181" s="413" t="s">
        <v>900</v>
      </c>
      <c r="D181" s="414" t="s">
        <v>6564</v>
      </c>
      <c r="E181" s="413" t="s">
        <v>6025</v>
      </c>
      <c r="F181" s="413" t="s">
        <v>6026</v>
      </c>
      <c r="G181" s="413" t="s">
        <v>6027</v>
      </c>
      <c r="H181" s="413" t="s">
        <v>3335</v>
      </c>
      <c r="I181" s="414" t="s">
        <v>4373</v>
      </c>
      <c r="J181" s="417" t="s">
        <v>2274</v>
      </c>
      <c r="K181" s="417" t="s">
        <v>6606</v>
      </c>
      <c r="L181" s="417"/>
      <c r="M181" s="414" t="s">
        <v>6564</v>
      </c>
      <c r="N181" s="412" t="s">
        <v>3335</v>
      </c>
      <c r="O181" s="412" t="s">
        <v>6607</v>
      </c>
      <c r="P181" s="423" t="s">
        <v>6247</v>
      </c>
      <c r="Q181" s="423" t="s">
        <v>6591</v>
      </c>
      <c r="R181" s="423" t="s">
        <v>6598</v>
      </c>
      <c r="S181" s="423" t="s">
        <v>6598</v>
      </c>
      <c r="T181" s="423"/>
      <c r="U181" s="423"/>
      <c r="V181" s="423"/>
      <c r="W181" s="429" t="s">
        <v>6034</v>
      </c>
      <c r="X181" s="423"/>
      <c r="Y181" s="423"/>
      <c r="Z181" s="423"/>
      <c r="AA181" s="423"/>
      <c r="AB181" s="423"/>
      <c r="AC181" s="423"/>
    </row>
    <row r="182" spans="1:29" ht="27">
      <c r="A182" s="413" t="s">
        <v>545</v>
      </c>
      <c r="B182" s="414" t="s">
        <v>6391</v>
      </c>
      <c r="C182" s="413" t="s">
        <v>900</v>
      </c>
      <c r="D182" s="414" t="s">
        <v>6564</v>
      </c>
      <c r="E182" s="413" t="s">
        <v>6025</v>
      </c>
      <c r="F182" s="413" t="s">
        <v>6026</v>
      </c>
      <c r="G182" s="413" t="s">
        <v>6027</v>
      </c>
      <c r="H182" s="413" t="s">
        <v>3336</v>
      </c>
      <c r="I182" s="414" t="s">
        <v>4373</v>
      </c>
      <c r="J182" s="417" t="s">
        <v>2278</v>
      </c>
      <c r="K182" s="417" t="s">
        <v>6608</v>
      </c>
      <c r="L182" s="417"/>
      <c r="M182" s="414" t="s">
        <v>6564</v>
      </c>
      <c r="N182" s="412" t="s">
        <v>3336</v>
      </c>
      <c r="O182" s="412" t="s">
        <v>6609</v>
      </c>
      <c r="P182" s="423" t="s">
        <v>6247</v>
      </c>
      <c r="Q182" s="423" t="s">
        <v>6591</v>
      </c>
      <c r="R182" s="423" t="s">
        <v>6601</v>
      </c>
      <c r="S182" s="423" t="s">
        <v>6601</v>
      </c>
      <c r="T182" s="423"/>
      <c r="U182" s="423"/>
      <c r="V182" s="423"/>
      <c r="W182" s="429" t="s">
        <v>6034</v>
      </c>
      <c r="X182" s="423"/>
      <c r="Y182" s="423"/>
      <c r="Z182" s="423"/>
      <c r="AA182" s="423"/>
      <c r="AB182" s="423"/>
      <c r="AC182" s="423"/>
    </row>
    <row r="183" spans="1:29" ht="27">
      <c r="A183" s="413" t="s">
        <v>545</v>
      </c>
      <c r="B183" s="414" t="s">
        <v>6391</v>
      </c>
      <c r="C183" s="413" t="s">
        <v>900</v>
      </c>
      <c r="D183" s="414" t="s">
        <v>6564</v>
      </c>
      <c r="E183" s="413" t="s">
        <v>6025</v>
      </c>
      <c r="F183" s="413" t="s">
        <v>6026</v>
      </c>
      <c r="G183" s="413" t="s">
        <v>6027</v>
      </c>
      <c r="H183" s="413" t="s">
        <v>3337</v>
      </c>
      <c r="I183" s="414" t="s">
        <v>4373</v>
      </c>
      <c r="J183" s="417" t="s">
        <v>2278</v>
      </c>
      <c r="K183" s="417" t="s">
        <v>6610</v>
      </c>
      <c r="L183" s="417"/>
      <c r="M183" s="414" t="s">
        <v>6564</v>
      </c>
      <c r="N183" s="412" t="s">
        <v>3337</v>
      </c>
      <c r="O183" s="412" t="s">
        <v>6611</v>
      </c>
      <c r="P183" s="423" t="s">
        <v>6247</v>
      </c>
      <c r="Q183" s="423" t="s">
        <v>6591</v>
      </c>
      <c r="R183" s="423" t="s">
        <v>6612</v>
      </c>
      <c r="S183" s="423" t="s">
        <v>6612</v>
      </c>
      <c r="T183" s="423"/>
      <c r="U183" s="423"/>
      <c r="V183" s="423"/>
      <c r="W183" s="429" t="s">
        <v>6034</v>
      </c>
      <c r="X183" s="423"/>
      <c r="Y183" s="423"/>
      <c r="Z183" s="423"/>
      <c r="AA183" s="423"/>
      <c r="AB183" s="423"/>
      <c r="AC183" s="423"/>
    </row>
    <row r="184" spans="1:29" ht="27">
      <c r="A184" s="413" t="s">
        <v>545</v>
      </c>
      <c r="B184" s="414" t="s">
        <v>6391</v>
      </c>
      <c r="C184" s="413" t="s">
        <v>900</v>
      </c>
      <c r="D184" s="414" t="s">
        <v>6564</v>
      </c>
      <c r="E184" s="413" t="s">
        <v>6025</v>
      </c>
      <c r="F184" s="413" t="s">
        <v>6026</v>
      </c>
      <c r="G184" s="413" t="s">
        <v>6027</v>
      </c>
      <c r="H184" s="413" t="s">
        <v>3338</v>
      </c>
      <c r="I184" s="414" t="s">
        <v>4373</v>
      </c>
      <c r="J184" s="417" t="s">
        <v>2282</v>
      </c>
      <c r="K184" s="417" t="s">
        <v>6613</v>
      </c>
      <c r="L184" s="417"/>
      <c r="M184" s="414" t="s">
        <v>6564</v>
      </c>
      <c r="N184" s="412" t="s">
        <v>3338</v>
      </c>
      <c r="O184" s="412" t="s">
        <v>6614</v>
      </c>
      <c r="P184" s="423" t="s">
        <v>6247</v>
      </c>
      <c r="Q184" s="423" t="s">
        <v>6591</v>
      </c>
      <c r="R184" s="423" t="s">
        <v>6615</v>
      </c>
      <c r="S184" s="423" t="s">
        <v>6615</v>
      </c>
      <c r="T184" s="423"/>
      <c r="U184" s="423"/>
      <c r="V184" s="423"/>
      <c r="W184" s="429" t="s">
        <v>6034</v>
      </c>
      <c r="X184" s="423"/>
      <c r="Y184" s="423"/>
      <c r="Z184" s="423"/>
      <c r="AA184" s="423"/>
      <c r="AB184" s="423"/>
      <c r="AC184" s="423"/>
    </row>
    <row r="185" spans="1:29" ht="27">
      <c r="A185" s="413" t="s">
        <v>545</v>
      </c>
      <c r="B185" s="414" t="s">
        <v>6391</v>
      </c>
      <c r="C185" s="413" t="s">
        <v>900</v>
      </c>
      <c r="D185" s="414" t="s">
        <v>6564</v>
      </c>
      <c r="E185" s="413" t="s">
        <v>6025</v>
      </c>
      <c r="F185" s="413" t="s">
        <v>6026</v>
      </c>
      <c r="G185" s="413" t="s">
        <v>6027</v>
      </c>
      <c r="H185" s="413" t="s">
        <v>3339</v>
      </c>
      <c r="I185" s="414" t="s">
        <v>4373</v>
      </c>
      <c r="J185" s="417" t="s">
        <v>2282</v>
      </c>
      <c r="K185" s="417" t="s">
        <v>6616</v>
      </c>
      <c r="L185" s="417"/>
      <c r="M185" s="414" t="s">
        <v>6564</v>
      </c>
      <c r="N185" s="412" t="s">
        <v>3339</v>
      </c>
      <c r="O185" s="412" t="s">
        <v>6617</v>
      </c>
      <c r="P185" s="423" t="s">
        <v>6247</v>
      </c>
      <c r="Q185" s="423" t="s">
        <v>6591</v>
      </c>
      <c r="R185" s="423" t="s">
        <v>6618</v>
      </c>
      <c r="S185" s="423" t="s">
        <v>6618</v>
      </c>
      <c r="T185" s="423"/>
      <c r="U185" s="423"/>
      <c r="V185" s="423"/>
      <c r="W185" s="429" t="s">
        <v>6034</v>
      </c>
      <c r="X185" s="423"/>
      <c r="Y185" s="423"/>
      <c r="Z185" s="423"/>
      <c r="AA185" s="423"/>
      <c r="AB185" s="423"/>
      <c r="AC185" s="423"/>
    </row>
    <row r="186" spans="1:29" ht="27">
      <c r="A186" s="413" t="s">
        <v>545</v>
      </c>
      <c r="B186" s="414" t="s">
        <v>6391</v>
      </c>
      <c r="C186" s="413" t="s">
        <v>900</v>
      </c>
      <c r="D186" s="414" t="s">
        <v>6564</v>
      </c>
      <c r="E186" s="413" t="s">
        <v>6025</v>
      </c>
      <c r="F186" s="413" t="s">
        <v>6026</v>
      </c>
      <c r="G186" s="413" t="s">
        <v>6027</v>
      </c>
      <c r="H186" s="413" t="s">
        <v>3340</v>
      </c>
      <c r="I186" s="414" t="s">
        <v>4373</v>
      </c>
      <c r="J186" s="417" t="s">
        <v>2282</v>
      </c>
      <c r="K186" s="417" t="s">
        <v>6619</v>
      </c>
      <c r="L186" s="417"/>
      <c r="M186" s="414" t="s">
        <v>6564</v>
      </c>
      <c r="N186" s="412" t="s">
        <v>3340</v>
      </c>
      <c r="O186" s="412" t="s">
        <v>6620</v>
      </c>
      <c r="P186" s="423" t="s">
        <v>6247</v>
      </c>
      <c r="Q186" s="423" t="s">
        <v>6591</v>
      </c>
      <c r="R186" s="423" t="s">
        <v>6621</v>
      </c>
      <c r="S186" s="423" t="s">
        <v>6621</v>
      </c>
      <c r="T186" s="423"/>
      <c r="U186" s="423"/>
      <c r="V186" s="423"/>
      <c r="W186" s="429" t="s">
        <v>6034</v>
      </c>
      <c r="X186" s="423"/>
      <c r="Y186" s="423"/>
      <c r="Z186" s="423"/>
      <c r="AA186" s="423"/>
      <c r="AB186" s="423"/>
      <c r="AC186" s="423"/>
    </row>
    <row r="187" spans="1:29" ht="27">
      <c r="A187" s="413" t="s">
        <v>545</v>
      </c>
      <c r="B187" s="414" t="s">
        <v>6391</v>
      </c>
      <c r="C187" s="413" t="s">
        <v>900</v>
      </c>
      <c r="D187" s="414" t="s">
        <v>6564</v>
      </c>
      <c r="E187" s="413" t="s">
        <v>6025</v>
      </c>
      <c r="F187" s="413" t="s">
        <v>6026</v>
      </c>
      <c r="G187" s="413" t="s">
        <v>6027</v>
      </c>
      <c r="H187" s="413" t="s">
        <v>3341</v>
      </c>
      <c r="I187" s="414" t="s">
        <v>4373</v>
      </c>
      <c r="J187" s="417" t="s">
        <v>2282</v>
      </c>
      <c r="K187" s="417" t="s">
        <v>6622</v>
      </c>
      <c r="L187" s="417"/>
      <c r="M187" s="414" t="s">
        <v>6564</v>
      </c>
      <c r="N187" s="412" t="s">
        <v>3341</v>
      </c>
      <c r="O187" s="412" t="s">
        <v>6623</v>
      </c>
      <c r="P187" s="423" t="s">
        <v>6247</v>
      </c>
      <c r="Q187" s="423" t="s">
        <v>6591</v>
      </c>
      <c r="R187" s="423" t="s">
        <v>6624</v>
      </c>
      <c r="S187" s="423" t="s">
        <v>6624</v>
      </c>
      <c r="T187" s="423"/>
      <c r="U187" s="423"/>
      <c r="V187" s="423"/>
      <c r="W187" s="429" t="s">
        <v>6034</v>
      </c>
      <c r="X187" s="423"/>
      <c r="Y187" s="423"/>
      <c r="Z187" s="423"/>
      <c r="AA187" s="423"/>
      <c r="AB187" s="423"/>
      <c r="AC187" s="423"/>
    </row>
    <row r="188" spans="1:29" ht="27">
      <c r="A188" s="413" t="s">
        <v>545</v>
      </c>
      <c r="B188" s="414" t="s">
        <v>6391</v>
      </c>
      <c r="C188" s="413" t="s">
        <v>900</v>
      </c>
      <c r="D188" s="414" t="s">
        <v>6564</v>
      </c>
      <c r="E188" s="413" t="s">
        <v>6025</v>
      </c>
      <c r="F188" s="413" t="s">
        <v>6026</v>
      </c>
      <c r="G188" s="413" t="s">
        <v>6027</v>
      </c>
      <c r="H188" s="413" t="s">
        <v>3342</v>
      </c>
      <c r="I188" s="414" t="s">
        <v>4373</v>
      </c>
      <c r="J188" s="417" t="s">
        <v>2282</v>
      </c>
      <c r="K188" s="417" t="s">
        <v>6625</v>
      </c>
      <c r="L188" s="417"/>
      <c r="M188" s="414" t="s">
        <v>6564</v>
      </c>
      <c r="N188" s="412" t="s">
        <v>3342</v>
      </c>
      <c r="O188" s="412" t="s">
        <v>6626</v>
      </c>
      <c r="P188" s="423" t="s">
        <v>6247</v>
      </c>
      <c r="Q188" s="423" t="s">
        <v>6591</v>
      </c>
      <c r="R188" s="423" t="s">
        <v>6627</v>
      </c>
      <c r="S188" s="423" t="s">
        <v>6627</v>
      </c>
      <c r="T188" s="423"/>
      <c r="U188" s="423"/>
      <c r="V188" s="423"/>
      <c r="W188" s="429" t="s">
        <v>6034</v>
      </c>
      <c r="X188" s="423"/>
      <c r="Y188" s="423"/>
      <c r="Z188" s="423"/>
      <c r="AA188" s="423"/>
      <c r="AB188" s="423"/>
      <c r="AC188" s="423"/>
    </row>
    <row r="189" spans="1:29" ht="27">
      <c r="A189" s="413" t="s">
        <v>545</v>
      </c>
      <c r="B189" s="414" t="s">
        <v>6391</v>
      </c>
      <c r="C189" s="413" t="s">
        <v>900</v>
      </c>
      <c r="D189" s="414" t="s">
        <v>6564</v>
      </c>
      <c r="E189" s="413" t="s">
        <v>6025</v>
      </c>
      <c r="F189" s="413" t="s">
        <v>6026</v>
      </c>
      <c r="G189" s="413" t="s">
        <v>6027</v>
      </c>
      <c r="H189" s="413" t="s">
        <v>3343</v>
      </c>
      <c r="I189" s="414" t="s">
        <v>4373</v>
      </c>
      <c r="J189" s="417" t="s">
        <v>2282</v>
      </c>
      <c r="K189" s="417" t="s">
        <v>6628</v>
      </c>
      <c r="L189" s="417"/>
      <c r="M189" s="414" t="s">
        <v>6564</v>
      </c>
      <c r="N189" s="412" t="s">
        <v>3343</v>
      </c>
      <c r="O189" s="412" t="s">
        <v>6629</v>
      </c>
      <c r="P189" s="423" t="s">
        <v>6247</v>
      </c>
      <c r="Q189" s="423" t="s">
        <v>6591</v>
      </c>
      <c r="R189" s="423" t="s">
        <v>6630</v>
      </c>
      <c r="S189" s="423" t="s">
        <v>6630</v>
      </c>
      <c r="T189" s="423"/>
      <c r="U189" s="423"/>
      <c r="V189" s="423"/>
      <c r="W189" s="429" t="s">
        <v>6034</v>
      </c>
      <c r="X189" s="423"/>
      <c r="Y189" s="423"/>
      <c r="Z189" s="423"/>
      <c r="AA189" s="423"/>
      <c r="AB189" s="423"/>
      <c r="AC189" s="423"/>
    </row>
    <row r="190" spans="1:29" ht="27">
      <c r="A190" s="413" t="s">
        <v>545</v>
      </c>
      <c r="B190" s="414" t="s">
        <v>6391</v>
      </c>
      <c r="C190" s="413" t="s">
        <v>901</v>
      </c>
      <c r="D190" s="414" t="s">
        <v>6631</v>
      </c>
      <c r="E190" s="413" t="s">
        <v>6025</v>
      </c>
      <c r="F190" s="413" t="s">
        <v>6026</v>
      </c>
      <c r="G190" s="413" t="s">
        <v>6027</v>
      </c>
      <c r="H190" s="413" t="s">
        <v>3344</v>
      </c>
      <c r="I190" s="414" t="s">
        <v>4373</v>
      </c>
      <c r="J190" s="417" t="s">
        <v>2290</v>
      </c>
      <c r="K190" s="417" t="s">
        <v>6632</v>
      </c>
      <c r="L190" s="417"/>
      <c r="M190" s="414" t="s">
        <v>6631</v>
      </c>
      <c r="N190" s="412" t="s">
        <v>3344</v>
      </c>
      <c r="O190" s="412" t="s">
        <v>6633</v>
      </c>
      <c r="P190" s="423" t="s">
        <v>6031</v>
      </c>
      <c r="Q190" s="423" t="s">
        <v>6634</v>
      </c>
      <c r="R190" s="423" t="s">
        <v>6635</v>
      </c>
      <c r="S190" s="423" t="s">
        <v>6635</v>
      </c>
      <c r="T190" s="423"/>
      <c r="U190" s="423"/>
      <c r="V190" s="423"/>
      <c r="W190" s="429" t="s">
        <v>6034</v>
      </c>
      <c r="X190" s="423"/>
      <c r="Y190" s="423"/>
      <c r="Z190" s="423"/>
      <c r="AA190" s="423"/>
      <c r="AB190" s="423"/>
      <c r="AC190" s="423"/>
    </row>
    <row r="191" spans="1:29" ht="27">
      <c r="A191" s="413" t="s">
        <v>545</v>
      </c>
      <c r="B191" s="414" t="s">
        <v>6391</v>
      </c>
      <c r="C191" s="413" t="s">
        <v>901</v>
      </c>
      <c r="D191" s="414" t="s">
        <v>6631</v>
      </c>
      <c r="E191" s="413" t="s">
        <v>6025</v>
      </c>
      <c r="F191" s="413" t="s">
        <v>6026</v>
      </c>
      <c r="G191" s="413" t="s">
        <v>6027</v>
      </c>
      <c r="H191" s="413" t="s">
        <v>3345</v>
      </c>
      <c r="I191" s="414" t="s">
        <v>4373</v>
      </c>
      <c r="J191" s="417" t="s">
        <v>2290</v>
      </c>
      <c r="K191" s="417" t="s">
        <v>6636</v>
      </c>
      <c r="L191" s="417"/>
      <c r="M191" s="414" t="s">
        <v>6631</v>
      </c>
      <c r="N191" s="412" t="s">
        <v>3345</v>
      </c>
      <c r="O191" s="412" t="s">
        <v>6637</v>
      </c>
      <c r="P191" s="423" t="s">
        <v>6031</v>
      </c>
      <c r="Q191" s="423" t="s">
        <v>6634</v>
      </c>
      <c r="R191" s="423" t="s">
        <v>6638</v>
      </c>
      <c r="S191" s="423" t="s">
        <v>6638</v>
      </c>
      <c r="T191" s="423"/>
      <c r="U191" s="423"/>
      <c r="V191" s="423"/>
      <c r="W191" s="429" t="s">
        <v>6034</v>
      </c>
      <c r="X191" s="423"/>
      <c r="Y191" s="423"/>
      <c r="Z191" s="423"/>
      <c r="AA191" s="423"/>
      <c r="AB191" s="423"/>
      <c r="AC191" s="423"/>
    </row>
    <row r="192" spans="1:29" ht="27">
      <c r="A192" s="413" t="s">
        <v>545</v>
      </c>
      <c r="B192" s="414" t="s">
        <v>6391</v>
      </c>
      <c r="C192" s="413" t="s">
        <v>901</v>
      </c>
      <c r="D192" s="414" t="s">
        <v>6631</v>
      </c>
      <c r="E192" s="413" t="s">
        <v>6025</v>
      </c>
      <c r="F192" s="413" t="s">
        <v>6026</v>
      </c>
      <c r="G192" s="413" t="s">
        <v>6027</v>
      </c>
      <c r="H192" s="413" t="s">
        <v>3346</v>
      </c>
      <c r="I192" s="414" t="s">
        <v>4373</v>
      </c>
      <c r="J192" s="417" t="s">
        <v>2290</v>
      </c>
      <c r="K192" s="417" t="s">
        <v>6639</v>
      </c>
      <c r="L192" s="417"/>
      <c r="M192" s="414" t="s">
        <v>6631</v>
      </c>
      <c r="N192" s="412" t="s">
        <v>3346</v>
      </c>
      <c r="O192" s="412" t="s">
        <v>6640</v>
      </c>
      <c r="P192" s="423" t="s">
        <v>6031</v>
      </c>
      <c r="Q192" s="423" t="s">
        <v>6634</v>
      </c>
      <c r="R192" s="423" t="s">
        <v>6641</v>
      </c>
      <c r="S192" s="423" t="s">
        <v>6641</v>
      </c>
      <c r="T192" s="423"/>
      <c r="U192" s="423"/>
      <c r="V192" s="423"/>
      <c r="W192" s="429" t="s">
        <v>6034</v>
      </c>
      <c r="X192" s="423"/>
      <c r="Y192" s="423"/>
      <c r="Z192" s="423"/>
      <c r="AA192" s="423"/>
      <c r="AB192" s="423"/>
      <c r="AC192" s="423"/>
    </row>
    <row r="193" spans="1:29" ht="27">
      <c r="A193" s="413" t="s">
        <v>545</v>
      </c>
      <c r="B193" s="414" t="s">
        <v>6391</v>
      </c>
      <c r="C193" s="413" t="s">
        <v>901</v>
      </c>
      <c r="D193" s="414" t="s">
        <v>6631</v>
      </c>
      <c r="E193" s="413" t="s">
        <v>6025</v>
      </c>
      <c r="F193" s="413" t="s">
        <v>6026</v>
      </c>
      <c r="G193" s="413" t="s">
        <v>6027</v>
      </c>
      <c r="H193" s="413" t="s">
        <v>3347</v>
      </c>
      <c r="I193" s="414" t="s">
        <v>4373</v>
      </c>
      <c r="J193" s="417" t="s">
        <v>2295</v>
      </c>
      <c r="K193" s="417" t="s">
        <v>6642</v>
      </c>
      <c r="L193" s="417"/>
      <c r="M193" s="414" t="s">
        <v>6631</v>
      </c>
      <c r="N193" s="412" t="s">
        <v>3347</v>
      </c>
      <c r="O193" s="412" t="s">
        <v>6643</v>
      </c>
      <c r="P193" s="423" t="s">
        <v>6031</v>
      </c>
      <c r="Q193" s="423" t="s">
        <v>6634</v>
      </c>
      <c r="R193" s="423" t="s">
        <v>6644</v>
      </c>
      <c r="S193" s="423" t="s">
        <v>6644</v>
      </c>
      <c r="T193" s="423"/>
      <c r="U193" s="423"/>
      <c r="V193" s="423"/>
      <c r="W193" s="429" t="s">
        <v>6034</v>
      </c>
      <c r="X193" s="423"/>
      <c r="Y193" s="423"/>
      <c r="Z193" s="423"/>
      <c r="AA193" s="423"/>
      <c r="AB193" s="423"/>
      <c r="AC193" s="423"/>
    </row>
    <row r="194" spans="1:29" ht="27">
      <c r="A194" s="413" t="s">
        <v>545</v>
      </c>
      <c r="B194" s="414" t="s">
        <v>6391</v>
      </c>
      <c r="C194" s="413" t="s">
        <v>901</v>
      </c>
      <c r="D194" s="414" t="s">
        <v>6631</v>
      </c>
      <c r="E194" s="413" t="s">
        <v>6025</v>
      </c>
      <c r="F194" s="413" t="s">
        <v>6026</v>
      </c>
      <c r="G194" s="413" t="s">
        <v>6027</v>
      </c>
      <c r="H194" s="413" t="s">
        <v>3348</v>
      </c>
      <c r="I194" s="414" t="s">
        <v>4373</v>
      </c>
      <c r="J194" s="417" t="s">
        <v>2295</v>
      </c>
      <c r="K194" s="417" t="s">
        <v>6645</v>
      </c>
      <c r="L194" s="417"/>
      <c r="M194" s="414" t="s">
        <v>6631</v>
      </c>
      <c r="N194" s="412" t="s">
        <v>3348</v>
      </c>
      <c r="O194" s="412" t="s">
        <v>6646</v>
      </c>
      <c r="P194" s="423" t="s">
        <v>6031</v>
      </c>
      <c r="Q194" s="423" t="s">
        <v>6634</v>
      </c>
      <c r="R194" s="423" t="s">
        <v>6647</v>
      </c>
      <c r="S194" s="423" t="s">
        <v>6647</v>
      </c>
      <c r="T194" s="423"/>
      <c r="U194" s="423"/>
      <c r="V194" s="423"/>
      <c r="W194" s="429" t="s">
        <v>6034</v>
      </c>
      <c r="X194" s="423"/>
      <c r="Y194" s="423"/>
      <c r="Z194" s="423"/>
      <c r="AA194" s="423"/>
      <c r="AB194" s="423"/>
      <c r="AC194" s="423"/>
    </row>
    <row r="195" spans="1:29" ht="27">
      <c r="A195" s="413" t="s">
        <v>545</v>
      </c>
      <c r="B195" s="414" t="s">
        <v>6391</v>
      </c>
      <c r="C195" s="413" t="s">
        <v>901</v>
      </c>
      <c r="D195" s="414" t="s">
        <v>6631</v>
      </c>
      <c r="E195" s="413" t="s">
        <v>6025</v>
      </c>
      <c r="F195" s="413" t="s">
        <v>6026</v>
      </c>
      <c r="G195" s="413" t="s">
        <v>6027</v>
      </c>
      <c r="H195" s="413" t="s">
        <v>3349</v>
      </c>
      <c r="I195" s="414" t="s">
        <v>4373</v>
      </c>
      <c r="J195" s="417" t="s">
        <v>2295</v>
      </c>
      <c r="K195" s="417" t="s">
        <v>6648</v>
      </c>
      <c r="L195" s="417"/>
      <c r="M195" s="414" t="s">
        <v>6631</v>
      </c>
      <c r="N195" s="412" t="s">
        <v>3349</v>
      </c>
      <c r="O195" s="412" t="s">
        <v>6649</v>
      </c>
      <c r="P195" s="423" t="s">
        <v>6031</v>
      </c>
      <c r="Q195" s="423" t="s">
        <v>6634</v>
      </c>
      <c r="R195" s="423" t="s">
        <v>6650</v>
      </c>
      <c r="S195" s="423" t="s">
        <v>6650</v>
      </c>
      <c r="T195" s="423"/>
      <c r="U195" s="423"/>
      <c r="V195" s="423"/>
      <c r="W195" s="429" t="s">
        <v>6034</v>
      </c>
      <c r="X195" s="423"/>
      <c r="Y195" s="423"/>
      <c r="Z195" s="423"/>
      <c r="AA195" s="423"/>
      <c r="AB195" s="423"/>
      <c r="AC195" s="423"/>
    </row>
    <row r="196" spans="1:29" ht="27">
      <c r="A196" s="413" t="s">
        <v>545</v>
      </c>
      <c r="B196" s="414" t="s">
        <v>6391</v>
      </c>
      <c r="C196" s="413" t="s">
        <v>901</v>
      </c>
      <c r="D196" s="414" t="s">
        <v>6631</v>
      </c>
      <c r="E196" s="413" t="s">
        <v>6025</v>
      </c>
      <c r="F196" s="413" t="s">
        <v>6026</v>
      </c>
      <c r="G196" s="413" t="s">
        <v>6027</v>
      </c>
      <c r="H196" s="413" t="s">
        <v>3350</v>
      </c>
      <c r="I196" s="414" t="s">
        <v>4373</v>
      </c>
      <c r="J196" s="417" t="s">
        <v>2295</v>
      </c>
      <c r="K196" s="417" t="s">
        <v>6651</v>
      </c>
      <c r="L196" s="417"/>
      <c r="M196" s="414" t="s">
        <v>6631</v>
      </c>
      <c r="N196" s="412" t="s">
        <v>3350</v>
      </c>
      <c r="O196" s="412" t="s">
        <v>6652</v>
      </c>
      <c r="P196" s="423" t="s">
        <v>6031</v>
      </c>
      <c r="Q196" s="423" t="s">
        <v>6634</v>
      </c>
      <c r="R196" s="423" t="s">
        <v>6653</v>
      </c>
      <c r="S196" s="423" t="s">
        <v>6217</v>
      </c>
      <c r="T196" s="423"/>
      <c r="U196" s="423"/>
      <c r="V196" s="423"/>
      <c r="W196" s="429" t="s">
        <v>6034</v>
      </c>
      <c r="X196" s="423"/>
      <c r="Y196" s="423"/>
      <c r="Z196" s="423"/>
      <c r="AA196" s="423"/>
      <c r="AB196" s="423"/>
      <c r="AC196" s="423"/>
    </row>
    <row r="197" spans="1:29" ht="27">
      <c r="A197" s="413" t="s">
        <v>545</v>
      </c>
      <c r="B197" s="414" t="s">
        <v>6391</v>
      </c>
      <c r="C197" s="413" t="s">
        <v>901</v>
      </c>
      <c r="D197" s="414" t="s">
        <v>6631</v>
      </c>
      <c r="E197" s="413" t="s">
        <v>6025</v>
      </c>
      <c r="F197" s="413" t="s">
        <v>6026</v>
      </c>
      <c r="G197" s="413" t="s">
        <v>6027</v>
      </c>
      <c r="H197" s="413" t="s">
        <v>3351</v>
      </c>
      <c r="I197" s="414" t="s">
        <v>4373</v>
      </c>
      <c r="J197" s="417" t="s">
        <v>2301</v>
      </c>
      <c r="K197" s="417" t="s">
        <v>6654</v>
      </c>
      <c r="L197" s="417"/>
      <c r="M197" s="414" t="s">
        <v>6631</v>
      </c>
      <c r="N197" s="412" t="s">
        <v>3351</v>
      </c>
      <c r="O197" s="412" t="s">
        <v>6655</v>
      </c>
      <c r="P197" s="423" t="s">
        <v>6031</v>
      </c>
      <c r="Q197" s="423" t="s">
        <v>6634</v>
      </c>
      <c r="R197" s="423" t="s">
        <v>6656</v>
      </c>
      <c r="S197" s="423" t="s">
        <v>6232</v>
      </c>
      <c r="T197" s="423"/>
      <c r="U197" s="423"/>
      <c r="V197" s="423"/>
      <c r="W197" s="429" t="s">
        <v>6034</v>
      </c>
      <c r="X197" s="423"/>
      <c r="Y197" s="423"/>
      <c r="Z197" s="423"/>
      <c r="AA197" s="423"/>
      <c r="AB197" s="423"/>
      <c r="AC197" s="423"/>
    </row>
    <row r="198" spans="1:29" ht="27">
      <c r="A198" s="413" t="s">
        <v>545</v>
      </c>
      <c r="B198" s="414" t="s">
        <v>6391</v>
      </c>
      <c r="C198" s="413" t="s">
        <v>901</v>
      </c>
      <c r="D198" s="414" t="s">
        <v>6631</v>
      </c>
      <c r="E198" s="413" t="s">
        <v>6025</v>
      </c>
      <c r="F198" s="413" t="s">
        <v>6026</v>
      </c>
      <c r="G198" s="413" t="s">
        <v>6027</v>
      </c>
      <c r="H198" s="413" t="s">
        <v>3352</v>
      </c>
      <c r="I198" s="414" t="s">
        <v>4373</v>
      </c>
      <c r="J198" s="417" t="s">
        <v>2301</v>
      </c>
      <c r="K198" s="417" t="s">
        <v>6657</v>
      </c>
      <c r="L198" s="417"/>
      <c r="M198" s="414" t="s">
        <v>6631</v>
      </c>
      <c r="N198" s="412" t="s">
        <v>3352</v>
      </c>
      <c r="O198" s="412" t="s">
        <v>6658</v>
      </c>
      <c r="P198" s="423" t="s">
        <v>6031</v>
      </c>
      <c r="Q198" s="423" t="s">
        <v>6634</v>
      </c>
      <c r="R198" s="423" t="s">
        <v>6659</v>
      </c>
      <c r="S198" s="423" t="s">
        <v>6660</v>
      </c>
      <c r="T198" s="423"/>
      <c r="U198" s="423"/>
      <c r="V198" s="423"/>
      <c r="W198" s="429" t="s">
        <v>6034</v>
      </c>
      <c r="X198" s="423"/>
      <c r="Y198" s="423"/>
      <c r="Z198" s="423"/>
      <c r="AA198" s="423"/>
      <c r="AB198" s="423"/>
      <c r="AC198" s="423"/>
    </row>
    <row r="199" spans="1:29" ht="27">
      <c r="A199" s="413" t="s">
        <v>545</v>
      </c>
      <c r="B199" s="414" t="s">
        <v>6391</v>
      </c>
      <c r="C199" s="413" t="s">
        <v>901</v>
      </c>
      <c r="D199" s="414" t="s">
        <v>6631</v>
      </c>
      <c r="E199" s="413" t="s">
        <v>6025</v>
      </c>
      <c r="F199" s="413" t="s">
        <v>6026</v>
      </c>
      <c r="G199" s="413" t="s">
        <v>6027</v>
      </c>
      <c r="H199" s="413" t="s">
        <v>6661</v>
      </c>
      <c r="I199" s="414" t="s">
        <v>4373</v>
      </c>
      <c r="J199" s="417" t="s">
        <v>2301</v>
      </c>
      <c r="K199" s="417" t="s">
        <v>6662</v>
      </c>
      <c r="L199" s="417"/>
      <c r="M199" s="414" t="s">
        <v>6631</v>
      </c>
      <c r="N199" s="412" t="s">
        <v>3353</v>
      </c>
      <c r="O199" s="412" t="s">
        <v>6663</v>
      </c>
      <c r="P199" s="423" t="s">
        <v>6031</v>
      </c>
      <c r="Q199" s="423" t="s">
        <v>6664</v>
      </c>
      <c r="R199" s="423" t="s">
        <v>6665</v>
      </c>
      <c r="S199" s="423" t="s">
        <v>6665</v>
      </c>
      <c r="T199" s="423"/>
      <c r="U199" s="423"/>
      <c r="V199" s="423"/>
      <c r="W199" s="429" t="s">
        <v>6034</v>
      </c>
      <c r="X199" s="423"/>
      <c r="Y199" s="423"/>
      <c r="Z199" s="423"/>
      <c r="AA199" s="423"/>
      <c r="AB199" s="423"/>
      <c r="AC199" s="423"/>
    </row>
    <row r="200" spans="1:29" ht="27">
      <c r="A200" s="413" t="s">
        <v>545</v>
      </c>
      <c r="B200" s="414" t="s">
        <v>6391</v>
      </c>
      <c r="C200" s="413" t="s">
        <v>6422</v>
      </c>
      <c r="D200" s="414" t="s">
        <v>5994</v>
      </c>
      <c r="E200" s="413" t="s">
        <v>6025</v>
      </c>
      <c r="F200" s="413" t="s">
        <v>6026</v>
      </c>
      <c r="G200" s="413" t="s">
        <v>6027</v>
      </c>
      <c r="H200" s="423"/>
      <c r="I200" s="423"/>
      <c r="J200" s="423"/>
      <c r="K200" s="423"/>
      <c r="L200" s="423"/>
      <c r="M200" s="414" t="s">
        <v>5994</v>
      </c>
      <c r="N200" s="412" t="s">
        <v>6666</v>
      </c>
      <c r="O200" s="412" t="s">
        <v>6667</v>
      </c>
      <c r="P200" s="423" t="s">
        <v>6031</v>
      </c>
      <c r="Q200" s="423" t="s">
        <v>6396</v>
      </c>
      <c r="R200" s="423" t="s">
        <v>6668</v>
      </c>
      <c r="S200" s="423" t="s">
        <v>6668</v>
      </c>
      <c r="T200" s="423"/>
      <c r="U200" s="423"/>
      <c r="V200" s="423"/>
      <c r="W200" s="429" t="s">
        <v>6266</v>
      </c>
      <c r="X200" s="423"/>
      <c r="Y200" s="423"/>
      <c r="Z200" s="423"/>
      <c r="AA200" s="423"/>
      <c r="AB200" s="423"/>
      <c r="AC200" s="423"/>
    </row>
    <row r="201" spans="1:29" ht="27">
      <c r="A201" s="413" t="s">
        <v>545</v>
      </c>
      <c r="B201" s="414" t="s">
        <v>6391</v>
      </c>
      <c r="C201" s="413" t="s">
        <v>6422</v>
      </c>
      <c r="D201" s="414" t="s">
        <v>5994</v>
      </c>
      <c r="E201" s="413" t="s">
        <v>6025</v>
      </c>
      <c r="F201" s="413" t="s">
        <v>6026</v>
      </c>
      <c r="G201" s="413" t="s">
        <v>6027</v>
      </c>
      <c r="H201" s="423"/>
      <c r="I201" s="423"/>
      <c r="J201" s="423"/>
      <c r="K201" s="423"/>
      <c r="L201" s="423"/>
      <c r="M201" s="414" t="s">
        <v>5994</v>
      </c>
      <c r="N201" s="412" t="s">
        <v>6669</v>
      </c>
      <c r="O201" s="412" t="s">
        <v>6670</v>
      </c>
      <c r="P201" s="423" t="s">
        <v>6031</v>
      </c>
      <c r="Q201" s="423" t="s">
        <v>6396</v>
      </c>
      <c r="R201" s="423" t="s">
        <v>6671</v>
      </c>
      <c r="S201" s="423" t="s">
        <v>6671</v>
      </c>
      <c r="T201" s="423"/>
      <c r="U201" s="423"/>
      <c r="V201" s="423"/>
      <c r="W201" s="429" t="s">
        <v>6266</v>
      </c>
      <c r="X201" s="423"/>
      <c r="Y201" s="423"/>
      <c r="Z201" s="423"/>
      <c r="AA201" s="423"/>
      <c r="AB201" s="423"/>
      <c r="AC201" s="423"/>
    </row>
    <row r="202" spans="1:29" ht="27">
      <c r="A202" s="413" t="s">
        <v>545</v>
      </c>
      <c r="B202" s="414" t="s">
        <v>6391</v>
      </c>
      <c r="C202" s="413" t="s">
        <v>895</v>
      </c>
      <c r="D202" s="414" t="s">
        <v>6429</v>
      </c>
      <c r="E202" s="413" t="s">
        <v>6025</v>
      </c>
      <c r="F202" s="413" t="s">
        <v>6026</v>
      </c>
      <c r="G202" s="413" t="s">
        <v>6027</v>
      </c>
      <c r="H202" s="423"/>
      <c r="I202" s="423"/>
      <c r="J202" s="423"/>
      <c r="K202" s="423"/>
      <c r="L202" s="423"/>
      <c r="M202" s="414" t="s">
        <v>6429</v>
      </c>
      <c r="N202" s="412" t="s">
        <v>6672</v>
      </c>
      <c r="O202" s="412" t="s">
        <v>6673</v>
      </c>
      <c r="P202" s="423" t="s">
        <v>6031</v>
      </c>
      <c r="Q202" s="423" t="s">
        <v>6433</v>
      </c>
      <c r="R202" s="423" t="s">
        <v>6674</v>
      </c>
      <c r="S202" s="423" t="s">
        <v>6674</v>
      </c>
      <c r="T202" s="423"/>
      <c r="U202" s="423"/>
      <c r="V202" s="423"/>
      <c r="W202" s="429" t="s">
        <v>6266</v>
      </c>
      <c r="X202" s="423"/>
      <c r="Y202" s="423"/>
      <c r="Z202" s="423"/>
      <c r="AA202" s="423"/>
      <c r="AB202" s="423"/>
      <c r="AC202" s="423"/>
    </row>
    <row r="203" spans="1:29" ht="27">
      <c r="A203" s="413" t="s">
        <v>545</v>
      </c>
      <c r="B203" s="414" t="s">
        <v>6391</v>
      </c>
      <c r="C203" s="413" t="s">
        <v>896</v>
      </c>
      <c r="D203" s="414" t="s">
        <v>6441</v>
      </c>
      <c r="E203" s="413" t="s">
        <v>6025</v>
      </c>
      <c r="F203" s="413" t="s">
        <v>6026</v>
      </c>
      <c r="G203" s="413" t="s">
        <v>6027</v>
      </c>
      <c r="H203" s="423"/>
      <c r="I203" s="423"/>
      <c r="J203" s="423"/>
      <c r="K203" s="423"/>
      <c r="L203" s="423"/>
      <c r="M203" s="414" t="s">
        <v>6441</v>
      </c>
      <c r="N203" s="412" t="s">
        <v>6675</v>
      </c>
      <c r="O203" s="412" t="s">
        <v>6676</v>
      </c>
      <c r="P203" s="423" t="s">
        <v>6031</v>
      </c>
      <c r="Q203" s="423" t="s">
        <v>6444</v>
      </c>
      <c r="R203" s="423" t="s">
        <v>6677</v>
      </c>
      <c r="S203" s="423" t="s">
        <v>6677</v>
      </c>
      <c r="T203" s="423"/>
      <c r="U203" s="423"/>
      <c r="V203" s="423"/>
      <c r="W203" s="429" t="s">
        <v>6266</v>
      </c>
      <c r="X203" s="423"/>
      <c r="Y203" s="423"/>
      <c r="Z203" s="423"/>
      <c r="AA203" s="423"/>
      <c r="AB203" s="423"/>
      <c r="AC203" s="423"/>
    </row>
    <row r="204" spans="1:29" ht="27">
      <c r="A204" s="413" t="s">
        <v>545</v>
      </c>
      <c r="B204" s="414" t="s">
        <v>6391</v>
      </c>
      <c r="C204" s="413" t="s">
        <v>896</v>
      </c>
      <c r="D204" s="414" t="s">
        <v>6441</v>
      </c>
      <c r="E204" s="413" t="s">
        <v>6025</v>
      </c>
      <c r="F204" s="413" t="s">
        <v>6026</v>
      </c>
      <c r="G204" s="413" t="s">
        <v>6027</v>
      </c>
      <c r="H204" s="423"/>
      <c r="I204" s="423"/>
      <c r="J204" s="423"/>
      <c r="K204" s="423"/>
      <c r="L204" s="423"/>
      <c r="M204" s="414" t="s">
        <v>6441</v>
      </c>
      <c r="N204" s="412" t="s">
        <v>6678</v>
      </c>
      <c r="O204" s="412" t="s">
        <v>6679</v>
      </c>
      <c r="P204" s="423" t="s">
        <v>6031</v>
      </c>
      <c r="Q204" s="423" t="s">
        <v>6444</v>
      </c>
      <c r="R204" s="423" t="s">
        <v>6445</v>
      </c>
      <c r="S204" s="423" t="s">
        <v>6445</v>
      </c>
      <c r="T204" s="423"/>
      <c r="U204" s="423"/>
      <c r="V204" s="423"/>
      <c r="W204" s="429" t="s">
        <v>6266</v>
      </c>
      <c r="X204" s="423"/>
      <c r="Y204" s="423"/>
      <c r="Z204" s="423"/>
      <c r="AA204" s="423"/>
      <c r="AB204" s="423"/>
      <c r="AC204" s="423"/>
    </row>
    <row r="205" spans="1:29" ht="27">
      <c r="A205" s="413" t="s">
        <v>545</v>
      </c>
      <c r="B205" s="414" t="s">
        <v>6391</v>
      </c>
      <c r="C205" s="413" t="s">
        <v>896</v>
      </c>
      <c r="D205" s="414" t="s">
        <v>6441</v>
      </c>
      <c r="E205" s="413" t="s">
        <v>6025</v>
      </c>
      <c r="F205" s="413" t="s">
        <v>6026</v>
      </c>
      <c r="G205" s="413" t="s">
        <v>6027</v>
      </c>
      <c r="H205" s="423"/>
      <c r="I205" s="423"/>
      <c r="J205" s="423"/>
      <c r="K205" s="423"/>
      <c r="L205" s="423"/>
      <c r="M205" s="414" t="s">
        <v>6441</v>
      </c>
      <c r="N205" s="412" t="s">
        <v>6680</v>
      </c>
      <c r="O205" s="412" t="s">
        <v>6681</v>
      </c>
      <c r="P205" s="423" t="s">
        <v>6031</v>
      </c>
      <c r="Q205" s="423" t="s">
        <v>6444</v>
      </c>
      <c r="R205" s="423" t="s">
        <v>6682</v>
      </c>
      <c r="S205" s="423" t="s">
        <v>6682</v>
      </c>
      <c r="T205" s="423"/>
      <c r="U205" s="423"/>
      <c r="V205" s="423"/>
      <c r="W205" s="429" t="s">
        <v>6266</v>
      </c>
      <c r="X205" s="423"/>
      <c r="Y205" s="423"/>
      <c r="Z205" s="423"/>
      <c r="AA205" s="423"/>
      <c r="AB205" s="423"/>
      <c r="AC205" s="423"/>
    </row>
    <row r="206" spans="1:29" ht="27">
      <c r="A206" s="413" t="s">
        <v>545</v>
      </c>
      <c r="B206" s="414" t="s">
        <v>6391</v>
      </c>
      <c r="C206" s="413" t="s">
        <v>897</v>
      </c>
      <c r="D206" s="414" t="s">
        <v>6455</v>
      </c>
      <c r="E206" s="413" t="s">
        <v>6025</v>
      </c>
      <c r="F206" s="413" t="s">
        <v>6026</v>
      </c>
      <c r="G206" s="413" t="s">
        <v>6027</v>
      </c>
      <c r="H206" s="423"/>
      <c r="I206" s="423"/>
      <c r="J206" s="423"/>
      <c r="K206" s="423"/>
      <c r="L206" s="423"/>
      <c r="M206" s="414" t="s">
        <v>6455</v>
      </c>
      <c r="N206" s="412" t="s">
        <v>6683</v>
      </c>
      <c r="O206" s="412" t="s">
        <v>6684</v>
      </c>
      <c r="P206" s="423" t="s">
        <v>6031</v>
      </c>
      <c r="Q206" s="423" t="s">
        <v>6458</v>
      </c>
      <c r="R206" s="423" t="s">
        <v>6685</v>
      </c>
      <c r="S206" s="423" t="s">
        <v>6685</v>
      </c>
      <c r="T206" s="423"/>
      <c r="U206" s="423"/>
      <c r="V206" s="423"/>
      <c r="W206" s="429" t="s">
        <v>6266</v>
      </c>
      <c r="X206" s="423"/>
      <c r="Y206" s="423"/>
      <c r="Z206" s="423"/>
      <c r="AA206" s="423"/>
      <c r="AB206" s="423"/>
      <c r="AC206" s="423"/>
    </row>
    <row r="207" spans="1:29">
      <c r="A207" s="413" t="s">
        <v>545</v>
      </c>
      <c r="B207" s="414" t="s">
        <v>6391</v>
      </c>
      <c r="C207" s="413" t="s">
        <v>898</v>
      </c>
      <c r="D207" s="414" t="s">
        <v>4369</v>
      </c>
      <c r="E207" s="413" t="s">
        <v>6025</v>
      </c>
      <c r="F207" s="413" t="s">
        <v>6026</v>
      </c>
      <c r="G207" s="413" t="s">
        <v>6027</v>
      </c>
      <c r="H207" s="423"/>
      <c r="I207" s="423"/>
      <c r="J207" s="423"/>
      <c r="K207" s="423"/>
      <c r="L207" s="423"/>
      <c r="M207" s="414" t="s">
        <v>4369</v>
      </c>
      <c r="N207" s="412" t="s">
        <v>6686</v>
      </c>
      <c r="O207" s="412" t="s">
        <v>6687</v>
      </c>
      <c r="P207" s="423" t="s">
        <v>6031</v>
      </c>
      <c r="Q207" s="423" t="s">
        <v>6688</v>
      </c>
      <c r="R207" s="423" t="s">
        <v>6689</v>
      </c>
      <c r="S207" s="423" t="s">
        <v>6689</v>
      </c>
      <c r="T207" s="423"/>
      <c r="U207" s="423"/>
      <c r="V207" s="423"/>
      <c r="W207" s="429" t="s">
        <v>6266</v>
      </c>
      <c r="X207" s="423"/>
      <c r="Y207" s="423"/>
      <c r="Z207" s="423"/>
      <c r="AA207" s="423"/>
      <c r="AB207" s="423"/>
      <c r="AC207" s="423"/>
    </row>
    <row r="208" spans="1:29" ht="31.5" customHeight="1">
      <c r="A208" s="413" t="s">
        <v>545</v>
      </c>
      <c r="B208" s="414" t="s">
        <v>6391</v>
      </c>
      <c r="C208" s="413" t="s">
        <v>898</v>
      </c>
      <c r="D208" s="414" t="s">
        <v>4369</v>
      </c>
      <c r="E208" s="413" t="s">
        <v>6025</v>
      </c>
      <c r="F208" s="413" t="s">
        <v>6026</v>
      </c>
      <c r="G208" s="413" t="s">
        <v>6027</v>
      </c>
      <c r="H208" s="423"/>
      <c r="I208" s="423"/>
      <c r="J208" s="423"/>
      <c r="K208" s="423"/>
      <c r="L208" s="423"/>
      <c r="M208" s="414" t="s">
        <v>4369</v>
      </c>
      <c r="N208" s="412" t="s">
        <v>6690</v>
      </c>
      <c r="O208" s="412" t="s">
        <v>6691</v>
      </c>
      <c r="P208" s="423" t="s">
        <v>6031</v>
      </c>
      <c r="Q208" s="423" t="s">
        <v>6688</v>
      </c>
      <c r="R208" s="423" t="s">
        <v>6692</v>
      </c>
      <c r="S208" s="423" t="s">
        <v>6692</v>
      </c>
      <c r="T208" s="423"/>
      <c r="U208" s="423"/>
      <c r="V208" s="423"/>
      <c r="W208" s="429" t="s">
        <v>6266</v>
      </c>
      <c r="X208" s="423"/>
      <c r="Y208" s="423"/>
      <c r="Z208" s="423"/>
      <c r="AA208" s="423"/>
      <c r="AB208" s="423"/>
      <c r="AC208" s="423"/>
    </row>
    <row r="209" spans="1:29">
      <c r="A209" s="413" t="s">
        <v>545</v>
      </c>
      <c r="B209" s="414" t="s">
        <v>6391</v>
      </c>
      <c r="C209" s="413" t="s">
        <v>898</v>
      </c>
      <c r="D209" s="414" t="s">
        <v>4369</v>
      </c>
      <c r="E209" s="413" t="s">
        <v>6025</v>
      </c>
      <c r="F209" s="413" t="s">
        <v>6026</v>
      </c>
      <c r="G209" s="413" t="s">
        <v>6027</v>
      </c>
      <c r="H209" s="423"/>
      <c r="I209" s="423"/>
      <c r="J209" s="423"/>
      <c r="K209" s="423"/>
      <c r="L209" s="423"/>
      <c r="M209" s="414" t="s">
        <v>4369</v>
      </c>
      <c r="N209" s="412" t="s">
        <v>6693</v>
      </c>
      <c r="O209" s="412" t="s">
        <v>6694</v>
      </c>
      <c r="P209" s="423" t="s">
        <v>6031</v>
      </c>
      <c r="Q209" s="423" t="s">
        <v>6688</v>
      </c>
      <c r="R209" s="423" t="s">
        <v>6695</v>
      </c>
      <c r="S209" s="423" t="s">
        <v>6695</v>
      </c>
      <c r="T209" s="423"/>
      <c r="U209" s="423"/>
      <c r="V209" s="423"/>
      <c r="W209" s="429" t="s">
        <v>6266</v>
      </c>
      <c r="X209" s="423"/>
      <c r="Y209" s="423"/>
      <c r="Z209" s="423"/>
      <c r="AA209" s="423"/>
      <c r="AB209" s="423"/>
      <c r="AC209" s="423"/>
    </row>
    <row r="210" spans="1:29">
      <c r="A210" s="413" t="s">
        <v>545</v>
      </c>
      <c r="B210" s="414" t="s">
        <v>6391</v>
      </c>
      <c r="C210" s="413" t="s">
        <v>898</v>
      </c>
      <c r="D210" s="414" t="s">
        <v>4369</v>
      </c>
      <c r="E210" s="413" t="s">
        <v>6025</v>
      </c>
      <c r="F210" s="413" t="s">
        <v>6026</v>
      </c>
      <c r="G210" s="413" t="s">
        <v>6027</v>
      </c>
      <c r="H210" s="423"/>
      <c r="I210" s="423"/>
      <c r="J210" s="423"/>
      <c r="K210" s="423"/>
      <c r="L210" s="423"/>
      <c r="M210" s="414" t="s">
        <v>4369</v>
      </c>
      <c r="N210" s="412" t="s">
        <v>6696</v>
      </c>
      <c r="O210" s="412" t="s">
        <v>6697</v>
      </c>
      <c r="P210" s="423" t="s">
        <v>6031</v>
      </c>
      <c r="Q210" s="423" t="s">
        <v>6688</v>
      </c>
      <c r="R210" s="423" t="s">
        <v>6698</v>
      </c>
      <c r="S210" s="423" t="s">
        <v>6698</v>
      </c>
      <c r="T210" s="423"/>
      <c r="U210" s="423"/>
      <c r="V210" s="423"/>
      <c r="W210" s="429" t="s">
        <v>6266</v>
      </c>
      <c r="X210" s="423"/>
      <c r="Y210" s="423"/>
      <c r="Z210" s="423"/>
      <c r="AA210" s="423"/>
      <c r="AB210" s="423"/>
      <c r="AC210" s="423"/>
    </row>
    <row r="211" spans="1:29">
      <c r="A211" s="413" t="s">
        <v>545</v>
      </c>
      <c r="B211" s="414" t="s">
        <v>6391</v>
      </c>
      <c r="C211" s="413" t="s">
        <v>898</v>
      </c>
      <c r="D211" s="414" t="s">
        <v>4369</v>
      </c>
      <c r="E211" s="413" t="s">
        <v>6025</v>
      </c>
      <c r="F211" s="413" t="s">
        <v>6026</v>
      </c>
      <c r="G211" s="413" t="s">
        <v>6027</v>
      </c>
      <c r="H211" s="423"/>
      <c r="I211" s="423"/>
      <c r="J211" s="423"/>
      <c r="K211" s="423"/>
      <c r="L211" s="423"/>
      <c r="M211" s="414" t="s">
        <v>4369</v>
      </c>
      <c r="N211" s="412" t="s">
        <v>6699</v>
      </c>
      <c r="O211" s="412" t="s">
        <v>6700</v>
      </c>
      <c r="P211" s="423" t="s">
        <v>6031</v>
      </c>
      <c r="Q211" s="423" t="s">
        <v>6433</v>
      </c>
      <c r="R211" s="423" t="s">
        <v>6701</v>
      </c>
      <c r="S211" s="423" t="s">
        <v>6701</v>
      </c>
      <c r="T211" s="423"/>
      <c r="U211" s="423"/>
      <c r="V211" s="423"/>
      <c r="W211" s="429" t="s">
        <v>6266</v>
      </c>
      <c r="X211" s="423"/>
      <c r="Y211" s="423"/>
      <c r="Z211" s="423"/>
      <c r="AA211" s="423"/>
      <c r="AB211" s="423"/>
      <c r="AC211" s="423"/>
    </row>
    <row r="212" spans="1:29">
      <c r="A212" s="413" t="s">
        <v>545</v>
      </c>
      <c r="B212" s="414" t="s">
        <v>6391</v>
      </c>
      <c r="C212" s="413" t="s">
        <v>898</v>
      </c>
      <c r="D212" s="414" t="s">
        <v>4369</v>
      </c>
      <c r="E212" s="413" t="s">
        <v>6025</v>
      </c>
      <c r="F212" s="413" t="s">
        <v>6026</v>
      </c>
      <c r="G212" s="413" t="s">
        <v>6027</v>
      </c>
      <c r="H212" s="423"/>
      <c r="I212" s="423"/>
      <c r="J212" s="423"/>
      <c r="K212" s="423"/>
      <c r="L212" s="423"/>
      <c r="M212" s="414" t="s">
        <v>4369</v>
      </c>
      <c r="N212" s="412" t="s">
        <v>6702</v>
      </c>
      <c r="O212" s="412" t="s">
        <v>6703</v>
      </c>
      <c r="P212" s="423" t="s">
        <v>6031</v>
      </c>
      <c r="Q212" s="423" t="s">
        <v>6433</v>
      </c>
      <c r="R212" s="423" t="s">
        <v>6704</v>
      </c>
      <c r="S212" s="423" t="s">
        <v>6704</v>
      </c>
      <c r="T212" s="423"/>
      <c r="U212" s="423"/>
      <c r="V212" s="423"/>
      <c r="W212" s="429" t="s">
        <v>6266</v>
      </c>
      <c r="X212" s="423"/>
      <c r="Y212" s="423"/>
      <c r="Z212" s="423"/>
      <c r="AA212" s="423"/>
      <c r="AB212" s="423"/>
      <c r="AC212" s="423"/>
    </row>
    <row r="213" spans="1:29">
      <c r="A213" s="413" t="s">
        <v>545</v>
      </c>
      <c r="B213" s="414" t="s">
        <v>6391</v>
      </c>
      <c r="C213" s="413" t="s">
        <v>898</v>
      </c>
      <c r="D213" s="414" t="s">
        <v>4369</v>
      </c>
      <c r="E213" s="413" t="s">
        <v>6025</v>
      </c>
      <c r="F213" s="413" t="s">
        <v>6026</v>
      </c>
      <c r="G213" s="413" t="s">
        <v>6027</v>
      </c>
      <c r="H213" s="423"/>
      <c r="I213" s="423"/>
      <c r="J213" s="423"/>
      <c r="K213" s="423"/>
      <c r="L213" s="423"/>
      <c r="M213" s="414" t="s">
        <v>4369</v>
      </c>
      <c r="N213" s="412" t="s">
        <v>6705</v>
      </c>
      <c r="O213" s="412" t="s">
        <v>6706</v>
      </c>
      <c r="P213" s="423" t="s">
        <v>6031</v>
      </c>
      <c r="Q213" s="423" t="s">
        <v>6433</v>
      </c>
      <c r="R213" s="423" t="s">
        <v>6707</v>
      </c>
      <c r="S213" s="423" t="s">
        <v>6707</v>
      </c>
      <c r="T213" s="423"/>
      <c r="U213" s="423"/>
      <c r="V213" s="423"/>
      <c r="W213" s="429" t="s">
        <v>6266</v>
      </c>
      <c r="X213" s="423"/>
      <c r="Y213" s="423"/>
      <c r="Z213" s="423"/>
      <c r="AA213" s="423"/>
      <c r="AB213" s="423"/>
      <c r="AC213" s="423"/>
    </row>
    <row r="214" spans="1:29">
      <c r="A214" s="413" t="s">
        <v>545</v>
      </c>
      <c r="B214" s="414" t="s">
        <v>6391</v>
      </c>
      <c r="C214" s="413" t="s">
        <v>898</v>
      </c>
      <c r="D214" s="414" t="s">
        <v>4369</v>
      </c>
      <c r="E214" s="413" t="s">
        <v>6025</v>
      </c>
      <c r="F214" s="413" t="s">
        <v>6026</v>
      </c>
      <c r="G214" s="413" t="s">
        <v>6027</v>
      </c>
      <c r="H214" s="423"/>
      <c r="I214" s="423"/>
      <c r="J214" s="423"/>
      <c r="K214" s="423"/>
      <c r="L214" s="423"/>
      <c r="M214" s="414" t="s">
        <v>4369</v>
      </c>
      <c r="N214" s="412" t="s">
        <v>6708</v>
      </c>
      <c r="O214" s="412" t="s">
        <v>6709</v>
      </c>
      <c r="P214" s="423" t="s">
        <v>6031</v>
      </c>
      <c r="Q214" s="423" t="s">
        <v>6433</v>
      </c>
      <c r="R214" s="423" t="s">
        <v>6710</v>
      </c>
      <c r="S214" s="423" t="s">
        <v>6710</v>
      </c>
      <c r="T214" s="423"/>
      <c r="U214" s="423"/>
      <c r="V214" s="423"/>
      <c r="W214" s="429" t="s">
        <v>6266</v>
      </c>
      <c r="X214" s="423"/>
      <c r="Y214" s="423"/>
      <c r="Z214" s="423"/>
      <c r="AA214" s="423"/>
      <c r="AB214" s="423"/>
      <c r="AC214" s="423"/>
    </row>
    <row r="215" spans="1:29" ht="27">
      <c r="A215" s="413" t="s">
        <v>545</v>
      </c>
      <c r="B215" s="414" t="s">
        <v>6391</v>
      </c>
      <c r="C215" s="413" t="s">
        <v>900</v>
      </c>
      <c r="D215" s="414" t="s">
        <v>6564</v>
      </c>
      <c r="E215" s="413" t="s">
        <v>6025</v>
      </c>
      <c r="F215" s="413" t="s">
        <v>6026</v>
      </c>
      <c r="G215" s="413" t="s">
        <v>6027</v>
      </c>
      <c r="H215" s="423"/>
      <c r="I215" s="423"/>
      <c r="J215" s="423"/>
      <c r="K215" s="423"/>
      <c r="L215" s="417"/>
      <c r="M215" s="414" t="s">
        <v>6564</v>
      </c>
      <c r="N215" s="412" t="s">
        <v>6711</v>
      </c>
      <c r="O215" s="412" t="s">
        <v>6712</v>
      </c>
      <c r="P215" s="423" t="s">
        <v>6247</v>
      </c>
      <c r="Q215" s="423" t="s">
        <v>6591</v>
      </c>
      <c r="R215" s="423" t="s">
        <v>6713</v>
      </c>
      <c r="S215" s="423" t="s">
        <v>6713</v>
      </c>
      <c r="T215" s="423"/>
      <c r="U215" s="423"/>
      <c r="V215" s="423"/>
      <c r="W215" s="429" t="s">
        <v>6266</v>
      </c>
      <c r="X215" s="423"/>
      <c r="Y215" s="423"/>
      <c r="Z215" s="423"/>
      <c r="AA215" s="423"/>
      <c r="AB215" s="423"/>
      <c r="AC215" s="423"/>
    </row>
    <row r="216" spans="1:29" ht="27">
      <c r="A216" s="413" t="s">
        <v>545</v>
      </c>
      <c r="B216" s="414" t="s">
        <v>6391</v>
      </c>
      <c r="C216" s="413" t="s">
        <v>900</v>
      </c>
      <c r="D216" s="414" t="s">
        <v>6564</v>
      </c>
      <c r="E216" s="413" t="s">
        <v>6025</v>
      </c>
      <c r="F216" s="413" t="s">
        <v>6026</v>
      </c>
      <c r="G216" s="413" t="s">
        <v>6027</v>
      </c>
      <c r="H216" s="423"/>
      <c r="I216" s="423"/>
      <c r="J216" s="423"/>
      <c r="K216" s="423"/>
      <c r="L216" s="417"/>
      <c r="M216" s="414" t="s">
        <v>6564</v>
      </c>
      <c r="N216" s="412" t="s">
        <v>6714</v>
      </c>
      <c r="O216" s="412" t="s">
        <v>6715</v>
      </c>
      <c r="P216" s="423" t="s">
        <v>6247</v>
      </c>
      <c r="Q216" s="423" t="s">
        <v>6716</v>
      </c>
      <c r="R216" s="424" t="s">
        <v>6717</v>
      </c>
      <c r="S216" s="424" t="s">
        <v>6717</v>
      </c>
      <c r="T216" s="423"/>
      <c r="U216" s="423"/>
      <c r="V216" s="423"/>
      <c r="W216" s="429" t="s">
        <v>6266</v>
      </c>
      <c r="X216" s="423"/>
      <c r="Y216" s="423"/>
      <c r="Z216" s="423"/>
      <c r="AA216" s="423"/>
      <c r="AB216" s="423"/>
      <c r="AC216" s="423"/>
    </row>
    <row r="217" spans="1:29" ht="27">
      <c r="A217" s="413" t="s">
        <v>545</v>
      </c>
      <c r="B217" s="414" t="s">
        <v>6391</v>
      </c>
      <c r="C217" s="413" t="s">
        <v>900</v>
      </c>
      <c r="D217" s="414" t="s">
        <v>6564</v>
      </c>
      <c r="E217" s="413" t="s">
        <v>6025</v>
      </c>
      <c r="F217" s="413" t="s">
        <v>6026</v>
      </c>
      <c r="G217" s="413" t="s">
        <v>6027</v>
      </c>
      <c r="H217" s="423"/>
      <c r="I217" s="423"/>
      <c r="J217" s="423"/>
      <c r="K217" s="423"/>
      <c r="L217" s="417"/>
      <c r="M217" s="414" t="s">
        <v>6564</v>
      </c>
      <c r="N217" s="412" t="s">
        <v>6718</v>
      </c>
      <c r="O217" s="412" t="s">
        <v>6719</v>
      </c>
      <c r="P217" s="423" t="s">
        <v>6247</v>
      </c>
      <c r="Q217" s="423" t="s">
        <v>6720</v>
      </c>
      <c r="R217" s="423" t="s">
        <v>6721</v>
      </c>
      <c r="S217" s="423" t="s">
        <v>6721</v>
      </c>
      <c r="T217" s="423"/>
      <c r="U217" s="423"/>
      <c r="V217" s="423"/>
      <c r="W217" s="429" t="s">
        <v>6266</v>
      </c>
      <c r="X217" s="423"/>
      <c r="Y217" s="423"/>
      <c r="Z217" s="423"/>
      <c r="AA217" s="423"/>
      <c r="AB217" s="423"/>
      <c r="AC217" s="423"/>
    </row>
    <row r="218" spans="1:29" ht="27">
      <c r="A218" s="413" t="s">
        <v>545</v>
      </c>
      <c r="B218" s="414" t="s">
        <v>6391</v>
      </c>
      <c r="C218" s="413" t="s">
        <v>900</v>
      </c>
      <c r="D218" s="414" t="s">
        <v>6564</v>
      </c>
      <c r="E218" s="413" t="s">
        <v>6025</v>
      </c>
      <c r="F218" s="413" t="s">
        <v>6026</v>
      </c>
      <c r="G218" s="413" t="s">
        <v>6027</v>
      </c>
      <c r="H218" s="423"/>
      <c r="I218" s="423"/>
      <c r="J218" s="423"/>
      <c r="K218" s="423"/>
      <c r="L218" s="417"/>
      <c r="M218" s="414" t="s">
        <v>6564</v>
      </c>
      <c r="N218" s="412" t="s">
        <v>6722</v>
      </c>
      <c r="O218" s="412" t="s">
        <v>6723</v>
      </c>
      <c r="P218" s="423" t="s">
        <v>6247</v>
      </c>
      <c r="Q218" s="423" t="s">
        <v>6720</v>
      </c>
      <c r="R218" s="423" t="s">
        <v>6724</v>
      </c>
      <c r="S218" s="423" t="s">
        <v>6724</v>
      </c>
      <c r="T218" s="423"/>
      <c r="U218" s="423"/>
      <c r="V218" s="423"/>
      <c r="W218" s="429" t="s">
        <v>6266</v>
      </c>
      <c r="X218" s="423"/>
      <c r="Y218" s="423"/>
      <c r="Z218" s="423"/>
      <c r="AA218" s="423"/>
      <c r="AB218" s="423"/>
      <c r="AC218" s="423"/>
    </row>
    <row r="219" spans="1:29" ht="27">
      <c r="A219" s="413" t="s">
        <v>545</v>
      </c>
      <c r="B219" s="414" t="s">
        <v>6391</v>
      </c>
      <c r="C219" s="413" t="s">
        <v>900</v>
      </c>
      <c r="D219" s="414" t="s">
        <v>6564</v>
      </c>
      <c r="E219" s="413" t="s">
        <v>6025</v>
      </c>
      <c r="F219" s="413" t="s">
        <v>6026</v>
      </c>
      <c r="G219" s="413" t="s">
        <v>6027</v>
      </c>
      <c r="H219" s="423"/>
      <c r="I219" s="423"/>
      <c r="J219" s="423"/>
      <c r="K219" s="423"/>
      <c r="L219" s="417"/>
      <c r="M219" s="414" t="s">
        <v>6564</v>
      </c>
      <c r="N219" s="412" t="s">
        <v>6725</v>
      </c>
      <c r="O219" s="412" t="s">
        <v>6726</v>
      </c>
      <c r="P219" s="423" t="s">
        <v>6247</v>
      </c>
      <c r="Q219" s="423" t="s">
        <v>6720</v>
      </c>
      <c r="R219" s="423" t="s">
        <v>6727</v>
      </c>
      <c r="S219" s="423" t="s">
        <v>6727</v>
      </c>
      <c r="T219" s="423"/>
      <c r="U219" s="423"/>
      <c r="V219" s="423"/>
      <c r="W219" s="429" t="s">
        <v>6266</v>
      </c>
      <c r="X219" s="423"/>
      <c r="Y219" s="423"/>
      <c r="Z219" s="423"/>
      <c r="AA219" s="423"/>
      <c r="AB219" s="423"/>
      <c r="AC219" s="423"/>
    </row>
    <row r="220" spans="1:29" ht="27">
      <c r="A220" s="413" t="s">
        <v>545</v>
      </c>
      <c r="B220" s="414" t="s">
        <v>6391</v>
      </c>
      <c r="C220" s="413" t="s">
        <v>901</v>
      </c>
      <c r="D220" s="414" t="s">
        <v>6631</v>
      </c>
      <c r="E220" s="413" t="s">
        <v>6025</v>
      </c>
      <c r="F220" s="413" t="s">
        <v>6026</v>
      </c>
      <c r="G220" s="413" t="s">
        <v>6027</v>
      </c>
      <c r="H220" s="423"/>
      <c r="I220" s="423"/>
      <c r="J220" s="423"/>
      <c r="K220" s="423"/>
      <c r="L220" s="417"/>
      <c r="M220" s="414" t="s">
        <v>6631</v>
      </c>
      <c r="N220" s="412" t="s">
        <v>6728</v>
      </c>
      <c r="O220" s="412" t="s">
        <v>6729</v>
      </c>
      <c r="P220" s="423" t="s">
        <v>6031</v>
      </c>
      <c r="Q220" s="423" t="s">
        <v>6664</v>
      </c>
      <c r="R220" s="423" t="s">
        <v>6730</v>
      </c>
      <c r="S220" s="423" t="s">
        <v>6730</v>
      </c>
      <c r="T220" s="423"/>
      <c r="U220" s="423"/>
      <c r="V220" s="423"/>
      <c r="W220" s="429" t="s">
        <v>6266</v>
      </c>
      <c r="X220" s="423"/>
      <c r="Y220" s="423"/>
      <c r="Z220" s="423"/>
      <c r="AA220" s="423"/>
      <c r="AB220" s="423"/>
      <c r="AC220" s="423"/>
    </row>
  </sheetData>
  <autoFilter ref="A1:AC220">
    <sortState ref="A2:AC220">
      <sortCondition ref="N1:N220"/>
    </sortState>
  </autoFilter>
  <phoneticPr fontId="15" type="noConversion"/>
  <conditionalFormatting sqref="A1:D1">
    <cfRule type="expression" dxfId="181" priority="5">
      <formula>$Y$1:$Y$1533="삭제"</formula>
    </cfRule>
  </conditionalFormatting>
  <conditionalFormatting sqref="E1:F1">
    <cfRule type="expression" dxfId="180" priority="4">
      <formula>$W$1:$W$1533="삭제"</formula>
    </cfRule>
  </conditionalFormatting>
  <conditionalFormatting sqref="G1:H1 N1:O1">
    <cfRule type="expression" dxfId="179" priority="7">
      <formula>$AF$1:$AF$2951="삭제"</formula>
    </cfRule>
  </conditionalFormatting>
  <conditionalFormatting sqref="I1">
    <cfRule type="expression" dxfId="178" priority="2">
      <formula>$AC$1:$AC$1530="삭제"</formula>
    </cfRule>
  </conditionalFormatting>
  <conditionalFormatting sqref="J1:L1">
    <cfRule type="expression" dxfId="177" priority="3">
      <formula>$AF$1:$AF$2948="삭제"</formula>
    </cfRule>
  </conditionalFormatting>
  <conditionalFormatting sqref="M1">
    <cfRule type="expression" dxfId="176" priority="1">
      <formula>$Y$1:$Y$1533="삭제"</formula>
    </cfRule>
  </conditionalFormatting>
  <conditionalFormatting sqref="P1">
    <cfRule type="expression" dxfId="175" priority="8">
      <formula>$AC$1:$AC$1530="삭제"</formula>
    </cfRule>
  </conditionalFormatting>
  <conditionalFormatting sqref="Q1:S1">
    <cfRule type="expression" dxfId="174" priority="9">
      <formula>$AF$1:$AF$2948="삭제"</formula>
    </cfRule>
  </conditionalFormatting>
  <conditionalFormatting sqref="T1:AC1">
    <cfRule type="expression" dxfId="173" priority="6">
      <formula>$AF$1:$AF$2951="삭제"</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05"/>
  <sheetViews>
    <sheetView view="pageBreakPreview" zoomScale="70" zoomScaleNormal="85" zoomScaleSheetLayoutView="70" workbookViewId="0">
      <pane ySplit="5" topLeftCell="A81" activePane="bottomLeft" state="frozen"/>
      <selection activeCell="I44" sqref="I44"/>
      <selection pane="bottomLeft" activeCell="G114" sqref="G114"/>
    </sheetView>
  </sheetViews>
  <sheetFormatPr defaultColWidth="9" defaultRowHeight="19.5" customHeight="1"/>
  <cols>
    <col min="1" max="1" width="5.28515625" style="144" customWidth="1"/>
    <col min="2" max="2" width="5" style="144" hidden="1" customWidth="1"/>
    <col min="3" max="3" width="4.7109375" style="173" bestFit="1" customWidth="1"/>
    <col min="4" max="4" width="19.140625" style="174" customWidth="1"/>
    <col min="5" max="5" width="40.28515625" style="175" bestFit="1" customWidth="1"/>
    <col min="6" max="6" width="16.7109375" style="175" bestFit="1" customWidth="1"/>
    <col min="7" max="7" width="40.28515625" style="174" customWidth="1"/>
    <col min="8" max="8" width="32.28515625" style="176" customWidth="1"/>
    <col min="9" max="9" width="52.28515625" style="176" customWidth="1"/>
    <col min="10" max="10" width="4.140625" style="144" customWidth="1"/>
    <col min="11" max="11" width="9.28515625" style="144" customWidth="1"/>
    <col min="12" max="12" width="11.85546875" style="144" customWidth="1"/>
    <col min="13" max="13" width="10.28515625" style="144" customWidth="1"/>
    <col min="14" max="14" width="9.28515625" style="144" customWidth="1"/>
    <col min="15" max="15" width="12.85546875" style="144" customWidth="1"/>
    <col min="16" max="16" width="12" style="144" bestFit="1" customWidth="1"/>
    <col min="17" max="17" width="21.28515625" style="144" hidden="1" customWidth="1"/>
    <col min="18" max="18" width="9" style="144"/>
    <col min="19" max="19" width="12.7109375" style="144" bestFit="1" customWidth="1"/>
    <col min="20" max="16384" width="9" style="144"/>
  </cols>
  <sheetData>
    <row r="1" spans="3:17" s="125" customFormat="1" ht="19.5" customHeight="1">
      <c r="C1" s="122"/>
      <c r="D1" s="123"/>
      <c r="E1" s="124"/>
      <c r="F1" s="124"/>
      <c r="G1" s="124"/>
      <c r="H1" s="122"/>
      <c r="I1" s="122"/>
    </row>
    <row r="2" spans="3:17" s="125" customFormat="1" ht="19.5" customHeight="1">
      <c r="C2" s="126" t="s">
        <v>1134</v>
      </c>
      <c r="D2" s="123"/>
      <c r="E2" s="124"/>
      <c r="F2" s="124"/>
      <c r="G2" s="124"/>
      <c r="H2" s="122"/>
      <c r="I2" s="122"/>
    </row>
    <row r="3" spans="3:17" s="125" customFormat="1" ht="19.5" customHeight="1">
      <c r="C3" s="122"/>
      <c r="D3" s="124"/>
      <c r="E3" s="124"/>
      <c r="F3" s="124"/>
      <c r="G3" s="124"/>
      <c r="H3" s="122"/>
      <c r="I3" s="122"/>
    </row>
    <row r="4" spans="3:17" s="127" customFormat="1" ht="22.5" customHeight="1">
      <c r="C4" s="614" t="s">
        <v>1135</v>
      </c>
      <c r="D4" s="616" t="s">
        <v>543</v>
      </c>
      <c r="E4" s="616" t="s">
        <v>1136</v>
      </c>
      <c r="F4" s="618" t="s">
        <v>1137</v>
      </c>
      <c r="G4" s="616" t="s">
        <v>1138</v>
      </c>
      <c r="H4" s="616" t="s">
        <v>1139</v>
      </c>
      <c r="I4" s="607" t="s">
        <v>1140</v>
      </c>
      <c r="K4" s="609" t="s">
        <v>1141</v>
      </c>
      <c r="L4" s="610"/>
      <c r="M4" s="610"/>
      <c r="N4" s="128" t="s">
        <v>1142</v>
      </c>
      <c r="O4" s="610" t="s">
        <v>1143</v>
      </c>
      <c r="P4" s="612" t="s">
        <v>1144</v>
      </c>
      <c r="Q4" s="129" t="s">
        <v>1145</v>
      </c>
    </row>
    <row r="5" spans="3:17" s="127" customFormat="1" ht="22.5" customHeight="1">
      <c r="C5" s="615"/>
      <c r="D5" s="617"/>
      <c r="E5" s="617"/>
      <c r="F5" s="619"/>
      <c r="G5" s="617"/>
      <c r="H5" s="617"/>
      <c r="I5" s="608"/>
      <c r="K5" s="130" t="s">
        <v>1146</v>
      </c>
      <c r="L5" s="131" t="s">
        <v>1147</v>
      </c>
      <c r="M5" s="131" t="s">
        <v>1148</v>
      </c>
      <c r="N5" s="131" t="s">
        <v>1149</v>
      </c>
      <c r="O5" s="611"/>
      <c r="P5" s="613"/>
      <c r="Q5" s="132"/>
    </row>
    <row r="6" spans="3:17" ht="19.5" customHeight="1">
      <c r="C6" s="133">
        <v>1</v>
      </c>
      <c r="D6" s="134" t="s">
        <v>1150</v>
      </c>
      <c r="E6" s="135" t="s">
        <v>1151</v>
      </c>
      <c r="F6" s="135" t="s">
        <v>3021</v>
      </c>
      <c r="G6" s="135" t="s">
        <v>1152</v>
      </c>
      <c r="H6" s="135" t="s">
        <v>1153</v>
      </c>
      <c r="I6" s="136" t="s">
        <v>1154</v>
      </c>
      <c r="J6" s="137"/>
      <c r="K6" s="138" t="s">
        <v>1155</v>
      </c>
      <c r="L6" s="139">
        <f t="shared" ref="L6:L69" si="0">IF(K6="","",IF(K6="EI",4,IF(K6="EO",5.2,IF(K6="EQ",3.9,IF(K6="ILF",7.5,IF(K6="EIF",5.4))))))</f>
        <v>7.5</v>
      </c>
      <c r="M6" s="140">
        <f t="shared" ref="M6:M69" si="1">IF(O6="","",IF(O6="신규",1,IF(O6="고도화",1.04,IF(O6="재사용",0.25))))</f>
        <v>1</v>
      </c>
      <c r="N6" s="141">
        <f t="shared" ref="N6:N69" si="2">L6*M6</f>
        <v>7.5</v>
      </c>
      <c r="O6" s="142" t="s">
        <v>1156</v>
      </c>
      <c r="P6" s="143" t="s">
        <v>1157</v>
      </c>
    </row>
    <row r="7" spans="3:17" ht="19.5" customHeight="1">
      <c r="C7" s="133">
        <v>2</v>
      </c>
      <c r="D7" s="134" t="s">
        <v>1150</v>
      </c>
      <c r="E7" s="135" t="s">
        <v>1151</v>
      </c>
      <c r="F7" s="135" t="s">
        <v>3022</v>
      </c>
      <c r="G7" s="135" t="str">
        <f>G6</f>
        <v>운영관리 포털 기능</v>
      </c>
      <c r="H7" s="135" t="s">
        <v>1158</v>
      </c>
      <c r="I7" s="136" t="s">
        <v>1159</v>
      </c>
      <c r="J7" s="137"/>
      <c r="K7" s="138" t="s">
        <v>1160</v>
      </c>
      <c r="L7" s="139">
        <f t="shared" si="0"/>
        <v>3.9</v>
      </c>
      <c r="M7" s="140">
        <f t="shared" si="1"/>
        <v>1</v>
      </c>
      <c r="N7" s="141">
        <f t="shared" si="2"/>
        <v>3.9</v>
      </c>
      <c r="O7" s="142" t="s">
        <v>1156</v>
      </c>
      <c r="P7" s="143" t="s">
        <v>1157</v>
      </c>
    </row>
    <row r="8" spans="3:17" ht="19.5" customHeight="1">
      <c r="C8" s="133">
        <v>3</v>
      </c>
      <c r="D8" s="134" t="s">
        <v>1150</v>
      </c>
      <c r="E8" s="135" t="s">
        <v>1151</v>
      </c>
      <c r="F8" s="135" t="s">
        <v>3023</v>
      </c>
      <c r="G8" s="135" t="str">
        <f>G7</f>
        <v>운영관리 포털 기능</v>
      </c>
      <c r="H8" s="135" t="s">
        <v>1161</v>
      </c>
      <c r="I8" s="136" t="s">
        <v>1162</v>
      </c>
      <c r="J8" s="137"/>
      <c r="K8" s="138" t="s">
        <v>1163</v>
      </c>
      <c r="L8" s="139">
        <f t="shared" si="0"/>
        <v>4</v>
      </c>
      <c r="M8" s="140">
        <f t="shared" si="1"/>
        <v>1</v>
      </c>
      <c r="N8" s="141">
        <f t="shared" si="2"/>
        <v>4</v>
      </c>
      <c r="O8" s="142" t="s">
        <v>1156</v>
      </c>
      <c r="P8" s="143" t="s">
        <v>1157</v>
      </c>
    </row>
    <row r="9" spans="3:17" ht="19.5" customHeight="1">
      <c r="C9" s="133">
        <v>4</v>
      </c>
      <c r="D9" s="134" t="s">
        <v>1150</v>
      </c>
      <c r="E9" s="135" t="s">
        <v>1151</v>
      </c>
      <c r="F9" s="135" t="s">
        <v>3024</v>
      </c>
      <c r="G9" s="135" t="str">
        <f>G8</f>
        <v>운영관리 포털 기능</v>
      </c>
      <c r="H9" s="135" t="s">
        <v>1164</v>
      </c>
      <c r="I9" s="136" t="s">
        <v>1165</v>
      </c>
      <c r="J9" s="137"/>
      <c r="K9" s="138" t="s">
        <v>1163</v>
      </c>
      <c r="L9" s="139">
        <f t="shared" si="0"/>
        <v>4</v>
      </c>
      <c r="M9" s="140">
        <f t="shared" si="1"/>
        <v>1</v>
      </c>
      <c r="N9" s="141">
        <f t="shared" si="2"/>
        <v>4</v>
      </c>
      <c r="O9" s="142" t="s">
        <v>1156</v>
      </c>
      <c r="P9" s="143" t="s">
        <v>1157</v>
      </c>
    </row>
    <row r="10" spans="3:17" ht="19.5" customHeight="1">
      <c r="C10" s="133">
        <v>5</v>
      </c>
      <c r="D10" s="134" t="s">
        <v>1150</v>
      </c>
      <c r="E10" s="135" t="s">
        <v>1151</v>
      </c>
      <c r="F10" s="135" t="s">
        <v>3025</v>
      </c>
      <c r="G10" s="145" t="str">
        <f>G9</f>
        <v>운영관리 포털 기능</v>
      </c>
      <c r="H10" s="135" t="s">
        <v>1166</v>
      </c>
      <c r="I10" s="136" t="s">
        <v>1167</v>
      </c>
      <c r="J10" s="137"/>
      <c r="K10" s="146" t="s">
        <v>1163</v>
      </c>
      <c r="L10" s="139">
        <f t="shared" si="0"/>
        <v>4</v>
      </c>
      <c r="M10" s="140">
        <f t="shared" si="1"/>
        <v>1</v>
      </c>
      <c r="N10" s="141">
        <f t="shared" si="2"/>
        <v>4</v>
      </c>
      <c r="O10" s="142" t="s">
        <v>1156</v>
      </c>
      <c r="P10" s="143" t="s">
        <v>1157</v>
      </c>
    </row>
    <row r="11" spans="3:17" ht="19.5" customHeight="1">
      <c r="C11" s="133">
        <v>6</v>
      </c>
      <c r="D11" s="134" t="s">
        <v>1150</v>
      </c>
      <c r="E11" s="135" t="s">
        <v>1151</v>
      </c>
      <c r="F11" s="135" t="s">
        <v>3026</v>
      </c>
      <c r="G11" s="145" t="str">
        <f>G10</f>
        <v>운영관리 포털 기능</v>
      </c>
      <c r="H11" s="135" t="s">
        <v>1168</v>
      </c>
      <c r="I11" s="136" t="s">
        <v>1169</v>
      </c>
      <c r="J11" s="137"/>
      <c r="K11" s="146" t="s">
        <v>1170</v>
      </c>
      <c r="L11" s="139">
        <f t="shared" si="0"/>
        <v>5.2</v>
      </c>
      <c r="M11" s="140">
        <f t="shared" si="1"/>
        <v>1</v>
      </c>
      <c r="N11" s="141">
        <f t="shared" si="2"/>
        <v>5.2</v>
      </c>
      <c r="O11" s="142" t="s">
        <v>1156</v>
      </c>
      <c r="P11" s="143" t="s">
        <v>1157</v>
      </c>
    </row>
    <row r="12" spans="3:17" ht="19.5" customHeight="1">
      <c r="C12" s="147">
        <v>7</v>
      </c>
      <c r="D12" s="142" t="s">
        <v>1150</v>
      </c>
      <c r="E12" s="148" t="s">
        <v>1151</v>
      </c>
      <c r="F12" s="148" t="s">
        <v>3027</v>
      </c>
      <c r="G12" s="149" t="s">
        <v>1171</v>
      </c>
      <c r="H12" s="150" t="s">
        <v>1172</v>
      </c>
      <c r="I12" s="151" t="s">
        <v>1173</v>
      </c>
      <c r="J12" s="137"/>
      <c r="K12" s="152" t="s">
        <v>1160</v>
      </c>
      <c r="L12" s="139">
        <f t="shared" si="0"/>
        <v>3.9</v>
      </c>
      <c r="M12" s="140">
        <f t="shared" si="1"/>
        <v>1</v>
      </c>
      <c r="N12" s="141">
        <f t="shared" si="2"/>
        <v>3.9</v>
      </c>
      <c r="O12" s="142" t="s">
        <v>1156</v>
      </c>
      <c r="P12" s="143" t="s">
        <v>1157</v>
      </c>
    </row>
    <row r="13" spans="3:17" ht="19.5" customHeight="1">
      <c r="C13" s="147">
        <v>8</v>
      </c>
      <c r="D13" s="142" t="s">
        <v>1150</v>
      </c>
      <c r="E13" s="148" t="s">
        <v>1151</v>
      </c>
      <c r="F13" s="148" t="s">
        <v>3028</v>
      </c>
      <c r="G13" s="149" t="str">
        <f>G12</f>
        <v>수요기관 모니터링 페이지 개발</v>
      </c>
      <c r="H13" s="150" t="s">
        <v>1174</v>
      </c>
      <c r="I13" s="151" t="s">
        <v>1175</v>
      </c>
      <c r="J13" s="137"/>
      <c r="K13" s="152" t="s">
        <v>1160</v>
      </c>
      <c r="L13" s="139">
        <f t="shared" si="0"/>
        <v>3.9</v>
      </c>
      <c r="M13" s="140">
        <f t="shared" si="1"/>
        <v>1</v>
      </c>
      <c r="N13" s="141">
        <f t="shared" si="2"/>
        <v>3.9</v>
      </c>
      <c r="O13" s="142" t="s">
        <v>1156</v>
      </c>
      <c r="P13" s="143" t="s">
        <v>1157</v>
      </c>
    </row>
    <row r="14" spans="3:17" ht="19.5" customHeight="1">
      <c r="C14" s="147">
        <v>9</v>
      </c>
      <c r="D14" s="142" t="s">
        <v>1150</v>
      </c>
      <c r="E14" s="148" t="s">
        <v>1151</v>
      </c>
      <c r="F14" s="148" t="s">
        <v>3029</v>
      </c>
      <c r="G14" s="149" t="str">
        <f>G13</f>
        <v>수요기관 모니터링 페이지 개발</v>
      </c>
      <c r="H14" s="150" t="s">
        <v>1176</v>
      </c>
      <c r="I14" s="151" t="s">
        <v>1177</v>
      </c>
      <c r="J14" s="137"/>
      <c r="K14" s="152" t="s">
        <v>1160</v>
      </c>
      <c r="L14" s="139">
        <f t="shared" si="0"/>
        <v>3.9</v>
      </c>
      <c r="M14" s="140">
        <f t="shared" si="1"/>
        <v>1</v>
      </c>
      <c r="N14" s="141">
        <f t="shared" si="2"/>
        <v>3.9</v>
      </c>
      <c r="O14" s="142" t="s">
        <v>1156</v>
      </c>
      <c r="P14" s="143" t="s">
        <v>1157</v>
      </c>
    </row>
    <row r="15" spans="3:17" ht="19.5" customHeight="1">
      <c r="C15" s="147">
        <v>10</v>
      </c>
      <c r="D15" s="142" t="s">
        <v>1150</v>
      </c>
      <c r="E15" s="148" t="s">
        <v>1151</v>
      </c>
      <c r="F15" s="148" t="s">
        <v>3030</v>
      </c>
      <c r="G15" s="149" t="str">
        <f>G14</f>
        <v>수요기관 모니터링 페이지 개발</v>
      </c>
      <c r="H15" s="150" t="s">
        <v>1178</v>
      </c>
      <c r="I15" s="151" t="s">
        <v>1179</v>
      </c>
      <c r="J15" s="137"/>
      <c r="K15" s="152" t="s">
        <v>1155</v>
      </c>
      <c r="L15" s="139">
        <f t="shared" si="0"/>
        <v>7.5</v>
      </c>
      <c r="M15" s="140">
        <f t="shared" si="1"/>
        <v>1</v>
      </c>
      <c r="N15" s="141">
        <f t="shared" si="2"/>
        <v>7.5</v>
      </c>
      <c r="O15" s="142" t="s">
        <v>1156</v>
      </c>
      <c r="P15" s="143" t="s">
        <v>1157</v>
      </c>
    </row>
    <row r="16" spans="3:17" ht="19.5" customHeight="1">
      <c r="C16" s="147">
        <v>11</v>
      </c>
      <c r="D16" s="142" t="s">
        <v>1150</v>
      </c>
      <c r="E16" s="148" t="s">
        <v>1151</v>
      </c>
      <c r="F16" s="148" t="s">
        <v>3031</v>
      </c>
      <c r="G16" s="149" t="s">
        <v>1180</v>
      </c>
      <c r="H16" s="150" t="s">
        <v>1181</v>
      </c>
      <c r="I16" s="151"/>
      <c r="J16" s="137"/>
      <c r="K16" s="153" t="s">
        <v>1155</v>
      </c>
      <c r="L16" s="139">
        <f t="shared" si="0"/>
        <v>7.5</v>
      </c>
      <c r="M16" s="140">
        <f t="shared" si="1"/>
        <v>1</v>
      </c>
      <c r="N16" s="141">
        <f t="shared" si="2"/>
        <v>7.5</v>
      </c>
      <c r="O16" s="142" t="s">
        <v>1156</v>
      </c>
      <c r="P16" s="143" t="s">
        <v>1157</v>
      </c>
    </row>
    <row r="17" spans="3:16" ht="19.5" customHeight="1">
      <c r="C17" s="147">
        <v>12</v>
      </c>
      <c r="D17" s="142" t="s">
        <v>1150</v>
      </c>
      <c r="E17" s="148" t="s">
        <v>1151</v>
      </c>
      <c r="F17" s="148" t="s">
        <v>3032</v>
      </c>
      <c r="G17" s="149" t="str">
        <f>G16</f>
        <v>컨테이너 관리</v>
      </c>
      <c r="H17" s="150" t="s">
        <v>1182</v>
      </c>
      <c r="I17" s="151"/>
      <c r="J17" s="137"/>
      <c r="K17" s="153" t="s">
        <v>1160</v>
      </c>
      <c r="L17" s="139">
        <f t="shared" si="0"/>
        <v>3.9</v>
      </c>
      <c r="M17" s="140">
        <f t="shared" si="1"/>
        <v>1</v>
      </c>
      <c r="N17" s="141">
        <f t="shared" si="2"/>
        <v>3.9</v>
      </c>
      <c r="O17" s="142" t="s">
        <v>1156</v>
      </c>
      <c r="P17" s="143" t="s">
        <v>1157</v>
      </c>
    </row>
    <row r="18" spans="3:16" ht="19.5" customHeight="1">
      <c r="C18" s="147">
        <v>13</v>
      </c>
      <c r="D18" s="142" t="s">
        <v>1150</v>
      </c>
      <c r="E18" s="148" t="s">
        <v>1151</v>
      </c>
      <c r="F18" s="148" t="s">
        <v>3033</v>
      </c>
      <c r="G18" s="149" t="str">
        <f>G17</f>
        <v>컨테이너 관리</v>
      </c>
      <c r="H18" s="150" t="s">
        <v>1183</v>
      </c>
      <c r="I18" s="151"/>
      <c r="J18" s="137"/>
      <c r="K18" s="153" t="s">
        <v>1163</v>
      </c>
      <c r="L18" s="139">
        <f t="shared" si="0"/>
        <v>4</v>
      </c>
      <c r="M18" s="140">
        <f t="shared" si="1"/>
        <v>1</v>
      </c>
      <c r="N18" s="141">
        <f t="shared" si="2"/>
        <v>4</v>
      </c>
      <c r="O18" s="142" t="s">
        <v>1156</v>
      </c>
      <c r="P18" s="143" t="s">
        <v>1157</v>
      </c>
    </row>
    <row r="19" spans="3:16" ht="19.5" customHeight="1">
      <c r="C19" s="147">
        <v>14</v>
      </c>
      <c r="D19" s="142" t="s">
        <v>1150</v>
      </c>
      <c r="E19" s="148" t="s">
        <v>1151</v>
      </c>
      <c r="F19" s="148" t="s">
        <v>3034</v>
      </c>
      <c r="G19" s="149" t="str">
        <f>G18</f>
        <v>컨테이너 관리</v>
      </c>
      <c r="H19" s="150" t="s">
        <v>1184</v>
      </c>
      <c r="I19" s="151"/>
      <c r="J19" s="137"/>
      <c r="K19" s="153" t="s">
        <v>1163</v>
      </c>
      <c r="L19" s="139">
        <f t="shared" si="0"/>
        <v>4</v>
      </c>
      <c r="M19" s="140">
        <f t="shared" si="1"/>
        <v>1</v>
      </c>
      <c r="N19" s="141">
        <f t="shared" si="2"/>
        <v>4</v>
      </c>
      <c r="O19" s="142" t="s">
        <v>1156</v>
      </c>
      <c r="P19" s="143" t="s">
        <v>1157</v>
      </c>
    </row>
    <row r="20" spans="3:16" ht="19.5" customHeight="1">
      <c r="C20" s="147">
        <v>15</v>
      </c>
      <c r="D20" s="142" t="s">
        <v>1150</v>
      </c>
      <c r="E20" s="148" t="s">
        <v>1151</v>
      </c>
      <c r="F20" s="148" t="s">
        <v>3035</v>
      </c>
      <c r="G20" s="149" t="str">
        <f>G19</f>
        <v>컨테이너 관리</v>
      </c>
      <c r="H20" s="150" t="s">
        <v>1185</v>
      </c>
      <c r="I20" s="151"/>
      <c r="J20" s="137"/>
      <c r="K20" s="153" t="s">
        <v>1163</v>
      </c>
      <c r="L20" s="139">
        <f t="shared" si="0"/>
        <v>4</v>
      </c>
      <c r="M20" s="140">
        <f t="shared" si="1"/>
        <v>1</v>
      </c>
      <c r="N20" s="141">
        <f t="shared" si="2"/>
        <v>4</v>
      </c>
      <c r="O20" s="142" t="s">
        <v>1156</v>
      </c>
      <c r="P20" s="143" t="s">
        <v>1157</v>
      </c>
    </row>
    <row r="21" spans="3:16" ht="19.5" customHeight="1">
      <c r="C21" s="133">
        <v>16</v>
      </c>
      <c r="D21" s="134" t="s">
        <v>1150</v>
      </c>
      <c r="E21" s="135" t="s">
        <v>1151</v>
      </c>
      <c r="F21" s="135" t="s">
        <v>3036</v>
      </c>
      <c r="G21" s="154" t="s">
        <v>1186</v>
      </c>
      <c r="H21" s="154" t="s">
        <v>1187</v>
      </c>
      <c r="I21" s="155"/>
      <c r="J21" s="137"/>
      <c r="K21" s="138" t="s">
        <v>1188</v>
      </c>
      <c r="L21" s="139">
        <f t="shared" si="0"/>
        <v>4</v>
      </c>
      <c r="M21" s="140">
        <f t="shared" si="1"/>
        <v>1</v>
      </c>
      <c r="N21" s="141">
        <f t="shared" si="2"/>
        <v>4</v>
      </c>
      <c r="O21" s="142" t="s">
        <v>1156</v>
      </c>
      <c r="P21" s="143" t="s">
        <v>1157</v>
      </c>
    </row>
    <row r="22" spans="3:16" ht="19.5" customHeight="1">
      <c r="C22" s="133">
        <v>17</v>
      </c>
      <c r="D22" s="134" t="s">
        <v>1150</v>
      </c>
      <c r="E22" s="135" t="s">
        <v>1151</v>
      </c>
      <c r="F22" s="135" t="s">
        <v>3037</v>
      </c>
      <c r="G22" s="156" t="str">
        <f>G21</f>
        <v>네트워크 관리기능 고도화</v>
      </c>
      <c r="H22" s="154" t="s">
        <v>1189</v>
      </c>
      <c r="I22" s="155"/>
      <c r="J22" s="137"/>
      <c r="K22" s="153" t="s">
        <v>1155</v>
      </c>
      <c r="L22" s="139">
        <f t="shared" si="0"/>
        <v>7.5</v>
      </c>
      <c r="M22" s="140">
        <f t="shared" si="1"/>
        <v>1</v>
      </c>
      <c r="N22" s="141">
        <f t="shared" si="2"/>
        <v>7.5</v>
      </c>
      <c r="O22" s="142" t="s">
        <v>1156</v>
      </c>
      <c r="P22" s="143" t="s">
        <v>1157</v>
      </c>
    </row>
    <row r="23" spans="3:16" ht="19.5" customHeight="1">
      <c r="C23" s="133">
        <v>18</v>
      </c>
      <c r="D23" s="134" t="s">
        <v>1150</v>
      </c>
      <c r="E23" s="135" t="s">
        <v>1151</v>
      </c>
      <c r="F23" s="135" t="s">
        <v>3038</v>
      </c>
      <c r="G23" s="154" t="str">
        <f>G22</f>
        <v>네트워크 관리기능 고도화</v>
      </c>
      <c r="H23" s="154" t="s">
        <v>1190</v>
      </c>
      <c r="I23" s="155"/>
      <c r="J23" s="137"/>
      <c r="K23" s="153" t="s">
        <v>1160</v>
      </c>
      <c r="L23" s="139">
        <f t="shared" si="0"/>
        <v>3.9</v>
      </c>
      <c r="M23" s="140">
        <f t="shared" si="1"/>
        <v>1</v>
      </c>
      <c r="N23" s="141">
        <f t="shared" si="2"/>
        <v>3.9</v>
      </c>
      <c r="O23" s="142" t="s">
        <v>1156</v>
      </c>
      <c r="P23" s="143" t="s">
        <v>1157</v>
      </c>
    </row>
    <row r="24" spans="3:16" ht="19.5" customHeight="1">
      <c r="C24" s="133">
        <v>19</v>
      </c>
      <c r="D24" s="134" t="s">
        <v>1150</v>
      </c>
      <c r="E24" s="135" t="s">
        <v>1151</v>
      </c>
      <c r="F24" s="135" t="s">
        <v>3039</v>
      </c>
      <c r="G24" s="154" t="str">
        <f>G23</f>
        <v>네트워크 관리기능 고도화</v>
      </c>
      <c r="H24" s="154" t="s">
        <v>1191</v>
      </c>
      <c r="I24" s="155"/>
      <c r="J24" s="137"/>
      <c r="K24" s="153" t="s">
        <v>1163</v>
      </c>
      <c r="L24" s="139">
        <f t="shared" si="0"/>
        <v>4</v>
      </c>
      <c r="M24" s="140">
        <f t="shared" si="1"/>
        <v>1</v>
      </c>
      <c r="N24" s="141">
        <f t="shared" si="2"/>
        <v>4</v>
      </c>
      <c r="O24" s="142" t="s">
        <v>1156</v>
      </c>
      <c r="P24" s="143" t="s">
        <v>1157</v>
      </c>
    </row>
    <row r="25" spans="3:16" ht="19.5" customHeight="1">
      <c r="C25" s="133">
        <v>20</v>
      </c>
      <c r="D25" s="134" t="s">
        <v>1150</v>
      </c>
      <c r="E25" s="135" t="s">
        <v>1151</v>
      </c>
      <c r="F25" s="135" t="s">
        <v>3040</v>
      </c>
      <c r="G25" s="154" t="str">
        <f>G24</f>
        <v>네트워크 관리기능 고도화</v>
      </c>
      <c r="H25" s="154" t="s">
        <v>1192</v>
      </c>
      <c r="I25" s="155"/>
      <c r="J25" s="137"/>
      <c r="K25" s="153" t="s">
        <v>1163</v>
      </c>
      <c r="L25" s="139">
        <f t="shared" si="0"/>
        <v>4</v>
      </c>
      <c r="M25" s="140">
        <f t="shared" si="1"/>
        <v>1</v>
      </c>
      <c r="N25" s="141">
        <f t="shared" si="2"/>
        <v>4</v>
      </c>
      <c r="O25" s="142" t="s">
        <v>1156</v>
      </c>
      <c r="P25" s="143" t="s">
        <v>1157</v>
      </c>
    </row>
    <row r="26" spans="3:16" ht="19.5" customHeight="1">
      <c r="C26" s="133">
        <v>21</v>
      </c>
      <c r="D26" s="134" t="s">
        <v>1150</v>
      </c>
      <c r="E26" s="135" t="s">
        <v>1151</v>
      </c>
      <c r="F26" s="135" t="s">
        <v>3041</v>
      </c>
      <c r="G26" s="154" t="str">
        <f>G25</f>
        <v>네트워크 관리기능 고도화</v>
      </c>
      <c r="H26" s="154" t="s">
        <v>1193</v>
      </c>
      <c r="I26" s="157"/>
      <c r="J26" s="137"/>
      <c r="K26" s="153" t="s">
        <v>1163</v>
      </c>
      <c r="L26" s="139">
        <f t="shared" si="0"/>
        <v>4</v>
      </c>
      <c r="M26" s="140">
        <f t="shared" si="1"/>
        <v>1</v>
      </c>
      <c r="N26" s="141">
        <f t="shared" si="2"/>
        <v>4</v>
      </c>
      <c r="O26" s="142" t="s">
        <v>1156</v>
      </c>
      <c r="P26" s="143" t="s">
        <v>1157</v>
      </c>
    </row>
    <row r="27" spans="3:16" ht="19.5" customHeight="1">
      <c r="C27" s="133">
        <v>22</v>
      </c>
      <c r="D27" s="134" t="s">
        <v>1150</v>
      </c>
      <c r="E27" s="135" t="s">
        <v>1151</v>
      </c>
      <c r="F27" s="135" t="s">
        <v>3042</v>
      </c>
      <c r="G27" s="154" t="s">
        <v>1194</v>
      </c>
      <c r="H27" s="154" t="s">
        <v>1195</v>
      </c>
      <c r="I27" s="155"/>
      <c r="J27" s="137"/>
      <c r="K27" s="153" t="s">
        <v>1155</v>
      </c>
      <c r="L27" s="139">
        <f t="shared" si="0"/>
        <v>7.5</v>
      </c>
      <c r="M27" s="140">
        <f t="shared" si="1"/>
        <v>1</v>
      </c>
      <c r="N27" s="141">
        <f t="shared" si="2"/>
        <v>7.5</v>
      </c>
      <c r="O27" s="142" t="s">
        <v>1156</v>
      </c>
      <c r="P27" s="143" t="s">
        <v>1157</v>
      </c>
    </row>
    <row r="28" spans="3:16" ht="19.5" customHeight="1">
      <c r="C28" s="133">
        <v>23</v>
      </c>
      <c r="D28" s="134" t="s">
        <v>1150</v>
      </c>
      <c r="E28" s="135" t="s">
        <v>1151</v>
      </c>
      <c r="F28" s="135" t="s">
        <v>3043</v>
      </c>
      <c r="G28" s="154" t="str">
        <f>G27</f>
        <v>스토리지 모니터링 및 관리</v>
      </c>
      <c r="H28" s="154" t="s">
        <v>1196</v>
      </c>
      <c r="I28" s="155"/>
      <c r="J28" s="137"/>
      <c r="K28" s="153" t="s">
        <v>1160</v>
      </c>
      <c r="L28" s="139">
        <f t="shared" si="0"/>
        <v>3.9</v>
      </c>
      <c r="M28" s="140">
        <f t="shared" si="1"/>
        <v>1</v>
      </c>
      <c r="N28" s="141">
        <f t="shared" si="2"/>
        <v>3.9</v>
      </c>
      <c r="O28" s="142" t="s">
        <v>1156</v>
      </c>
      <c r="P28" s="143" t="s">
        <v>1157</v>
      </c>
    </row>
    <row r="29" spans="3:16" ht="19.5" customHeight="1">
      <c r="C29" s="133">
        <v>24</v>
      </c>
      <c r="D29" s="134" t="s">
        <v>1150</v>
      </c>
      <c r="E29" s="135" t="s">
        <v>1151</v>
      </c>
      <c r="F29" s="135" t="s">
        <v>3044</v>
      </c>
      <c r="G29" s="154" t="str">
        <f>G28</f>
        <v>스토리지 모니터링 및 관리</v>
      </c>
      <c r="H29" s="154" t="s">
        <v>1197</v>
      </c>
      <c r="I29" s="155"/>
      <c r="J29" s="137"/>
      <c r="K29" s="153" t="s">
        <v>1163</v>
      </c>
      <c r="L29" s="139">
        <f t="shared" si="0"/>
        <v>4</v>
      </c>
      <c r="M29" s="140">
        <f t="shared" si="1"/>
        <v>1</v>
      </c>
      <c r="N29" s="141">
        <f t="shared" si="2"/>
        <v>4</v>
      </c>
      <c r="O29" s="142" t="s">
        <v>1156</v>
      </c>
      <c r="P29" s="143" t="s">
        <v>1157</v>
      </c>
    </row>
    <row r="30" spans="3:16" ht="19.5" customHeight="1">
      <c r="C30" s="133">
        <v>25</v>
      </c>
      <c r="D30" s="134" t="s">
        <v>1150</v>
      </c>
      <c r="E30" s="135" t="s">
        <v>1151</v>
      </c>
      <c r="F30" s="135" t="s">
        <v>3045</v>
      </c>
      <c r="G30" s="154" t="str">
        <f>G29</f>
        <v>스토리지 모니터링 및 관리</v>
      </c>
      <c r="H30" s="154" t="s">
        <v>1198</v>
      </c>
      <c r="I30" s="155"/>
      <c r="J30" s="137"/>
      <c r="K30" s="153" t="s">
        <v>1163</v>
      </c>
      <c r="L30" s="139">
        <f t="shared" si="0"/>
        <v>4</v>
      </c>
      <c r="M30" s="140">
        <f t="shared" si="1"/>
        <v>1</v>
      </c>
      <c r="N30" s="141">
        <f t="shared" si="2"/>
        <v>4</v>
      </c>
      <c r="O30" s="142" t="s">
        <v>1156</v>
      </c>
      <c r="P30" s="143" t="s">
        <v>1157</v>
      </c>
    </row>
    <row r="31" spans="3:16" ht="19.5" customHeight="1">
      <c r="C31" s="133">
        <v>26</v>
      </c>
      <c r="D31" s="134" t="s">
        <v>1150</v>
      </c>
      <c r="E31" s="135" t="s">
        <v>1151</v>
      </c>
      <c r="F31" s="135" t="s">
        <v>3046</v>
      </c>
      <c r="G31" s="154" t="str">
        <f>G30</f>
        <v>스토리지 모니터링 및 관리</v>
      </c>
      <c r="H31" s="154" t="s">
        <v>1199</v>
      </c>
      <c r="I31" s="155"/>
      <c r="J31" s="137"/>
      <c r="K31" s="153" t="s">
        <v>1163</v>
      </c>
      <c r="L31" s="139">
        <f t="shared" si="0"/>
        <v>4</v>
      </c>
      <c r="M31" s="140">
        <f t="shared" si="1"/>
        <v>1</v>
      </c>
      <c r="N31" s="141">
        <f t="shared" si="2"/>
        <v>4</v>
      </c>
      <c r="O31" s="142" t="s">
        <v>1156</v>
      </c>
      <c r="P31" s="143" t="s">
        <v>1157</v>
      </c>
    </row>
    <row r="32" spans="3:16" ht="19.5" customHeight="1">
      <c r="C32" s="147">
        <v>27</v>
      </c>
      <c r="D32" s="142" t="s">
        <v>1150</v>
      </c>
      <c r="E32" s="148" t="s">
        <v>1151</v>
      </c>
      <c r="F32" s="148" t="s">
        <v>3047</v>
      </c>
      <c r="G32" s="149" t="s">
        <v>1200</v>
      </c>
      <c r="H32" s="149" t="s">
        <v>1201</v>
      </c>
      <c r="I32" s="158"/>
      <c r="J32" s="137"/>
      <c r="K32" s="138" t="s">
        <v>1202</v>
      </c>
      <c r="L32" s="139">
        <f t="shared" si="0"/>
        <v>7.5</v>
      </c>
      <c r="M32" s="140">
        <f t="shared" si="1"/>
        <v>1</v>
      </c>
      <c r="N32" s="141">
        <f t="shared" si="2"/>
        <v>7.5</v>
      </c>
      <c r="O32" s="142" t="s">
        <v>1156</v>
      </c>
      <c r="P32" s="143" t="s">
        <v>1157</v>
      </c>
    </row>
    <row r="33" spans="3:16" ht="19.5" customHeight="1">
      <c r="C33" s="147">
        <v>28</v>
      </c>
      <c r="D33" s="142" t="s">
        <v>1150</v>
      </c>
      <c r="E33" s="148" t="s">
        <v>1151</v>
      </c>
      <c r="F33" s="148" t="s">
        <v>3048</v>
      </c>
      <c r="G33" s="149" t="str">
        <f>G32</f>
        <v>사용자맞춤형포털 생성 프로세스 고도화</v>
      </c>
      <c r="H33" s="149" t="s">
        <v>1203</v>
      </c>
      <c r="I33" s="158"/>
      <c r="J33" s="137"/>
      <c r="K33" s="138" t="s">
        <v>1202</v>
      </c>
      <c r="L33" s="139">
        <f t="shared" si="0"/>
        <v>7.5</v>
      </c>
      <c r="M33" s="140">
        <f t="shared" si="1"/>
        <v>1</v>
      </c>
      <c r="N33" s="141">
        <f t="shared" si="2"/>
        <v>7.5</v>
      </c>
      <c r="O33" s="142" t="s">
        <v>1156</v>
      </c>
      <c r="P33" s="143" t="s">
        <v>1157</v>
      </c>
    </row>
    <row r="34" spans="3:16" ht="19.5" customHeight="1">
      <c r="C34" s="147">
        <v>29</v>
      </c>
      <c r="D34" s="142" t="s">
        <v>1150</v>
      </c>
      <c r="E34" s="148" t="s">
        <v>1151</v>
      </c>
      <c r="F34" s="148" t="s">
        <v>3049</v>
      </c>
      <c r="G34" s="149" t="str">
        <f>G33</f>
        <v>사용자맞춤형포털 생성 프로세스 고도화</v>
      </c>
      <c r="H34" s="149" t="s">
        <v>1204</v>
      </c>
      <c r="I34" s="158"/>
      <c r="J34" s="137"/>
      <c r="K34" s="138" t="s">
        <v>1188</v>
      </c>
      <c r="L34" s="139">
        <f t="shared" si="0"/>
        <v>4</v>
      </c>
      <c r="M34" s="140">
        <f t="shared" si="1"/>
        <v>1</v>
      </c>
      <c r="N34" s="141">
        <f t="shared" si="2"/>
        <v>4</v>
      </c>
      <c r="O34" s="142" t="s">
        <v>1156</v>
      </c>
      <c r="P34" s="143" t="s">
        <v>1157</v>
      </c>
    </row>
    <row r="35" spans="3:16" ht="19.5" customHeight="1">
      <c r="C35" s="147">
        <v>30</v>
      </c>
      <c r="D35" s="142" t="s">
        <v>1150</v>
      </c>
      <c r="E35" s="148" t="s">
        <v>1151</v>
      </c>
      <c r="F35" s="148" t="s">
        <v>3050</v>
      </c>
      <c r="G35" s="149" t="str">
        <f>G34</f>
        <v>사용자맞춤형포털 생성 프로세스 고도화</v>
      </c>
      <c r="H35" s="149" t="s">
        <v>1205</v>
      </c>
      <c r="I35" s="158"/>
      <c r="J35" s="137"/>
      <c r="K35" s="146" t="s">
        <v>1170</v>
      </c>
      <c r="L35" s="139">
        <f t="shared" si="0"/>
        <v>5.2</v>
      </c>
      <c r="M35" s="140">
        <f t="shared" si="1"/>
        <v>1</v>
      </c>
      <c r="N35" s="141">
        <f t="shared" si="2"/>
        <v>5.2</v>
      </c>
      <c r="O35" s="142" t="s">
        <v>1156</v>
      </c>
      <c r="P35" s="143" t="s">
        <v>1157</v>
      </c>
    </row>
    <row r="36" spans="3:16" ht="19.5" customHeight="1">
      <c r="C36" s="147">
        <v>31</v>
      </c>
      <c r="D36" s="142" t="s">
        <v>1150</v>
      </c>
      <c r="E36" s="148" t="s">
        <v>1151</v>
      </c>
      <c r="F36" s="148" t="s">
        <v>3051</v>
      </c>
      <c r="G36" s="149" t="str">
        <f>G35</f>
        <v>사용자맞춤형포털 생성 프로세스 고도화</v>
      </c>
      <c r="H36" s="149" t="s">
        <v>1206</v>
      </c>
      <c r="I36" s="158"/>
      <c r="J36" s="137"/>
      <c r="K36" s="146" t="s">
        <v>1170</v>
      </c>
      <c r="L36" s="139">
        <f t="shared" si="0"/>
        <v>5.2</v>
      </c>
      <c r="M36" s="140">
        <f t="shared" si="1"/>
        <v>1</v>
      </c>
      <c r="N36" s="141">
        <f t="shared" si="2"/>
        <v>5.2</v>
      </c>
      <c r="O36" s="142" t="s">
        <v>1156</v>
      </c>
      <c r="P36" s="143" t="s">
        <v>1157</v>
      </c>
    </row>
    <row r="37" spans="3:16" ht="19.5" customHeight="1">
      <c r="C37" s="147">
        <v>32</v>
      </c>
      <c r="D37" s="142" t="s">
        <v>1150</v>
      </c>
      <c r="E37" s="148" t="s">
        <v>1151</v>
      </c>
      <c r="F37" s="148" t="s">
        <v>3052</v>
      </c>
      <c r="G37" s="149" t="str">
        <f>G36</f>
        <v>사용자맞춤형포털 생성 프로세스 고도화</v>
      </c>
      <c r="H37" s="149" t="s">
        <v>1207</v>
      </c>
      <c r="I37" s="158"/>
      <c r="J37" s="137"/>
      <c r="K37" s="138" t="s">
        <v>1155</v>
      </c>
      <c r="L37" s="139">
        <f t="shared" si="0"/>
        <v>7.5</v>
      </c>
      <c r="M37" s="140">
        <f t="shared" si="1"/>
        <v>1</v>
      </c>
      <c r="N37" s="141">
        <f t="shared" si="2"/>
        <v>7.5</v>
      </c>
      <c r="O37" s="142" t="s">
        <v>1156</v>
      </c>
      <c r="P37" s="143" t="s">
        <v>1157</v>
      </c>
    </row>
    <row r="38" spans="3:16" ht="19.5" customHeight="1">
      <c r="C38" s="147">
        <v>33</v>
      </c>
      <c r="D38" s="142" t="s">
        <v>1150</v>
      </c>
      <c r="E38" s="148" t="s">
        <v>1151</v>
      </c>
      <c r="F38" s="148" t="s">
        <v>3053</v>
      </c>
      <c r="G38" s="159" t="s">
        <v>1208</v>
      </c>
      <c r="H38" s="159" t="s">
        <v>1209</v>
      </c>
      <c r="I38" s="160" t="s">
        <v>1210</v>
      </c>
      <c r="J38" s="137"/>
      <c r="K38" s="138" t="s">
        <v>1155</v>
      </c>
      <c r="L38" s="139">
        <f t="shared" si="0"/>
        <v>7.5</v>
      </c>
      <c r="M38" s="140">
        <f t="shared" si="1"/>
        <v>1</v>
      </c>
      <c r="N38" s="141">
        <f t="shared" si="2"/>
        <v>7.5</v>
      </c>
      <c r="O38" s="142" t="s">
        <v>1156</v>
      </c>
      <c r="P38" s="143" t="s">
        <v>1157</v>
      </c>
    </row>
    <row r="39" spans="3:16" ht="19.5" customHeight="1">
      <c r="C39" s="147">
        <v>34</v>
      </c>
      <c r="D39" s="142" t="s">
        <v>1150</v>
      </c>
      <c r="E39" s="148" t="s">
        <v>1151</v>
      </c>
      <c r="F39" s="148" t="s">
        <v>3054</v>
      </c>
      <c r="G39" s="159" t="str">
        <f t="shared" ref="G39:G46" si="3">G38</f>
        <v>사용자맞춤형포털 권한 관리</v>
      </c>
      <c r="H39" s="159" t="s">
        <v>1211</v>
      </c>
      <c r="I39" s="160" t="s">
        <v>1212</v>
      </c>
      <c r="J39" s="137"/>
      <c r="K39" s="138" t="s">
        <v>1155</v>
      </c>
      <c r="L39" s="139">
        <f t="shared" si="0"/>
        <v>7.5</v>
      </c>
      <c r="M39" s="140">
        <f t="shared" si="1"/>
        <v>1</v>
      </c>
      <c r="N39" s="141">
        <f t="shared" si="2"/>
        <v>7.5</v>
      </c>
      <c r="O39" s="142" t="s">
        <v>1156</v>
      </c>
      <c r="P39" s="143" t="s">
        <v>1157</v>
      </c>
    </row>
    <row r="40" spans="3:16" ht="19.5" customHeight="1">
      <c r="C40" s="147">
        <v>35</v>
      </c>
      <c r="D40" s="142" t="s">
        <v>1150</v>
      </c>
      <c r="E40" s="148" t="s">
        <v>1151</v>
      </c>
      <c r="F40" s="148" t="s">
        <v>3055</v>
      </c>
      <c r="G40" s="159" t="str">
        <f t="shared" si="3"/>
        <v>사용자맞춤형포털 권한 관리</v>
      </c>
      <c r="H40" s="159" t="s">
        <v>1213</v>
      </c>
      <c r="I40" s="160" t="s">
        <v>1214</v>
      </c>
      <c r="J40" s="137"/>
      <c r="K40" s="138" t="s">
        <v>1155</v>
      </c>
      <c r="L40" s="139">
        <f t="shared" si="0"/>
        <v>7.5</v>
      </c>
      <c r="M40" s="140">
        <f t="shared" si="1"/>
        <v>1</v>
      </c>
      <c r="N40" s="141">
        <f t="shared" si="2"/>
        <v>7.5</v>
      </c>
      <c r="O40" s="142" t="s">
        <v>1156</v>
      </c>
      <c r="P40" s="143" t="s">
        <v>1157</v>
      </c>
    </row>
    <row r="41" spans="3:16" ht="19.5" customHeight="1">
      <c r="C41" s="147">
        <v>36</v>
      </c>
      <c r="D41" s="142" t="s">
        <v>1150</v>
      </c>
      <c r="E41" s="148" t="s">
        <v>1151</v>
      </c>
      <c r="F41" s="148" t="s">
        <v>3056</v>
      </c>
      <c r="G41" s="159" t="str">
        <f t="shared" si="3"/>
        <v>사용자맞춤형포털 권한 관리</v>
      </c>
      <c r="H41" s="159" t="s">
        <v>1215</v>
      </c>
      <c r="I41" s="160" t="s">
        <v>1210</v>
      </c>
      <c r="J41" s="137"/>
      <c r="K41" s="138" t="s">
        <v>1155</v>
      </c>
      <c r="L41" s="139">
        <f t="shared" si="0"/>
        <v>7.5</v>
      </c>
      <c r="M41" s="140">
        <f t="shared" si="1"/>
        <v>1</v>
      </c>
      <c r="N41" s="141">
        <f t="shared" si="2"/>
        <v>7.5</v>
      </c>
      <c r="O41" s="142" t="s">
        <v>1156</v>
      </c>
      <c r="P41" s="143" t="s">
        <v>1157</v>
      </c>
    </row>
    <row r="42" spans="3:16" ht="19.5" customHeight="1">
      <c r="C42" s="147">
        <v>37</v>
      </c>
      <c r="D42" s="142" t="s">
        <v>1150</v>
      </c>
      <c r="E42" s="148" t="s">
        <v>1151</v>
      </c>
      <c r="F42" s="148" t="s">
        <v>3057</v>
      </c>
      <c r="G42" s="159" t="str">
        <f t="shared" si="3"/>
        <v>사용자맞춤형포털 권한 관리</v>
      </c>
      <c r="H42" s="159" t="s">
        <v>1216</v>
      </c>
      <c r="I42" s="160" t="s">
        <v>1212</v>
      </c>
      <c r="J42" s="137"/>
      <c r="K42" s="138" t="s">
        <v>1155</v>
      </c>
      <c r="L42" s="139">
        <f t="shared" si="0"/>
        <v>7.5</v>
      </c>
      <c r="M42" s="140">
        <f t="shared" si="1"/>
        <v>1</v>
      </c>
      <c r="N42" s="141">
        <f t="shared" si="2"/>
        <v>7.5</v>
      </c>
      <c r="O42" s="142" t="s">
        <v>1156</v>
      </c>
      <c r="P42" s="143" t="s">
        <v>1157</v>
      </c>
    </row>
    <row r="43" spans="3:16" ht="19.5" customHeight="1">
      <c r="C43" s="147">
        <v>38</v>
      </c>
      <c r="D43" s="142" t="s">
        <v>1150</v>
      </c>
      <c r="E43" s="148" t="s">
        <v>1151</v>
      </c>
      <c r="F43" s="148" t="s">
        <v>3058</v>
      </c>
      <c r="G43" s="159" t="str">
        <f t="shared" si="3"/>
        <v>사용자맞춤형포털 권한 관리</v>
      </c>
      <c r="H43" s="159" t="s">
        <v>1217</v>
      </c>
      <c r="I43" s="160" t="s">
        <v>1218</v>
      </c>
      <c r="J43" s="137"/>
      <c r="K43" s="138" t="s">
        <v>1155</v>
      </c>
      <c r="L43" s="139">
        <f t="shared" si="0"/>
        <v>7.5</v>
      </c>
      <c r="M43" s="140">
        <f t="shared" si="1"/>
        <v>1</v>
      </c>
      <c r="N43" s="141">
        <f t="shared" si="2"/>
        <v>7.5</v>
      </c>
      <c r="O43" s="142" t="s">
        <v>1156</v>
      </c>
      <c r="P43" s="143" t="s">
        <v>1157</v>
      </c>
    </row>
    <row r="44" spans="3:16" ht="19.5" customHeight="1">
      <c r="C44" s="147">
        <v>39</v>
      </c>
      <c r="D44" s="142" t="s">
        <v>1150</v>
      </c>
      <c r="E44" s="148" t="s">
        <v>1151</v>
      </c>
      <c r="F44" s="148" t="s">
        <v>3059</v>
      </c>
      <c r="G44" s="159" t="str">
        <f t="shared" si="3"/>
        <v>사용자맞춤형포털 권한 관리</v>
      </c>
      <c r="H44" s="159" t="s">
        <v>1219</v>
      </c>
      <c r="I44" s="160" t="s">
        <v>1220</v>
      </c>
      <c r="J44" s="137"/>
      <c r="K44" s="138" t="s">
        <v>1155</v>
      </c>
      <c r="L44" s="139">
        <f t="shared" si="0"/>
        <v>7.5</v>
      </c>
      <c r="M44" s="140">
        <f t="shared" si="1"/>
        <v>1</v>
      </c>
      <c r="N44" s="141">
        <f t="shared" si="2"/>
        <v>7.5</v>
      </c>
      <c r="O44" s="142" t="s">
        <v>1156</v>
      </c>
      <c r="P44" s="143" t="s">
        <v>1157</v>
      </c>
    </row>
    <row r="45" spans="3:16" ht="19.5" customHeight="1">
      <c r="C45" s="147">
        <v>40</v>
      </c>
      <c r="D45" s="142" t="s">
        <v>1150</v>
      </c>
      <c r="E45" s="148" t="s">
        <v>1151</v>
      </c>
      <c r="F45" s="148" t="s">
        <v>3060</v>
      </c>
      <c r="G45" s="159" t="str">
        <f t="shared" si="3"/>
        <v>사용자맞춤형포털 권한 관리</v>
      </c>
      <c r="H45" s="159" t="s">
        <v>1221</v>
      </c>
      <c r="I45" s="160" t="s">
        <v>1210</v>
      </c>
      <c r="J45" s="137"/>
      <c r="K45" s="138" t="s">
        <v>1155</v>
      </c>
      <c r="L45" s="139">
        <f t="shared" si="0"/>
        <v>7.5</v>
      </c>
      <c r="M45" s="140">
        <f t="shared" si="1"/>
        <v>1</v>
      </c>
      <c r="N45" s="141">
        <f t="shared" si="2"/>
        <v>7.5</v>
      </c>
      <c r="O45" s="142" t="s">
        <v>1156</v>
      </c>
      <c r="P45" s="143" t="s">
        <v>1157</v>
      </c>
    </row>
    <row r="46" spans="3:16" ht="19.5" customHeight="1">
      <c r="C46" s="147">
        <v>41</v>
      </c>
      <c r="D46" s="142" t="s">
        <v>1150</v>
      </c>
      <c r="E46" s="148" t="s">
        <v>1151</v>
      </c>
      <c r="F46" s="148" t="s">
        <v>3061</v>
      </c>
      <c r="G46" s="159" t="str">
        <f t="shared" si="3"/>
        <v>사용자맞춤형포털 권한 관리</v>
      </c>
      <c r="H46" s="159" t="s">
        <v>1222</v>
      </c>
      <c r="I46" s="160" t="s">
        <v>1223</v>
      </c>
      <c r="J46" s="137"/>
      <c r="K46" s="138" t="s">
        <v>1155</v>
      </c>
      <c r="L46" s="139">
        <f t="shared" si="0"/>
        <v>7.5</v>
      </c>
      <c r="M46" s="140">
        <f t="shared" si="1"/>
        <v>1</v>
      </c>
      <c r="N46" s="141">
        <f t="shared" si="2"/>
        <v>7.5</v>
      </c>
      <c r="O46" s="142" t="s">
        <v>1156</v>
      </c>
      <c r="P46" s="143" t="s">
        <v>1157</v>
      </c>
    </row>
    <row r="47" spans="3:16" ht="19.5" customHeight="1">
      <c r="C47" s="147">
        <v>42</v>
      </c>
      <c r="D47" s="142" t="s">
        <v>1150</v>
      </c>
      <c r="E47" s="148" t="s">
        <v>1151</v>
      </c>
      <c r="F47" s="148" t="s">
        <v>3062</v>
      </c>
      <c r="G47" s="149" t="s">
        <v>1171</v>
      </c>
      <c r="H47" s="161" t="s">
        <v>1224</v>
      </c>
      <c r="I47" s="162"/>
      <c r="J47" s="137"/>
      <c r="K47" s="138" t="s">
        <v>1188</v>
      </c>
      <c r="L47" s="139">
        <f t="shared" si="0"/>
        <v>4</v>
      </c>
      <c r="M47" s="140">
        <f t="shared" si="1"/>
        <v>1</v>
      </c>
      <c r="N47" s="141">
        <f t="shared" si="2"/>
        <v>4</v>
      </c>
      <c r="O47" s="142" t="s">
        <v>1156</v>
      </c>
      <c r="P47" s="143" t="s">
        <v>1157</v>
      </c>
    </row>
    <row r="48" spans="3:16" ht="19.5" customHeight="1">
      <c r="C48" s="147">
        <v>43</v>
      </c>
      <c r="D48" s="142" t="s">
        <v>1150</v>
      </c>
      <c r="E48" s="148" t="s">
        <v>1151</v>
      </c>
      <c r="F48" s="148" t="s">
        <v>3063</v>
      </c>
      <c r="G48" s="161" t="str">
        <f>G47</f>
        <v>수요기관 모니터링 페이지 개발</v>
      </c>
      <c r="H48" s="150" t="s">
        <v>1225</v>
      </c>
      <c r="I48" s="151" t="s">
        <v>1173</v>
      </c>
      <c r="J48" s="137"/>
      <c r="K48" s="138" t="s">
        <v>1226</v>
      </c>
      <c r="L48" s="139">
        <f t="shared" si="0"/>
        <v>3.9</v>
      </c>
      <c r="M48" s="140">
        <f t="shared" si="1"/>
        <v>1</v>
      </c>
      <c r="N48" s="141">
        <f t="shared" si="2"/>
        <v>3.9</v>
      </c>
      <c r="O48" s="142" t="s">
        <v>1156</v>
      </c>
      <c r="P48" s="143" t="s">
        <v>1157</v>
      </c>
    </row>
    <row r="49" spans="3:16" ht="19.5" customHeight="1">
      <c r="C49" s="147">
        <v>44</v>
      </c>
      <c r="D49" s="142" t="s">
        <v>1150</v>
      </c>
      <c r="E49" s="148" t="s">
        <v>1151</v>
      </c>
      <c r="F49" s="148" t="s">
        <v>3064</v>
      </c>
      <c r="G49" s="161" t="str">
        <f>G48</f>
        <v>수요기관 모니터링 페이지 개발</v>
      </c>
      <c r="H49" s="161" t="s">
        <v>1227</v>
      </c>
      <c r="I49" s="162"/>
      <c r="J49" s="137"/>
      <c r="K49" s="138" t="s">
        <v>1226</v>
      </c>
      <c r="L49" s="139">
        <f t="shared" si="0"/>
        <v>3.9</v>
      </c>
      <c r="M49" s="140">
        <f t="shared" si="1"/>
        <v>1</v>
      </c>
      <c r="N49" s="141">
        <f t="shared" si="2"/>
        <v>3.9</v>
      </c>
      <c r="O49" s="142" t="s">
        <v>1156</v>
      </c>
      <c r="P49" s="143" t="s">
        <v>1157</v>
      </c>
    </row>
    <row r="50" spans="3:16" ht="19.5" customHeight="1">
      <c r="C50" s="147">
        <v>45</v>
      </c>
      <c r="D50" s="142" t="s">
        <v>1150</v>
      </c>
      <c r="E50" s="148" t="s">
        <v>1151</v>
      </c>
      <c r="F50" s="148" t="s">
        <v>3065</v>
      </c>
      <c r="G50" s="161" t="str">
        <f>G49</f>
        <v>수요기관 모니터링 페이지 개발</v>
      </c>
      <c r="H50" s="150" t="s">
        <v>1174</v>
      </c>
      <c r="I50" s="151" t="s">
        <v>1175</v>
      </c>
      <c r="J50" s="137"/>
      <c r="K50" s="138" t="s">
        <v>1226</v>
      </c>
      <c r="L50" s="139">
        <f t="shared" si="0"/>
        <v>3.9</v>
      </c>
      <c r="M50" s="140">
        <f t="shared" si="1"/>
        <v>1</v>
      </c>
      <c r="N50" s="141">
        <f t="shared" si="2"/>
        <v>3.9</v>
      </c>
      <c r="O50" s="142" t="s">
        <v>1156</v>
      </c>
      <c r="P50" s="143" t="s">
        <v>1157</v>
      </c>
    </row>
    <row r="51" spans="3:16" ht="19.5" customHeight="1">
      <c r="C51" s="147">
        <v>46</v>
      </c>
      <c r="D51" s="142" t="s">
        <v>1150</v>
      </c>
      <c r="E51" s="148" t="s">
        <v>1151</v>
      </c>
      <c r="F51" s="148" t="s">
        <v>3066</v>
      </c>
      <c r="G51" s="161" t="str">
        <f>G50</f>
        <v>수요기관 모니터링 페이지 개발</v>
      </c>
      <c r="H51" s="150" t="s">
        <v>1176</v>
      </c>
      <c r="I51" s="151" t="s">
        <v>1177</v>
      </c>
      <c r="J51" s="137"/>
      <c r="K51" s="138" t="s">
        <v>1226</v>
      </c>
      <c r="L51" s="139">
        <f t="shared" si="0"/>
        <v>3.9</v>
      </c>
      <c r="M51" s="140">
        <f t="shared" si="1"/>
        <v>1</v>
      </c>
      <c r="N51" s="141">
        <f t="shared" si="2"/>
        <v>3.9</v>
      </c>
      <c r="O51" s="142" t="s">
        <v>1156</v>
      </c>
      <c r="P51" s="143" t="s">
        <v>1157</v>
      </c>
    </row>
    <row r="52" spans="3:16" ht="19.5" customHeight="1">
      <c r="C52" s="147">
        <v>47</v>
      </c>
      <c r="D52" s="142" t="s">
        <v>1150</v>
      </c>
      <c r="E52" s="148" t="s">
        <v>1151</v>
      </c>
      <c r="F52" s="148" t="s">
        <v>3067</v>
      </c>
      <c r="G52" s="161" t="str">
        <f>G51</f>
        <v>수요기관 모니터링 페이지 개발</v>
      </c>
      <c r="H52" s="150" t="s">
        <v>1178</v>
      </c>
      <c r="I52" s="151" t="s">
        <v>1179</v>
      </c>
      <c r="J52" s="137"/>
      <c r="K52" s="138" t="s">
        <v>1155</v>
      </c>
      <c r="L52" s="139">
        <f t="shared" si="0"/>
        <v>7.5</v>
      </c>
      <c r="M52" s="140">
        <f t="shared" si="1"/>
        <v>1</v>
      </c>
      <c r="N52" s="141">
        <f t="shared" si="2"/>
        <v>7.5</v>
      </c>
      <c r="O52" s="142" t="s">
        <v>1156</v>
      </c>
      <c r="P52" s="143" t="s">
        <v>1157</v>
      </c>
    </row>
    <row r="53" spans="3:16" ht="19.5" customHeight="1">
      <c r="C53" s="133">
        <v>48</v>
      </c>
      <c r="D53" s="134" t="s">
        <v>1150</v>
      </c>
      <c r="E53" s="135" t="s">
        <v>1151</v>
      </c>
      <c r="F53" s="135" t="s">
        <v>3068</v>
      </c>
      <c r="G53" s="154" t="s">
        <v>1228</v>
      </c>
      <c r="H53" s="154" t="s">
        <v>1229</v>
      </c>
      <c r="I53" s="155"/>
      <c r="J53" s="137"/>
      <c r="K53" s="138" t="s">
        <v>1226</v>
      </c>
      <c r="L53" s="139">
        <f t="shared" si="0"/>
        <v>3.9</v>
      </c>
      <c r="M53" s="140">
        <f t="shared" si="1"/>
        <v>1</v>
      </c>
      <c r="N53" s="141">
        <f t="shared" si="2"/>
        <v>3.9</v>
      </c>
      <c r="O53" s="142" t="s">
        <v>1156</v>
      </c>
      <c r="P53" s="143" t="s">
        <v>1157</v>
      </c>
    </row>
    <row r="54" spans="3:16" ht="19.5" customHeight="1">
      <c r="C54" s="133">
        <v>49</v>
      </c>
      <c r="D54" s="134" t="s">
        <v>1150</v>
      </c>
      <c r="E54" s="135" t="s">
        <v>1151</v>
      </c>
      <c r="F54" s="135" t="s">
        <v>3069</v>
      </c>
      <c r="G54" s="154" t="str">
        <f t="shared" ref="G54:G59" si="4">G53</f>
        <v>DBMS 인프라 운영관리</v>
      </c>
      <c r="H54" s="154" t="s">
        <v>1230</v>
      </c>
      <c r="I54" s="155"/>
      <c r="J54" s="137"/>
      <c r="K54" s="138" t="s">
        <v>1188</v>
      </c>
      <c r="L54" s="139">
        <f t="shared" si="0"/>
        <v>4</v>
      </c>
      <c r="M54" s="140">
        <f t="shared" si="1"/>
        <v>1</v>
      </c>
      <c r="N54" s="141">
        <f t="shared" si="2"/>
        <v>4</v>
      </c>
      <c r="O54" s="142" t="s">
        <v>1156</v>
      </c>
      <c r="P54" s="143" t="s">
        <v>1157</v>
      </c>
    </row>
    <row r="55" spans="3:16" ht="19.5" customHeight="1">
      <c r="C55" s="133">
        <v>50</v>
      </c>
      <c r="D55" s="134" t="s">
        <v>1150</v>
      </c>
      <c r="E55" s="135" t="s">
        <v>1151</v>
      </c>
      <c r="F55" s="135" t="s">
        <v>3070</v>
      </c>
      <c r="G55" s="154" t="str">
        <f t="shared" si="4"/>
        <v>DBMS 인프라 운영관리</v>
      </c>
      <c r="H55" s="163" t="s">
        <v>1231</v>
      </c>
      <c r="I55" s="155"/>
      <c r="J55" s="137"/>
      <c r="K55" s="138" t="s">
        <v>1226</v>
      </c>
      <c r="L55" s="139">
        <f t="shared" si="0"/>
        <v>3.9</v>
      </c>
      <c r="M55" s="140">
        <f t="shared" si="1"/>
        <v>1</v>
      </c>
      <c r="N55" s="141">
        <f t="shared" si="2"/>
        <v>3.9</v>
      </c>
      <c r="O55" s="142" t="s">
        <v>1156</v>
      </c>
      <c r="P55" s="143" t="s">
        <v>1157</v>
      </c>
    </row>
    <row r="56" spans="3:16" ht="19.5" customHeight="1">
      <c r="C56" s="133">
        <v>51</v>
      </c>
      <c r="D56" s="134" t="s">
        <v>1150</v>
      </c>
      <c r="E56" s="135" t="s">
        <v>1151</v>
      </c>
      <c r="F56" s="135" t="s">
        <v>3071</v>
      </c>
      <c r="G56" s="154" t="str">
        <f t="shared" si="4"/>
        <v>DBMS 인프라 운영관리</v>
      </c>
      <c r="H56" s="154" t="s">
        <v>1232</v>
      </c>
      <c r="I56" s="155"/>
      <c r="J56" s="137"/>
      <c r="K56" s="138" t="s">
        <v>1226</v>
      </c>
      <c r="L56" s="139">
        <f t="shared" si="0"/>
        <v>3.9</v>
      </c>
      <c r="M56" s="140">
        <f t="shared" si="1"/>
        <v>1</v>
      </c>
      <c r="N56" s="141">
        <f t="shared" si="2"/>
        <v>3.9</v>
      </c>
      <c r="O56" s="142" t="s">
        <v>1156</v>
      </c>
      <c r="P56" s="143" t="s">
        <v>1157</v>
      </c>
    </row>
    <row r="57" spans="3:16" ht="19.5" customHeight="1">
      <c r="C57" s="133">
        <v>52</v>
      </c>
      <c r="D57" s="134" t="s">
        <v>1150</v>
      </c>
      <c r="E57" s="135" t="s">
        <v>1151</v>
      </c>
      <c r="F57" s="135" t="s">
        <v>3072</v>
      </c>
      <c r="G57" s="154" t="str">
        <f t="shared" si="4"/>
        <v>DBMS 인프라 운영관리</v>
      </c>
      <c r="H57" s="154" t="s">
        <v>1233</v>
      </c>
      <c r="I57" s="155"/>
      <c r="J57" s="137"/>
      <c r="K57" s="138" t="s">
        <v>1226</v>
      </c>
      <c r="L57" s="139">
        <f t="shared" si="0"/>
        <v>3.9</v>
      </c>
      <c r="M57" s="140">
        <f t="shared" si="1"/>
        <v>1</v>
      </c>
      <c r="N57" s="141">
        <f t="shared" si="2"/>
        <v>3.9</v>
      </c>
      <c r="O57" s="142" t="s">
        <v>1156</v>
      </c>
      <c r="P57" s="143" t="s">
        <v>1157</v>
      </c>
    </row>
    <row r="58" spans="3:16" ht="19.5" customHeight="1">
      <c r="C58" s="133">
        <v>53</v>
      </c>
      <c r="D58" s="134" t="s">
        <v>1150</v>
      </c>
      <c r="E58" s="135" t="s">
        <v>1151</v>
      </c>
      <c r="F58" s="135" t="s">
        <v>3073</v>
      </c>
      <c r="G58" s="154" t="str">
        <f t="shared" si="4"/>
        <v>DBMS 인프라 운영관리</v>
      </c>
      <c r="H58" s="154" t="s">
        <v>1234</v>
      </c>
      <c r="I58" s="155"/>
      <c r="J58" s="137"/>
      <c r="K58" s="138" t="s">
        <v>1226</v>
      </c>
      <c r="L58" s="139">
        <f t="shared" si="0"/>
        <v>3.9</v>
      </c>
      <c r="M58" s="140">
        <f t="shared" si="1"/>
        <v>1</v>
      </c>
      <c r="N58" s="141">
        <f t="shared" si="2"/>
        <v>3.9</v>
      </c>
      <c r="O58" s="142" t="s">
        <v>1156</v>
      </c>
      <c r="P58" s="143" t="s">
        <v>1157</v>
      </c>
    </row>
    <row r="59" spans="3:16" ht="19.5" customHeight="1">
      <c r="C59" s="133">
        <v>54</v>
      </c>
      <c r="D59" s="134" t="s">
        <v>1150</v>
      </c>
      <c r="E59" s="135" t="s">
        <v>1151</v>
      </c>
      <c r="F59" s="135" t="s">
        <v>3074</v>
      </c>
      <c r="G59" s="154" t="str">
        <f t="shared" si="4"/>
        <v>DBMS 인프라 운영관리</v>
      </c>
      <c r="H59" s="154" t="s">
        <v>1235</v>
      </c>
      <c r="I59" s="155"/>
      <c r="J59" s="137"/>
      <c r="K59" s="138" t="s">
        <v>1236</v>
      </c>
      <c r="L59" s="139">
        <f t="shared" si="0"/>
        <v>5.2</v>
      </c>
      <c r="M59" s="140">
        <f t="shared" si="1"/>
        <v>1</v>
      </c>
      <c r="N59" s="141">
        <f t="shared" si="2"/>
        <v>5.2</v>
      </c>
      <c r="O59" s="142" t="s">
        <v>1156</v>
      </c>
      <c r="P59" s="143" t="s">
        <v>1157</v>
      </c>
    </row>
    <row r="60" spans="3:16" ht="19.5" customHeight="1">
      <c r="C60" s="147">
        <v>55</v>
      </c>
      <c r="D60" s="142" t="s">
        <v>1150</v>
      </c>
      <c r="E60" s="148" t="s">
        <v>1151</v>
      </c>
      <c r="F60" s="148" t="s">
        <v>3075</v>
      </c>
      <c r="G60" s="161" t="s">
        <v>1237</v>
      </c>
      <c r="H60" s="149" t="s">
        <v>1238</v>
      </c>
      <c r="I60" s="160"/>
      <c r="J60" s="137"/>
      <c r="K60" s="138" t="s">
        <v>1155</v>
      </c>
      <c r="L60" s="139">
        <f t="shared" si="0"/>
        <v>7.5</v>
      </c>
      <c r="M60" s="140">
        <f t="shared" si="1"/>
        <v>1</v>
      </c>
      <c r="N60" s="141">
        <f t="shared" si="2"/>
        <v>7.5</v>
      </c>
      <c r="O60" s="142" t="s">
        <v>1156</v>
      </c>
      <c r="P60" s="143" t="s">
        <v>1157</v>
      </c>
    </row>
    <row r="61" spans="3:16" ht="19.5" customHeight="1">
      <c r="C61" s="147">
        <v>56</v>
      </c>
      <c r="D61" s="142" t="s">
        <v>1150</v>
      </c>
      <c r="E61" s="148" t="s">
        <v>1151</v>
      </c>
      <c r="F61" s="148" t="s">
        <v>3076</v>
      </c>
      <c r="G61" s="161" t="str">
        <f t="shared" ref="G61:G85" si="5">G60</f>
        <v>PaaS 권한 관리</v>
      </c>
      <c r="H61" s="149" t="s">
        <v>1239</v>
      </c>
      <c r="I61" s="160"/>
      <c r="J61" s="137"/>
      <c r="K61" s="138" t="s">
        <v>1160</v>
      </c>
      <c r="L61" s="139">
        <f t="shared" si="0"/>
        <v>3.9</v>
      </c>
      <c r="M61" s="140">
        <f t="shared" si="1"/>
        <v>1</v>
      </c>
      <c r="N61" s="141">
        <f t="shared" si="2"/>
        <v>3.9</v>
      </c>
      <c r="O61" s="142" t="s">
        <v>1156</v>
      </c>
      <c r="P61" s="143" t="s">
        <v>1157</v>
      </c>
    </row>
    <row r="62" spans="3:16" ht="19.5" customHeight="1">
      <c r="C62" s="147">
        <v>57</v>
      </c>
      <c r="D62" s="142" t="s">
        <v>1150</v>
      </c>
      <c r="E62" s="148" t="s">
        <v>1151</v>
      </c>
      <c r="F62" s="148" t="s">
        <v>3077</v>
      </c>
      <c r="G62" s="149" t="str">
        <f t="shared" si="5"/>
        <v>PaaS 권한 관리</v>
      </c>
      <c r="H62" s="149" t="s">
        <v>1240</v>
      </c>
      <c r="I62" s="160"/>
      <c r="J62" s="137"/>
      <c r="K62" s="138" t="s">
        <v>1163</v>
      </c>
      <c r="L62" s="139">
        <f t="shared" si="0"/>
        <v>4</v>
      </c>
      <c r="M62" s="140">
        <f t="shared" si="1"/>
        <v>1</v>
      </c>
      <c r="N62" s="141">
        <f t="shared" si="2"/>
        <v>4</v>
      </c>
      <c r="O62" s="142" t="s">
        <v>1156</v>
      </c>
      <c r="P62" s="143" t="s">
        <v>1157</v>
      </c>
    </row>
    <row r="63" spans="3:16" ht="19.5" customHeight="1">
      <c r="C63" s="147">
        <v>58</v>
      </c>
      <c r="D63" s="142" t="s">
        <v>1150</v>
      </c>
      <c r="E63" s="148" t="s">
        <v>1151</v>
      </c>
      <c r="F63" s="148" t="s">
        <v>3078</v>
      </c>
      <c r="G63" s="149" t="str">
        <f t="shared" si="5"/>
        <v>PaaS 권한 관리</v>
      </c>
      <c r="H63" s="149" t="s">
        <v>1241</v>
      </c>
      <c r="I63" s="160"/>
      <c r="J63" s="137"/>
      <c r="K63" s="138" t="s">
        <v>1163</v>
      </c>
      <c r="L63" s="139">
        <f t="shared" si="0"/>
        <v>4</v>
      </c>
      <c r="M63" s="140">
        <f t="shared" si="1"/>
        <v>1</v>
      </c>
      <c r="N63" s="141">
        <f t="shared" si="2"/>
        <v>4</v>
      </c>
      <c r="O63" s="142" t="s">
        <v>1156</v>
      </c>
      <c r="P63" s="143" t="s">
        <v>1157</v>
      </c>
    </row>
    <row r="64" spans="3:16" ht="19.5" customHeight="1">
      <c r="C64" s="147">
        <v>59</v>
      </c>
      <c r="D64" s="142" t="s">
        <v>1150</v>
      </c>
      <c r="E64" s="148" t="s">
        <v>1151</v>
      </c>
      <c r="F64" s="148" t="s">
        <v>3079</v>
      </c>
      <c r="G64" s="149" t="str">
        <f t="shared" si="5"/>
        <v>PaaS 권한 관리</v>
      </c>
      <c r="H64" s="149" t="s">
        <v>1242</v>
      </c>
      <c r="I64" s="160"/>
      <c r="J64" s="137"/>
      <c r="K64" s="138" t="s">
        <v>1163</v>
      </c>
      <c r="L64" s="139">
        <f t="shared" si="0"/>
        <v>4</v>
      </c>
      <c r="M64" s="140">
        <f t="shared" si="1"/>
        <v>1</v>
      </c>
      <c r="N64" s="141">
        <f t="shared" si="2"/>
        <v>4</v>
      </c>
      <c r="O64" s="142" t="s">
        <v>1156</v>
      </c>
      <c r="P64" s="143" t="s">
        <v>1157</v>
      </c>
    </row>
    <row r="65" spans="3:16" ht="19.5" customHeight="1">
      <c r="C65" s="147">
        <v>60</v>
      </c>
      <c r="D65" s="142" t="s">
        <v>1150</v>
      </c>
      <c r="E65" s="148" t="s">
        <v>1151</v>
      </c>
      <c r="F65" s="148" t="s">
        <v>3080</v>
      </c>
      <c r="G65" s="149" t="str">
        <f t="shared" si="5"/>
        <v>PaaS 권한 관리</v>
      </c>
      <c r="H65" s="149" t="s">
        <v>1243</v>
      </c>
      <c r="I65" s="160"/>
      <c r="J65" s="137"/>
      <c r="K65" s="138" t="s">
        <v>1155</v>
      </c>
      <c r="L65" s="139">
        <f t="shared" si="0"/>
        <v>7.5</v>
      </c>
      <c r="M65" s="140">
        <f t="shared" si="1"/>
        <v>1</v>
      </c>
      <c r="N65" s="141">
        <f t="shared" si="2"/>
        <v>7.5</v>
      </c>
      <c r="O65" s="142" t="s">
        <v>1156</v>
      </c>
      <c r="P65" s="143" t="s">
        <v>1157</v>
      </c>
    </row>
    <row r="66" spans="3:16" ht="19.5" customHeight="1">
      <c r="C66" s="147">
        <v>61</v>
      </c>
      <c r="D66" s="142" t="s">
        <v>1150</v>
      </c>
      <c r="E66" s="148" t="s">
        <v>1151</v>
      </c>
      <c r="F66" s="148" t="s">
        <v>3081</v>
      </c>
      <c r="G66" s="149" t="str">
        <f t="shared" si="5"/>
        <v>PaaS 권한 관리</v>
      </c>
      <c r="H66" s="149" t="s">
        <v>1244</v>
      </c>
      <c r="I66" s="160"/>
      <c r="J66" s="137"/>
      <c r="K66" s="138" t="s">
        <v>1160</v>
      </c>
      <c r="L66" s="139">
        <f t="shared" si="0"/>
        <v>3.9</v>
      </c>
      <c r="M66" s="140">
        <f t="shared" si="1"/>
        <v>1</v>
      </c>
      <c r="N66" s="141">
        <f t="shared" si="2"/>
        <v>3.9</v>
      </c>
      <c r="O66" s="142" t="s">
        <v>1156</v>
      </c>
      <c r="P66" s="143" t="s">
        <v>1157</v>
      </c>
    </row>
    <row r="67" spans="3:16" ht="19.5" customHeight="1">
      <c r="C67" s="147">
        <v>62</v>
      </c>
      <c r="D67" s="142" t="s">
        <v>1150</v>
      </c>
      <c r="E67" s="148" t="s">
        <v>1151</v>
      </c>
      <c r="F67" s="148" t="s">
        <v>3082</v>
      </c>
      <c r="G67" s="149" t="str">
        <f t="shared" si="5"/>
        <v>PaaS 권한 관리</v>
      </c>
      <c r="H67" s="149" t="s">
        <v>1245</v>
      </c>
      <c r="I67" s="160"/>
      <c r="J67" s="137"/>
      <c r="K67" s="138" t="s">
        <v>1163</v>
      </c>
      <c r="L67" s="139">
        <f t="shared" si="0"/>
        <v>4</v>
      </c>
      <c r="M67" s="140">
        <f t="shared" si="1"/>
        <v>1</v>
      </c>
      <c r="N67" s="141">
        <f t="shared" si="2"/>
        <v>4</v>
      </c>
      <c r="O67" s="142" t="s">
        <v>1156</v>
      </c>
      <c r="P67" s="143" t="s">
        <v>1157</v>
      </c>
    </row>
    <row r="68" spans="3:16" ht="19.5" customHeight="1">
      <c r="C68" s="147">
        <v>63</v>
      </c>
      <c r="D68" s="142" t="s">
        <v>1150</v>
      </c>
      <c r="E68" s="148" t="s">
        <v>1151</v>
      </c>
      <c r="F68" s="148" t="s">
        <v>3083</v>
      </c>
      <c r="G68" s="149" t="str">
        <f t="shared" si="5"/>
        <v>PaaS 권한 관리</v>
      </c>
      <c r="H68" s="149" t="s">
        <v>1246</v>
      </c>
      <c r="I68" s="160"/>
      <c r="J68" s="137"/>
      <c r="K68" s="138" t="s">
        <v>1163</v>
      </c>
      <c r="L68" s="139">
        <f t="shared" si="0"/>
        <v>4</v>
      </c>
      <c r="M68" s="140">
        <f t="shared" si="1"/>
        <v>1</v>
      </c>
      <c r="N68" s="141">
        <f t="shared" si="2"/>
        <v>4</v>
      </c>
      <c r="O68" s="142" t="s">
        <v>1156</v>
      </c>
      <c r="P68" s="143" t="s">
        <v>1157</v>
      </c>
    </row>
    <row r="69" spans="3:16" ht="19.5" customHeight="1">
      <c r="C69" s="147">
        <v>64</v>
      </c>
      <c r="D69" s="142" t="s">
        <v>1150</v>
      </c>
      <c r="E69" s="148" t="s">
        <v>1151</v>
      </c>
      <c r="F69" s="148" t="s">
        <v>3084</v>
      </c>
      <c r="G69" s="149" t="str">
        <f t="shared" si="5"/>
        <v>PaaS 권한 관리</v>
      </c>
      <c r="H69" s="149" t="s">
        <v>1247</v>
      </c>
      <c r="I69" s="158"/>
      <c r="J69" s="137"/>
      <c r="K69" s="138" t="s">
        <v>1163</v>
      </c>
      <c r="L69" s="139">
        <f t="shared" si="0"/>
        <v>4</v>
      </c>
      <c r="M69" s="140">
        <f t="shared" si="1"/>
        <v>1</v>
      </c>
      <c r="N69" s="141">
        <f t="shared" si="2"/>
        <v>4</v>
      </c>
      <c r="O69" s="142" t="s">
        <v>1156</v>
      </c>
      <c r="P69" s="143" t="s">
        <v>1157</v>
      </c>
    </row>
    <row r="70" spans="3:16" ht="19.5" customHeight="1">
      <c r="C70" s="147">
        <v>65</v>
      </c>
      <c r="D70" s="142" t="s">
        <v>1150</v>
      </c>
      <c r="E70" s="148" t="s">
        <v>1151</v>
      </c>
      <c r="F70" s="148" t="s">
        <v>3085</v>
      </c>
      <c r="G70" s="149" t="str">
        <f t="shared" si="5"/>
        <v>PaaS 권한 관리</v>
      </c>
      <c r="H70" s="149" t="s">
        <v>1248</v>
      </c>
      <c r="I70" s="158"/>
      <c r="J70" s="137"/>
      <c r="K70" s="138" t="s">
        <v>1155</v>
      </c>
      <c r="L70" s="139">
        <f t="shared" ref="L70:L101" si="6">IF(K70="","",IF(K70="EI",4,IF(K70="EO",5.2,IF(K70="EQ",3.9,IF(K70="ILF",7.5,IF(K70="EIF",5.4))))))</f>
        <v>7.5</v>
      </c>
      <c r="M70" s="140">
        <f t="shared" ref="M70:M105" si="7">IF(O70="","",IF(O70="신규",1,IF(O70="고도화",1.04,IF(O70="재사용",0.25))))</f>
        <v>1</v>
      </c>
      <c r="N70" s="141">
        <f t="shared" ref="N70:N101" si="8">L70*M70</f>
        <v>7.5</v>
      </c>
      <c r="O70" s="142" t="s">
        <v>1156</v>
      </c>
      <c r="P70" s="143" t="s">
        <v>1157</v>
      </c>
    </row>
    <row r="71" spans="3:16" ht="19.5" customHeight="1">
      <c r="C71" s="147">
        <v>66</v>
      </c>
      <c r="D71" s="142" t="s">
        <v>1150</v>
      </c>
      <c r="E71" s="148" t="s">
        <v>1151</v>
      </c>
      <c r="F71" s="148" t="s">
        <v>3086</v>
      </c>
      <c r="G71" s="149" t="str">
        <f t="shared" si="5"/>
        <v>PaaS 권한 관리</v>
      </c>
      <c r="H71" s="149" t="s">
        <v>1249</v>
      </c>
      <c r="I71" s="158"/>
      <c r="J71" s="137"/>
      <c r="K71" s="138" t="s">
        <v>1160</v>
      </c>
      <c r="L71" s="139">
        <f t="shared" si="6"/>
        <v>3.9</v>
      </c>
      <c r="M71" s="140">
        <f t="shared" si="7"/>
        <v>1</v>
      </c>
      <c r="N71" s="141">
        <f t="shared" si="8"/>
        <v>3.9</v>
      </c>
      <c r="O71" s="142" t="s">
        <v>1156</v>
      </c>
      <c r="P71" s="143" t="s">
        <v>1157</v>
      </c>
    </row>
    <row r="72" spans="3:16" ht="19.5" customHeight="1">
      <c r="C72" s="147">
        <v>67</v>
      </c>
      <c r="D72" s="142" t="s">
        <v>1150</v>
      </c>
      <c r="E72" s="148" t="s">
        <v>1151</v>
      </c>
      <c r="F72" s="148" t="s">
        <v>3087</v>
      </c>
      <c r="G72" s="149" t="str">
        <f t="shared" si="5"/>
        <v>PaaS 권한 관리</v>
      </c>
      <c r="H72" s="149" t="s">
        <v>1250</v>
      </c>
      <c r="I72" s="158"/>
      <c r="J72" s="137"/>
      <c r="K72" s="138" t="s">
        <v>1163</v>
      </c>
      <c r="L72" s="139">
        <f t="shared" si="6"/>
        <v>4</v>
      </c>
      <c r="M72" s="140">
        <f t="shared" si="7"/>
        <v>1</v>
      </c>
      <c r="N72" s="141">
        <f t="shared" si="8"/>
        <v>4</v>
      </c>
      <c r="O72" s="142" t="s">
        <v>1156</v>
      </c>
      <c r="P72" s="143" t="s">
        <v>1157</v>
      </c>
    </row>
    <row r="73" spans="3:16" ht="19.5" customHeight="1">
      <c r="C73" s="147">
        <v>68</v>
      </c>
      <c r="D73" s="142" t="s">
        <v>1150</v>
      </c>
      <c r="E73" s="148" t="s">
        <v>1151</v>
      </c>
      <c r="F73" s="148" t="s">
        <v>3088</v>
      </c>
      <c r="G73" s="149" t="str">
        <f t="shared" si="5"/>
        <v>PaaS 권한 관리</v>
      </c>
      <c r="H73" s="149" t="s">
        <v>1251</v>
      </c>
      <c r="I73" s="158"/>
      <c r="J73" s="137"/>
      <c r="K73" s="138" t="s">
        <v>1163</v>
      </c>
      <c r="L73" s="139">
        <f t="shared" si="6"/>
        <v>4</v>
      </c>
      <c r="M73" s="140">
        <f t="shared" si="7"/>
        <v>1</v>
      </c>
      <c r="N73" s="141">
        <f t="shared" si="8"/>
        <v>4</v>
      </c>
      <c r="O73" s="142" t="s">
        <v>1156</v>
      </c>
      <c r="P73" s="143" t="s">
        <v>1157</v>
      </c>
    </row>
    <row r="74" spans="3:16" ht="19.5" customHeight="1">
      <c r="C74" s="147">
        <v>69</v>
      </c>
      <c r="D74" s="142" t="s">
        <v>1150</v>
      </c>
      <c r="E74" s="148" t="s">
        <v>1151</v>
      </c>
      <c r="F74" s="148" t="s">
        <v>3089</v>
      </c>
      <c r="G74" s="149" t="str">
        <f t="shared" si="5"/>
        <v>PaaS 권한 관리</v>
      </c>
      <c r="H74" s="149" t="s">
        <v>1252</v>
      </c>
      <c r="I74" s="158"/>
      <c r="J74" s="137"/>
      <c r="K74" s="138" t="s">
        <v>1163</v>
      </c>
      <c r="L74" s="139">
        <f t="shared" si="6"/>
        <v>4</v>
      </c>
      <c r="M74" s="140">
        <f t="shared" si="7"/>
        <v>1</v>
      </c>
      <c r="N74" s="141">
        <f t="shared" si="8"/>
        <v>4</v>
      </c>
      <c r="O74" s="142" t="s">
        <v>1156</v>
      </c>
      <c r="P74" s="143" t="s">
        <v>1157</v>
      </c>
    </row>
    <row r="75" spans="3:16" ht="19.5" customHeight="1">
      <c r="C75" s="147">
        <v>70</v>
      </c>
      <c r="D75" s="142" t="s">
        <v>1150</v>
      </c>
      <c r="E75" s="148" t="s">
        <v>1151</v>
      </c>
      <c r="F75" s="148" t="s">
        <v>3090</v>
      </c>
      <c r="G75" s="149" t="str">
        <f t="shared" si="5"/>
        <v>PaaS 권한 관리</v>
      </c>
      <c r="H75" s="149" t="s">
        <v>1253</v>
      </c>
      <c r="I75" s="158"/>
      <c r="J75" s="137"/>
      <c r="K75" s="138" t="s">
        <v>1202</v>
      </c>
      <c r="L75" s="139">
        <f t="shared" si="6"/>
        <v>7.5</v>
      </c>
      <c r="M75" s="140">
        <f t="shared" si="7"/>
        <v>1</v>
      </c>
      <c r="N75" s="141">
        <f t="shared" si="8"/>
        <v>7.5</v>
      </c>
      <c r="O75" s="142" t="s">
        <v>1156</v>
      </c>
      <c r="P75" s="143" t="s">
        <v>1157</v>
      </c>
    </row>
    <row r="76" spans="3:16" ht="19.5" customHeight="1">
      <c r="C76" s="147">
        <v>71</v>
      </c>
      <c r="D76" s="142" t="s">
        <v>1150</v>
      </c>
      <c r="E76" s="148" t="s">
        <v>1151</v>
      </c>
      <c r="F76" s="148" t="s">
        <v>3091</v>
      </c>
      <c r="G76" s="149" t="str">
        <f t="shared" si="5"/>
        <v>PaaS 권한 관리</v>
      </c>
      <c r="H76" s="149" t="s">
        <v>1254</v>
      </c>
      <c r="I76" s="158"/>
      <c r="J76" s="137"/>
      <c r="K76" s="138" t="s">
        <v>1160</v>
      </c>
      <c r="L76" s="139">
        <f t="shared" si="6"/>
        <v>3.9</v>
      </c>
      <c r="M76" s="140">
        <f t="shared" si="7"/>
        <v>1</v>
      </c>
      <c r="N76" s="141">
        <f t="shared" si="8"/>
        <v>3.9</v>
      </c>
      <c r="O76" s="142" t="s">
        <v>1156</v>
      </c>
      <c r="P76" s="143" t="s">
        <v>1157</v>
      </c>
    </row>
    <row r="77" spans="3:16" ht="19.5" customHeight="1">
      <c r="C77" s="147">
        <v>72</v>
      </c>
      <c r="D77" s="142" t="s">
        <v>1150</v>
      </c>
      <c r="E77" s="148" t="s">
        <v>1151</v>
      </c>
      <c r="F77" s="148" t="s">
        <v>3092</v>
      </c>
      <c r="G77" s="149" t="str">
        <f t="shared" si="5"/>
        <v>PaaS 권한 관리</v>
      </c>
      <c r="H77" s="149" t="s">
        <v>1255</v>
      </c>
      <c r="I77" s="158"/>
      <c r="J77" s="137"/>
      <c r="K77" s="138" t="s">
        <v>1163</v>
      </c>
      <c r="L77" s="139">
        <f t="shared" si="6"/>
        <v>4</v>
      </c>
      <c r="M77" s="140">
        <f t="shared" si="7"/>
        <v>1</v>
      </c>
      <c r="N77" s="141">
        <f t="shared" si="8"/>
        <v>4</v>
      </c>
      <c r="O77" s="142" t="s">
        <v>1156</v>
      </c>
      <c r="P77" s="143" t="s">
        <v>1157</v>
      </c>
    </row>
    <row r="78" spans="3:16" ht="19.5" customHeight="1">
      <c r="C78" s="147">
        <v>73</v>
      </c>
      <c r="D78" s="142" t="s">
        <v>1150</v>
      </c>
      <c r="E78" s="148" t="s">
        <v>1151</v>
      </c>
      <c r="F78" s="148" t="s">
        <v>3093</v>
      </c>
      <c r="G78" s="149" t="str">
        <f t="shared" si="5"/>
        <v>PaaS 권한 관리</v>
      </c>
      <c r="H78" s="149" t="s">
        <v>1256</v>
      </c>
      <c r="I78" s="158"/>
      <c r="J78" s="137"/>
      <c r="K78" s="138" t="s">
        <v>1163</v>
      </c>
      <c r="L78" s="139">
        <f t="shared" si="6"/>
        <v>4</v>
      </c>
      <c r="M78" s="140">
        <f t="shared" si="7"/>
        <v>1</v>
      </c>
      <c r="N78" s="141">
        <f t="shared" si="8"/>
        <v>4</v>
      </c>
      <c r="O78" s="142" t="s">
        <v>1156</v>
      </c>
      <c r="P78" s="143" t="s">
        <v>1157</v>
      </c>
    </row>
    <row r="79" spans="3:16" ht="19.5" customHeight="1">
      <c r="C79" s="147">
        <v>74</v>
      </c>
      <c r="D79" s="142" t="s">
        <v>1150</v>
      </c>
      <c r="E79" s="148" t="s">
        <v>1151</v>
      </c>
      <c r="F79" s="148" t="s">
        <v>3094</v>
      </c>
      <c r="G79" s="149" t="str">
        <f t="shared" si="5"/>
        <v>PaaS 권한 관리</v>
      </c>
      <c r="H79" s="149" t="s">
        <v>1257</v>
      </c>
      <c r="I79" s="158"/>
      <c r="J79" s="137"/>
      <c r="K79" s="138" t="s">
        <v>1188</v>
      </c>
      <c r="L79" s="139">
        <f t="shared" si="6"/>
        <v>4</v>
      </c>
      <c r="M79" s="140">
        <f t="shared" si="7"/>
        <v>1</v>
      </c>
      <c r="N79" s="141">
        <f t="shared" si="8"/>
        <v>4</v>
      </c>
      <c r="O79" s="142" t="s">
        <v>1156</v>
      </c>
      <c r="P79" s="143" t="s">
        <v>1157</v>
      </c>
    </row>
    <row r="80" spans="3:16" ht="19.5" customHeight="1">
      <c r="C80" s="147">
        <v>75</v>
      </c>
      <c r="D80" s="142" t="s">
        <v>1150</v>
      </c>
      <c r="E80" s="148" t="s">
        <v>1151</v>
      </c>
      <c r="F80" s="148" t="s">
        <v>3095</v>
      </c>
      <c r="G80" s="149" t="str">
        <f t="shared" si="5"/>
        <v>PaaS 권한 관리</v>
      </c>
      <c r="H80" s="149" t="s">
        <v>1258</v>
      </c>
      <c r="I80" s="158"/>
      <c r="J80" s="137"/>
      <c r="K80" s="138" t="s">
        <v>1163</v>
      </c>
      <c r="L80" s="139">
        <f t="shared" si="6"/>
        <v>4</v>
      </c>
      <c r="M80" s="140">
        <f t="shared" si="7"/>
        <v>1</v>
      </c>
      <c r="N80" s="141">
        <f t="shared" si="8"/>
        <v>4</v>
      </c>
      <c r="O80" s="142" t="s">
        <v>1156</v>
      </c>
      <c r="P80" s="143" t="s">
        <v>1157</v>
      </c>
    </row>
    <row r="81" spans="3:16" ht="19.5" customHeight="1">
      <c r="C81" s="147">
        <v>76</v>
      </c>
      <c r="D81" s="142" t="s">
        <v>1150</v>
      </c>
      <c r="E81" s="148" t="s">
        <v>1151</v>
      </c>
      <c r="F81" s="148" t="s">
        <v>3096</v>
      </c>
      <c r="G81" s="149" t="str">
        <f t="shared" si="5"/>
        <v>PaaS 권한 관리</v>
      </c>
      <c r="H81" s="149" t="s">
        <v>1221</v>
      </c>
      <c r="I81" s="158"/>
      <c r="J81" s="137"/>
      <c r="K81" s="138" t="s">
        <v>1202</v>
      </c>
      <c r="L81" s="139">
        <f t="shared" si="6"/>
        <v>7.5</v>
      </c>
      <c r="M81" s="140">
        <f t="shared" si="7"/>
        <v>1</v>
      </c>
      <c r="N81" s="141">
        <f t="shared" si="8"/>
        <v>7.5</v>
      </c>
      <c r="O81" s="142" t="s">
        <v>1156</v>
      </c>
      <c r="P81" s="143" t="s">
        <v>1157</v>
      </c>
    </row>
    <row r="82" spans="3:16" ht="19.5" customHeight="1">
      <c r="C82" s="147">
        <v>77</v>
      </c>
      <c r="D82" s="142" t="s">
        <v>1150</v>
      </c>
      <c r="E82" s="148" t="s">
        <v>1151</v>
      </c>
      <c r="F82" s="148" t="s">
        <v>3097</v>
      </c>
      <c r="G82" s="149" t="str">
        <f t="shared" si="5"/>
        <v>PaaS 권한 관리</v>
      </c>
      <c r="H82" s="149" t="s">
        <v>1259</v>
      </c>
      <c r="I82" s="158"/>
      <c r="J82" s="137"/>
      <c r="K82" s="138" t="s">
        <v>1160</v>
      </c>
      <c r="L82" s="139">
        <f t="shared" si="6"/>
        <v>3.9</v>
      </c>
      <c r="M82" s="140">
        <f t="shared" si="7"/>
        <v>1</v>
      </c>
      <c r="N82" s="141">
        <f t="shared" si="8"/>
        <v>3.9</v>
      </c>
      <c r="O82" s="142" t="s">
        <v>1156</v>
      </c>
      <c r="P82" s="143" t="s">
        <v>1157</v>
      </c>
    </row>
    <row r="83" spans="3:16" ht="19.5" customHeight="1">
      <c r="C83" s="147">
        <v>78</v>
      </c>
      <c r="D83" s="142" t="s">
        <v>1150</v>
      </c>
      <c r="E83" s="148" t="s">
        <v>1151</v>
      </c>
      <c r="F83" s="148" t="s">
        <v>3098</v>
      </c>
      <c r="G83" s="149" t="str">
        <f t="shared" si="5"/>
        <v>PaaS 권한 관리</v>
      </c>
      <c r="H83" s="149" t="s">
        <v>1260</v>
      </c>
      <c r="I83" s="158"/>
      <c r="J83" s="137"/>
      <c r="K83" s="138" t="s">
        <v>1163</v>
      </c>
      <c r="L83" s="139">
        <f t="shared" si="6"/>
        <v>4</v>
      </c>
      <c r="M83" s="140">
        <f t="shared" si="7"/>
        <v>1</v>
      </c>
      <c r="N83" s="141">
        <f t="shared" si="8"/>
        <v>4</v>
      </c>
      <c r="O83" s="142" t="s">
        <v>1156</v>
      </c>
      <c r="P83" s="143" t="s">
        <v>1157</v>
      </c>
    </row>
    <row r="84" spans="3:16" ht="19.5" customHeight="1">
      <c r="C84" s="147">
        <v>79</v>
      </c>
      <c r="D84" s="142" t="s">
        <v>1150</v>
      </c>
      <c r="E84" s="148" t="s">
        <v>1151</v>
      </c>
      <c r="F84" s="148" t="s">
        <v>3099</v>
      </c>
      <c r="G84" s="149" t="str">
        <f t="shared" si="5"/>
        <v>PaaS 권한 관리</v>
      </c>
      <c r="H84" s="149" t="s">
        <v>1261</v>
      </c>
      <c r="I84" s="158"/>
      <c r="J84" s="137"/>
      <c r="K84" s="138" t="s">
        <v>1163</v>
      </c>
      <c r="L84" s="139">
        <f t="shared" si="6"/>
        <v>4</v>
      </c>
      <c r="M84" s="140">
        <f t="shared" si="7"/>
        <v>1</v>
      </c>
      <c r="N84" s="141">
        <f t="shared" si="8"/>
        <v>4</v>
      </c>
      <c r="O84" s="142" t="s">
        <v>1156</v>
      </c>
      <c r="P84" s="143" t="s">
        <v>1157</v>
      </c>
    </row>
    <row r="85" spans="3:16" ht="19.5" customHeight="1">
      <c r="C85" s="147">
        <v>80</v>
      </c>
      <c r="D85" s="142" t="s">
        <v>1150</v>
      </c>
      <c r="E85" s="148" t="s">
        <v>1151</v>
      </c>
      <c r="F85" s="148" t="s">
        <v>3100</v>
      </c>
      <c r="G85" s="149" t="str">
        <f t="shared" si="5"/>
        <v>PaaS 권한 관리</v>
      </c>
      <c r="H85" s="149" t="s">
        <v>1262</v>
      </c>
      <c r="I85" s="158"/>
      <c r="J85" s="137"/>
      <c r="K85" s="138" t="s">
        <v>1163</v>
      </c>
      <c r="L85" s="139">
        <f t="shared" si="6"/>
        <v>4</v>
      </c>
      <c r="M85" s="140">
        <f t="shared" si="7"/>
        <v>1</v>
      </c>
      <c r="N85" s="141">
        <f t="shared" si="8"/>
        <v>4</v>
      </c>
      <c r="O85" s="142" t="s">
        <v>1156</v>
      </c>
      <c r="P85" s="143" t="s">
        <v>1157</v>
      </c>
    </row>
    <row r="86" spans="3:16" ht="19.5" customHeight="1">
      <c r="C86" s="147">
        <v>81</v>
      </c>
      <c r="D86" s="142" t="s">
        <v>1150</v>
      </c>
      <c r="E86" s="148" t="s">
        <v>1151</v>
      </c>
      <c r="F86" s="148" t="s">
        <v>3101</v>
      </c>
      <c r="G86" s="149" t="s">
        <v>1263</v>
      </c>
      <c r="H86" s="149" t="s">
        <v>1264</v>
      </c>
      <c r="I86" s="158"/>
      <c r="J86" s="137"/>
      <c r="K86" s="138" t="s">
        <v>1202</v>
      </c>
      <c r="L86" s="139">
        <f t="shared" si="6"/>
        <v>7.5</v>
      </c>
      <c r="M86" s="140">
        <f t="shared" si="7"/>
        <v>1</v>
      </c>
      <c r="N86" s="141">
        <f t="shared" si="8"/>
        <v>7.5</v>
      </c>
      <c r="O86" s="142" t="s">
        <v>1156</v>
      </c>
      <c r="P86" s="143" t="s">
        <v>1157</v>
      </c>
    </row>
    <row r="87" spans="3:16" ht="19.5" customHeight="1">
      <c r="C87" s="147">
        <v>82</v>
      </c>
      <c r="D87" s="142" t="s">
        <v>1150</v>
      </c>
      <c r="E87" s="148" t="s">
        <v>1151</v>
      </c>
      <c r="F87" s="148" t="s">
        <v>3102</v>
      </c>
      <c r="G87" s="149" t="str">
        <f>G86</f>
        <v>PaaS 워크로드 시크릿</v>
      </c>
      <c r="H87" s="149" t="s">
        <v>1265</v>
      </c>
      <c r="I87" s="158"/>
      <c r="J87" s="137"/>
      <c r="K87" s="138" t="s">
        <v>1160</v>
      </c>
      <c r="L87" s="139">
        <f t="shared" si="6"/>
        <v>3.9</v>
      </c>
      <c r="M87" s="140">
        <f t="shared" si="7"/>
        <v>1</v>
      </c>
      <c r="N87" s="141">
        <f t="shared" si="8"/>
        <v>3.9</v>
      </c>
      <c r="O87" s="142" t="s">
        <v>1156</v>
      </c>
      <c r="P87" s="143" t="s">
        <v>1157</v>
      </c>
    </row>
    <row r="88" spans="3:16" ht="19.5" customHeight="1">
      <c r="C88" s="147">
        <v>83</v>
      </c>
      <c r="D88" s="142" t="s">
        <v>1150</v>
      </c>
      <c r="E88" s="148" t="s">
        <v>1151</v>
      </c>
      <c r="F88" s="148" t="s">
        <v>3103</v>
      </c>
      <c r="G88" s="149" t="str">
        <f>G87</f>
        <v>PaaS 워크로드 시크릿</v>
      </c>
      <c r="H88" s="149" t="s">
        <v>1266</v>
      </c>
      <c r="I88" s="158"/>
      <c r="J88" s="137"/>
      <c r="K88" s="138" t="s">
        <v>1163</v>
      </c>
      <c r="L88" s="139">
        <f t="shared" si="6"/>
        <v>4</v>
      </c>
      <c r="M88" s="140">
        <f t="shared" si="7"/>
        <v>1</v>
      </c>
      <c r="N88" s="141">
        <f t="shared" si="8"/>
        <v>4</v>
      </c>
      <c r="O88" s="142" t="s">
        <v>1156</v>
      </c>
      <c r="P88" s="143" t="s">
        <v>1157</v>
      </c>
    </row>
    <row r="89" spans="3:16" ht="19.5" customHeight="1">
      <c r="C89" s="147">
        <v>84</v>
      </c>
      <c r="D89" s="142" t="s">
        <v>1150</v>
      </c>
      <c r="E89" s="148" t="s">
        <v>1151</v>
      </c>
      <c r="F89" s="148" t="s">
        <v>3104</v>
      </c>
      <c r="G89" s="149" t="str">
        <f>G88</f>
        <v>PaaS 워크로드 시크릿</v>
      </c>
      <c r="H89" s="149" t="s">
        <v>1267</v>
      </c>
      <c r="I89" s="158"/>
      <c r="J89" s="137"/>
      <c r="K89" s="138" t="s">
        <v>1163</v>
      </c>
      <c r="L89" s="139">
        <f t="shared" si="6"/>
        <v>4</v>
      </c>
      <c r="M89" s="140">
        <f t="shared" si="7"/>
        <v>1</v>
      </c>
      <c r="N89" s="141">
        <f t="shared" si="8"/>
        <v>4</v>
      </c>
      <c r="O89" s="142" t="s">
        <v>1156</v>
      </c>
      <c r="P89" s="143" t="s">
        <v>1157</v>
      </c>
    </row>
    <row r="90" spans="3:16" ht="19.5" customHeight="1">
      <c r="C90" s="147">
        <v>85</v>
      </c>
      <c r="D90" s="142" t="s">
        <v>1150</v>
      </c>
      <c r="E90" s="148" t="s">
        <v>1151</v>
      </c>
      <c r="F90" s="148" t="s">
        <v>3105</v>
      </c>
      <c r="G90" s="149" t="str">
        <f>G89</f>
        <v>PaaS 워크로드 시크릿</v>
      </c>
      <c r="H90" s="149" t="s">
        <v>1268</v>
      </c>
      <c r="I90" s="158"/>
      <c r="J90" s="137"/>
      <c r="K90" s="138" t="s">
        <v>1163</v>
      </c>
      <c r="L90" s="139">
        <f t="shared" si="6"/>
        <v>4</v>
      </c>
      <c r="M90" s="140">
        <f t="shared" si="7"/>
        <v>1</v>
      </c>
      <c r="N90" s="141">
        <f t="shared" si="8"/>
        <v>4</v>
      </c>
      <c r="O90" s="142" t="s">
        <v>1156</v>
      </c>
      <c r="P90" s="143" t="s">
        <v>1157</v>
      </c>
    </row>
    <row r="91" spans="3:16" ht="19.5" customHeight="1">
      <c r="C91" s="147">
        <v>86</v>
      </c>
      <c r="D91" s="142" t="s">
        <v>1150</v>
      </c>
      <c r="E91" s="148" t="s">
        <v>1151</v>
      </c>
      <c r="F91" s="148" t="s">
        <v>3106</v>
      </c>
      <c r="G91" s="149" t="s">
        <v>1269</v>
      </c>
      <c r="H91" s="149" t="s">
        <v>1270</v>
      </c>
      <c r="I91" s="158"/>
      <c r="J91" s="137"/>
      <c r="K91" s="138" t="s">
        <v>1202</v>
      </c>
      <c r="L91" s="139">
        <f t="shared" si="6"/>
        <v>7.5</v>
      </c>
      <c r="M91" s="140">
        <f t="shared" si="7"/>
        <v>1</v>
      </c>
      <c r="N91" s="141">
        <f t="shared" si="8"/>
        <v>7.5</v>
      </c>
      <c r="O91" s="142" t="s">
        <v>1156</v>
      </c>
      <c r="P91" s="143" t="s">
        <v>1157</v>
      </c>
    </row>
    <row r="92" spans="3:16" ht="19.5" customHeight="1">
      <c r="C92" s="147">
        <v>87</v>
      </c>
      <c r="D92" s="142" t="s">
        <v>1150</v>
      </c>
      <c r="E92" s="148" t="s">
        <v>1151</v>
      </c>
      <c r="F92" s="148" t="s">
        <v>3107</v>
      </c>
      <c r="G92" s="149" t="str">
        <f>G91</f>
        <v>Paas 워크로드 컨피그맵</v>
      </c>
      <c r="H92" s="149" t="s">
        <v>1271</v>
      </c>
      <c r="I92" s="158"/>
      <c r="J92" s="137"/>
      <c r="K92" s="138" t="s">
        <v>1160</v>
      </c>
      <c r="L92" s="139">
        <f t="shared" si="6"/>
        <v>3.9</v>
      </c>
      <c r="M92" s="140">
        <f t="shared" si="7"/>
        <v>1</v>
      </c>
      <c r="N92" s="141">
        <f t="shared" si="8"/>
        <v>3.9</v>
      </c>
      <c r="O92" s="142" t="s">
        <v>1156</v>
      </c>
      <c r="P92" s="143" t="s">
        <v>1157</v>
      </c>
    </row>
    <row r="93" spans="3:16" ht="19.5" customHeight="1">
      <c r="C93" s="147">
        <v>88</v>
      </c>
      <c r="D93" s="142" t="s">
        <v>1150</v>
      </c>
      <c r="E93" s="148" t="s">
        <v>1151</v>
      </c>
      <c r="F93" s="148" t="s">
        <v>3108</v>
      </c>
      <c r="G93" s="149" t="str">
        <f>G92</f>
        <v>Paas 워크로드 컨피그맵</v>
      </c>
      <c r="H93" s="149" t="s">
        <v>1272</v>
      </c>
      <c r="I93" s="158"/>
      <c r="J93" s="137"/>
      <c r="K93" s="138" t="s">
        <v>1163</v>
      </c>
      <c r="L93" s="139">
        <f t="shared" si="6"/>
        <v>4</v>
      </c>
      <c r="M93" s="140">
        <f t="shared" si="7"/>
        <v>1</v>
      </c>
      <c r="N93" s="141">
        <f t="shared" si="8"/>
        <v>4</v>
      </c>
      <c r="O93" s="142" t="s">
        <v>1156</v>
      </c>
      <c r="P93" s="143" t="s">
        <v>1157</v>
      </c>
    </row>
    <row r="94" spans="3:16" ht="19.5" customHeight="1">
      <c r="C94" s="147">
        <v>89</v>
      </c>
      <c r="D94" s="142" t="s">
        <v>1150</v>
      </c>
      <c r="E94" s="148" t="s">
        <v>1151</v>
      </c>
      <c r="F94" s="148" t="s">
        <v>3109</v>
      </c>
      <c r="G94" s="149" t="str">
        <f>G93</f>
        <v>Paas 워크로드 컨피그맵</v>
      </c>
      <c r="H94" s="149" t="s">
        <v>1273</v>
      </c>
      <c r="I94" s="158"/>
      <c r="J94" s="137"/>
      <c r="K94" s="138" t="s">
        <v>1163</v>
      </c>
      <c r="L94" s="139">
        <f t="shared" si="6"/>
        <v>4</v>
      </c>
      <c r="M94" s="140">
        <f t="shared" si="7"/>
        <v>1</v>
      </c>
      <c r="N94" s="141">
        <f t="shared" si="8"/>
        <v>4</v>
      </c>
      <c r="O94" s="142" t="s">
        <v>1156</v>
      </c>
      <c r="P94" s="143" t="s">
        <v>1157</v>
      </c>
    </row>
    <row r="95" spans="3:16" ht="19.5" customHeight="1">
      <c r="C95" s="147">
        <v>90</v>
      </c>
      <c r="D95" s="142" t="s">
        <v>1150</v>
      </c>
      <c r="E95" s="148" t="s">
        <v>1151</v>
      </c>
      <c r="F95" s="148" t="s">
        <v>3110</v>
      </c>
      <c r="G95" s="149" t="str">
        <f>G94</f>
        <v>Paas 워크로드 컨피그맵</v>
      </c>
      <c r="H95" s="149" t="s">
        <v>1274</v>
      </c>
      <c r="I95" s="158"/>
      <c r="J95" s="137"/>
      <c r="K95" s="138" t="s">
        <v>1163</v>
      </c>
      <c r="L95" s="139">
        <f t="shared" si="6"/>
        <v>4</v>
      </c>
      <c r="M95" s="140">
        <f t="shared" si="7"/>
        <v>1</v>
      </c>
      <c r="N95" s="141">
        <f t="shared" si="8"/>
        <v>4</v>
      </c>
      <c r="O95" s="142" t="s">
        <v>1156</v>
      </c>
      <c r="P95" s="143" t="s">
        <v>1157</v>
      </c>
    </row>
    <row r="96" spans="3:16" ht="19.5" customHeight="1">
      <c r="C96" s="147">
        <v>91</v>
      </c>
      <c r="D96" s="142" t="s">
        <v>1150</v>
      </c>
      <c r="E96" s="148" t="s">
        <v>1151</v>
      </c>
      <c r="F96" s="148" t="s">
        <v>3111</v>
      </c>
      <c r="G96" s="149" t="s">
        <v>1275</v>
      </c>
      <c r="H96" s="149" t="s">
        <v>1276</v>
      </c>
      <c r="I96" s="158"/>
      <c r="J96" s="137"/>
      <c r="K96" s="138" t="s">
        <v>1202</v>
      </c>
      <c r="L96" s="139">
        <f t="shared" si="6"/>
        <v>7.5</v>
      </c>
      <c r="M96" s="140">
        <f t="shared" si="7"/>
        <v>1</v>
      </c>
      <c r="N96" s="141">
        <f t="shared" si="8"/>
        <v>7.5</v>
      </c>
      <c r="O96" s="142" t="s">
        <v>1156</v>
      </c>
      <c r="P96" s="143" t="s">
        <v>1157</v>
      </c>
    </row>
    <row r="97" spans="3:16" ht="19.5" customHeight="1">
      <c r="C97" s="147">
        <v>92</v>
      </c>
      <c r="D97" s="142" t="s">
        <v>1150</v>
      </c>
      <c r="E97" s="148" t="s">
        <v>1151</v>
      </c>
      <c r="F97" s="148" t="s">
        <v>3112</v>
      </c>
      <c r="G97" s="149" t="str">
        <f>G96</f>
        <v>Paas 빌드컨피그</v>
      </c>
      <c r="H97" s="149" t="s">
        <v>1277</v>
      </c>
      <c r="I97" s="158"/>
      <c r="J97" s="137"/>
      <c r="K97" s="138" t="s">
        <v>1160</v>
      </c>
      <c r="L97" s="139">
        <f t="shared" si="6"/>
        <v>3.9</v>
      </c>
      <c r="M97" s="140">
        <f t="shared" si="7"/>
        <v>1</v>
      </c>
      <c r="N97" s="141">
        <f t="shared" si="8"/>
        <v>3.9</v>
      </c>
      <c r="O97" s="142" t="s">
        <v>1156</v>
      </c>
      <c r="P97" s="143" t="s">
        <v>1157</v>
      </c>
    </row>
    <row r="98" spans="3:16" ht="19.5" customHeight="1">
      <c r="C98" s="147">
        <v>93</v>
      </c>
      <c r="D98" s="142" t="s">
        <v>1150</v>
      </c>
      <c r="E98" s="148" t="s">
        <v>1151</v>
      </c>
      <c r="F98" s="148" t="s">
        <v>3113</v>
      </c>
      <c r="G98" s="149" t="str">
        <f>G97</f>
        <v>Paas 빌드컨피그</v>
      </c>
      <c r="H98" s="149" t="s">
        <v>1278</v>
      </c>
      <c r="I98" s="158"/>
      <c r="J98" s="137"/>
      <c r="K98" s="138" t="s">
        <v>1163</v>
      </c>
      <c r="L98" s="139">
        <f t="shared" si="6"/>
        <v>4</v>
      </c>
      <c r="M98" s="140">
        <f t="shared" si="7"/>
        <v>1</v>
      </c>
      <c r="N98" s="141">
        <f t="shared" si="8"/>
        <v>4</v>
      </c>
      <c r="O98" s="142" t="s">
        <v>1156</v>
      </c>
      <c r="P98" s="143" t="s">
        <v>1157</v>
      </c>
    </row>
    <row r="99" spans="3:16" ht="19.5" customHeight="1">
      <c r="C99" s="147">
        <v>94</v>
      </c>
      <c r="D99" s="142" t="s">
        <v>1150</v>
      </c>
      <c r="E99" s="148" t="s">
        <v>1151</v>
      </c>
      <c r="F99" s="148" t="s">
        <v>3114</v>
      </c>
      <c r="G99" s="149" t="str">
        <f>G98</f>
        <v>Paas 빌드컨피그</v>
      </c>
      <c r="H99" s="149" t="s">
        <v>1279</v>
      </c>
      <c r="I99" s="158"/>
      <c r="J99" s="137"/>
      <c r="K99" s="138" t="s">
        <v>1163</v>
      </c>
      <c r="L99" s="139">
        <f t="shared" si="6"/>
        <v>4</v>
      </c>
      <c r="M99" s="140">
        <f t="shared" si="7"/>
        <v>1</v>
      </c>
      <c r="N99" s="141">
        <f t="shared" si="8"/>
        <v>4</v>
      </c>
      <c r="O99" s="142" t="s">
        <v>1156</v>
      </c>
      <c r="P99" s="143" t="s">
        <v>1157</v>
      </c>
    </row>
    <row r="100" spans="3:16" ht="19.5" customHeight="1">
      <c r="C100" s="147">
        <v>95</v>
      </c>
      <c r="D100" s="142" t="s">
        <v>1150</v>
      </c>
      <c r="E100" s="148" t="s">
        <v>1151</v>
      </c>
      <c r="F100" s="148" t="s">
        <v>3115</v>
      </c>
      <c r="G100" s="149" t="str">
        <f>G99</f>
        <v>Paas 빌드컨피그</v>
      </c>
      <c r="H100" s="149" t="s">
        <v>1280</v>
      </c>
      <c r="I100" s="158"/>
      <c r="J100" s="137"/>
      <c r="K100" s="138" t="s">
        <v>1163</v>
      </c>
      <c r="L100" s="139">
        <f t="shared" si="6"/>
        <v>4</v>
      </c>
      <c r="M100" s="140">
        <f t="shared" si="7"/>
        <v>1</v>
      </c>
      <c r="N100" s="141">
        <f t="shared" si="8"/>
        <v>4</v>
      </c>
      <c r="O100" s="142" t="s">
        <v>1156</v>
      </c>
      <c r="P100" s="143" t="s">
        <v>1157</v>
      </c>
    </row>
    <row r="101" spans="3:16" ht="19.5" customHeight="1">
      <c r="C101" s="147">
        <v>96</v>
      </c>
      <c r="D101" s="142" t="s">
        <v>1150</v>
      </c>
      <c r="E101" s="148" t="s">
        <v>1151</v>
      </c>
      <c r="F101" s="148" t="s">
        <v>3116</v>
      </c>
      <c r="G101" s="149" t="s">
        <v>1281</v>
      </c>
      <c r="H101" s="149" t="s">
        <v>1282</v>
      </c>
      <c r="I101" s="158"/>
      <c r="J101" s="137"/>
      <c r="K101" s="138" t="s">
        <v>1202</v>
      </c>
      <c r="L101" s="139">
        <f t="shared" si="6"/>
        <v>7.5</v>
      </c>
      <c r="M101" s="140">
        <f t="shared" si="7"/>
        <v>1</v>
      </c>
      <c r="N101" s="141">
        <f t="shared" si="8"/>
        <v>7.5</v>
      </c>
      <c r="O101" s="142" t="s">
        <v>1156</v>
      </c>
      <c r="P101" s="143" t="s">
        <v>1157</v>
      </c>
    </row>
    <row r="102" spans="3:16" ht="19.5" customHeight="1">
      <c r="C102" s="147">
        <v>97</v>
      </c>
      <c r="D102" s="142" t="s">
        <v>1150</v>
      </c>
      <c r="E102" s="148" t="s">
        <v>1151</v>
      </c>
      <c r="F102" s="148" t="s">
        <v>3117</v>
      </c>
      <c r="G102" s="149" t="str">
        <f>G101</f>
        <v>PaaS 관리 커스텀 리소스</v>
      </c>
      <c r="H102" s="149" t="s">
        <v>1283</v>
      </c>
      <c r="I102" s="158"/>
      <c r="J102" s="137"/>
      <c r="K102" s="138" t="s">
        <v>1160</v>
      </c>
      <c r="L102" s="139">
        <f>IF(K102="","",IF(K102="EI",4,IF(K102="EO",5.2,IF(K102="EQ",3.9,IF(K102="ILF",7.5,IF(K102="EIF",5.4))))))</f>
        <v>3.9</v>
      </c>
      <c r="M102" s="140">
        <f t="shared" si="7"/>
        <v>1</v>
      </c>
      <c r="N102" s="141">
        <f>L102*M102</f>
        <v>3.9</v>
      </c>
      <c r="O102" s="142" t="s">
        <v>1156</v>
      </c>
      <c r="P102" s="143" t="s">
        <v>1157</v>
      </c>
    </row>
    <row r="103" spans="3:16" ht="19.5" customHeight="1">
      <c r="C103" s="147">
        <v>98</v>
      </c>
      <c r="D103" s="142" t="s">
        <v>1150</v>
      </c>
      <c r="E103" s="148" t="s">
        <v>1151</v>
      </c>
      <c r="F103" s="148" t="s">
        <v>3118</v>
      </c>
      <c r="G103" s="149" t="str">
        <f>G102</f>
        <v>PaaS 관리 커스텀 리소스</v>
      </c>
      <c r="H103" s="149" t="s">
        <v>1284</v>
      </c>
      <c r="I103" s="158"/>
      <c r="J103" s="137"/>
      <c r="K103" s="138" t="s">
        <v>1163</v>
      </c>
      <c r="L103" s="139">
        <f>IF(K103="","",IF(K103="EI",4,IF(K103="EO",5.2,IF(K103="EQ",3.9,IF(K103="ILF",7.5,IF(K103="EIF",5.4))))))</f>
        <v>4</v>
      </c>
      <c r="M103" s="140">
        <f t="shared" si="7"/>
        <v>1</v>
      </c>
      <c r="N103" s="141">
        <f>L103*M103</f>
        <v>4</v>
      </c>
      <c r="O103" s="142" t="s">
        <v>1156</v>
      </c>
      <c r="P103" s="143" t="s">
        <v>1157</v>
      </c>
    </row>
    <row r="104" spans="3:16" ht="19.5" customHeight="1">
      <c r="C104" s="147">
        <v>99</v>
      </c>
      <c r="D104" s="142" t="s">
        <v>1150</v>
      </c>
      <c r="E104" s="148" t="s">
        <v>1151</v>
      </c>
      <c r="F104" s="148" t="s">
        <v>3119</v>
      </c>
      <c r="G104" s="149" t="str">
        <f>G103</f>
        <v>PaaS 관리 커스텀 리소스</v>
      </c>
      <c r="H104" s="149" t="s">
        <v>1285</v>
      </c>
      <c r="I104" s="158"/>
      <c r="J104" s="137"/>
      <c r="K104" s="138" t="s">
        <v>1163</v>
      </c>
      <c r="L104" s="139">
        <f>IF(K104="","",IF(K104="EI",4,IF(K104="EO",5.2,IF(K104="EQ",3.9,IF(K104="ILF",7.5,IF(K104="EIF",5.4))))))</f>
        <v>4</v>
      </c>
      <c r="M104" s="140">
        <f t="shared" si="7"/>
        <v>1</v>
      </c>
      <c r="N104" s="141">
        <f>L104*M104</f>
        <v>4</v>
      </c>
      <c r="O104" s="142" t="s">
        <v>1156</v>
      </c>
      <c r="P104" s="143" t="s">
        <v>1157</v>
      </c>
    </row>
    <row r="105" spans="3:16" ht="19.5" customHeight="1">
      <c r="C105" s="164">
        <v>100</v>
      </c>
      <c r="D105" s="165" t="s">
        <v>1150</v>
      </c>
      <c r="E105" s="166" t="s">
        <v>1151</v>
      </c>
      <c r="F105" s="148" t="s">
        <v>3120</v>
      </c>
      <c r="G105" s="167" t="str">
        <f>G104</f>
        <v>PaaS 관리 커스텀 리소스</v>
      </c>
      <c r="H105" s="167" t="s">
        <v>1286</v>
      </c>
      <c r="I105" s="168"/>
      <c r="J105" s="137"/>
      <c r="K105" s="169" t="s">
        <v>1163</v>
      </c>
      <c r="L105" s="170">
        <f>IF(K105="","",IF(K105="EI",4,IF(K105="EO",5.2,IF(K105="EQ",3.9,IF(K105="ILF",7.5,IF(K105="EIF",5.4))))))</f>
        <v>4</v>
      </c>
      <c r="M105" s="171">
        <f t="shared" si="7"/>
        <v>1</v>
      </c>
      <c r="N105" s="172">
        <f>L105*M105</f>
        <v>4</v>
      </c>
      <c r="O105" s="165" t="s">
        <v>1156</v>
      </c>
      <c r="P105" s="143" t="s">
        <v>1157</v>
      </c>
    </row>
  </sheetData>
  <autoFilter ref="K4:Q105">
    <filterColumn colId="0" showButton="0"/>
    <filterColumn colId="1" showButton="0"/>
  </autoFilter>
  <mergeCells count="10">
    <mergeCell ref="I4:I5"/>
    <mergeCell ref="K4:M4"/>
    <mergeCell ref="O4:O5"/>
    <mergeCell ref="P4:P5"/>
    <mergeCell ref="C4:C5"/>
    <mergeCell ref="D4:D5"/>
    <mergeCell ref="E4:E5"/>
    <mergeCell ref="F4:F5"/>
    <mergeCell ref="G4:G5"/>
    <mergeCell ref="H4:H5"/>
  </mergeCells>
  <phoneticPr fontId="15" type="noConversion"/>
  <conditionalFormatting sqref="K4:K5">
    <cfRule type="cellIs" dxfId="172" priority="1" operator="equal">
      <formula>"EIF"</formula>
    </cfRule>
    <cfRule type="cellIs" dxfId="171" priority="2" operator="equal">
      <formula>"ILF"</formula>
    </cfRule>
  </conditionalFormatting>
  <dataValidations count="1">
    <dataValidation type="list" allowBlank="1" showInputMessage="1" showErrorMessage="1" sqref="K21 K6:K15 K32:K59">
      <formula1>"ILF,EIF,EI,EO,EQ"</formula1>
    </dataValidation>
  </dataValidations>
  <printOptions horizontalCentered="1"/>
  <pageMargins left="0.19685039370078741" right="0.39370078740157483" top="0.35433070866141736" bottom="0.51181102362204722" header="0.23622047244094491" footer="0.39370078740157483"/>
  <pageSetup paperSize="9" scale="51" fitToHeight="0" orientation="landscape" r:id="rId1"/>
  <headerFooter alignWithMargins="0"/>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56"/>
  <sheetViews>
    <sheetView view="pageBreakPreview" zoomScale="70" zoomScaleNormal="70" zoomScaleSheetLayoutView="70" workbookViewId="0">
      <pane xSplit="2" ySplit="5" topLeftCell="C240" activePane="bottomRight" state="frozen"/>
      <selection activeCell="I44" sqref="I44"/>
      <selection pane="topRight" activeCell="I44" sqref="I44"/>
      <selection pane="bottomLeft" activeCell="I44" sqref="I44"/>
      <selection pane="bottomRight" activeCell="E255" sqref="E255"/>
    </sheetView>
  </sheetViews>
  <sheetFormatPr defaultColWidth="8.85546875" defaultRowHeight="13.5"/>
  <cols>
    <col min="1" max="1" width="3.5703125" style="177" customWidth="1"/>
    <col min="2" max="2" width="0" style="177" hidden="1" customWidth="1"/>
    <col min="3" max="3" width="8.85546875" style="177"/>
    <col min="4" max="4" width="15.7109375" style="177" customWidth="1"/>
    <col min="5" max="5" width="32" style="177" customWidth="1"/>
    <col min="6" max="6" width="17" style="175" bestFit="1" customWidth="1"/>
    <col min="7" max="7" width="38.28515625" style="177" customWidth="1"/>
    <col min="8" max="8" width="37" style="177" customWidth="1"/>
    <col min="9" max="9" width="43.28515625" style="177" customWidth="1"/>
    <col min="10" max="10" width="5.28515625" style="177" customWidth="1"/>
    <col min="11" max="11" width="8.85546875" style="177"/>
    <col min="12" max="12" width="12.7109375" style="177" customWidth="1"/>
    <col min="13" max="13" width="12.28515625" style="177" customWidth="1"/>
    <col min="14" max="14" width="8.85546875" style="177"/>
    <col min="15" max="15" width="11.28515625" style="177" customWidth="1"/>
    <col min="16" max="16" width="8.85546875" style="177"/>
    <col min="17" max="17" width="0" style="177" hidden="1" customWidth="1"/>
    <col min="18" max="16384" width="8.85546875" style="177"/>
  </cols>
  <sheetData>
    <row r="1" spans="2:17">
      <c r="F1" s="177"/>
    </row>
    <row r="2" spans="2:17" ht="26.25">
      <c r="C2" s="126" t="s">
        <v>1287</v>
      </c>
      <c r="F2" s="177"/>
    </row>
    <row r="3" spans="2:17" ht="16.5">
      <c r="F3" s="124"/>
    </row>
    <row r="4" spans="2:17" s="127" customFormat="1" ht="22.5" customHeight="1">
      <c r="C4" s="614" t="s">
        <v>1135</v>
      </c>
      <c r="D4" s="616" t="s">
        <v>543</v>
      </c>
      <c r="E4" s="616" t="s">
        <v>1136</v>
      </c>
      <c r="F4" s="618" t="s">
        <v>1137</v>
      </c>
      <c r="G4" s="616" t="s">
        <v>1138</v>
      </c>
      <c r="H4" s="616" t="s">
        <v>1139</v>
      </c>
      <c r="I4" s="607" t="s">
        <v>1140</v>
      </c>
      <c r="K4" s="609" t="s">
        <v>1141</v>
      </c>
      <c r="L4" s="610"/>
      <c r="M4" s="610"/>
      <c r="N4" s="128" t="s">
        <v>1142</v>
      </c>
      <c r="O4" s="610" t="s">
        <v>1143</v>
      </c>
      <c r="P4" s="610" t="s">
        <v>1144</v>
      </c>
      <c r="Q4" s="178" t="s">
        <v>1145</v>
      </c>
    </row>
    <row r="5" spans="2:17" s="127" customFormat="1" ht="22.5" customHeight="1">
      <c r="C5" s="615"/>
      <c r="D5" s="617"/>
      <c r="E5" s="617"/>
      <c r="F5" s="619"/>
      <c r="G5" s="617"/>
      <c r="H5" s="617"/>
      <c r="I5" s="608"/>
      <c r="K5" s="130" t="s">
        <v>1146</v>
      </c>
      <c r="L5" s="131" t="s">
        <v>1147</v>
      </c>
      <c r="M5" s="131" t="s">
        <v>1148</v>
      </c>
      <c r="N5" s="131" t="s">
        <v>1149</v>
      </c>
      <c r="O5" s="611"/>
      <c r="P5" s="611"/>
      <c r="Q5" s="179"/>
    </row>
    <row r="6" spans="2:17" s="144" customFormat="1" ht="22.5" customHeight="1">
      <c r="B6" s="144" t="s">
        <v>1288</v>
      </c>
      <c r="C6" s="133">
        <v>1</v>
      </c>
      <c r="D6" s="180" t="s">
        <v>1289</v>
      </c>
      <c r="E6" s="181" t="s">
        <v>1290</v>
      </c>
      <c r="F6" s="135" t="s">
        <v>4059</v>
      </c>
      <c r="G6" s="181" t="s">
        <v>1291</v>
      </c>
      <c r="H6" s="181" t="s">
        <v>1292</v>
      </c>
      <c r="I6" s="182" t="s">
        <v>1293</v>
      </c>
      <c r="J6" s="137"/>
      <c r="K6" s="138" t="s">
        <v>1163</v>
      </c>
      <c r="L6" s="139">
        <f t="shared" ref="L6:L69" si="0">IF(K6="","",IF(K6="EI",4,IF(K6="EO",5.2,IF(K6="EQ",3.9,IF(K6="ILF",7.5,IF(K6="EIF",5.4))))))</f>
        <v>4</v>
      </c>
      <c r="M6" s="140">
        <f t="shared" ref="M6:M69" si="1">IF(O6="","",IF(O6="신규",1,IF(O6="고도화",1.04,IF(O6="재사용",0.25))))</f>
        <v>1</v>
      </c>
      <c r="N6" s="141">
        <f t="shared" ref="N6:N69" si="2">L6*M6</f>
        <v>4</v>
      </c>
      <c r="O6" s="142" t="s">
        <v>1156</v>
      </c>
      <c r="P6" s="183" t="s">
        <v>1294</v>
      </c>
      <c r="Q6" s="184"/>
    </row>
    <row r="7" spans="2:17" s="144" customFormat="1" ht="22.5" customHeight="1">
      <c r="B7" s="144" t="s">
        <v>1288</v>
      </c>
      <c r="C7" s="133">
        <v>2</v>
      </c>
      <c r="D7" s="180" t="s">
        <v>1289</v>
      </c>
      <c r="E7" s="181" t="s">
        <v>1290</v>
      </c>
      <c r="F7" s="135" t="s">
        <v>4060</v>
      </c>
      <c r="G7" s="181" t="s">
        <v>1291</v>
      </c>
      <c r="H7" s="181" t="s">
        <v>1295</v>
      </c>
      <c r="I7" s="182" t="s">
        <v>1296</v>
      </c>
      <c r="J7" s="137"/>
      <c r="K7" s="138" t="s">
        <v>1163</v>
      </c>
      <c r="L7" s="139">
        <f t="shared" si="0"/>
        <v>4</v>
      </c>
      <c r="M7" s="140">
        <f t="shared" si="1"/>
        <v>1</v>
      </c>
      <c r="N7" s="141">
        <f t="shared" si="2"/>
        <v>4</v>
      </c>
      <c r="O7" s="142" t="s">
        <v>1156</v>
      </c>
      <c r="P7" s="183" t="s">
        <v>1294</v>
      </c>
      <c r="Q7" s="184"/>
    </row>
    <row r="8" spans="2:17" s="144" customFormat="1" ht="22.5" customHeight="1">
      <c r="B8" s="144" t="s">
        <v>1288</v>
      </c>
      <c r="C8" s="133">
        <v>3</v>
      </c>
      <c r="D8" s="180" t="s">
        <v>1289</v>
      </c>
      <c r="E8" s="181" t="s">
        <v>1290</v>
      </c>
      <c r="F8" s="135" t="s">
        <v>4061</v>
      </c>
      <c r="G8" s="181" t="s">
        <v>1291</v>
      </c>
      <c r="H8" s="181" t="s">
        <v>1297</v>
      </c>
      <c r="I8" s="182" t="s">
        <v>1298</v>
      </c>
      <c r="J8" s="137"/>
      <c r="K8" s="146" t="s">
        <v>1170</v>
      </c>
      <c r="L8" s="139">
        <f t="shared" si="0"/>
        <v>5.2</v>
      </c>
      <c r="M8" s="140">
        <f t="shared" si="1"/>
        <v>1</v>
      </c>
      <c r="N8" s="141">
        <f t="shared" si="2"/>
        <v>5.2</v>
      </c>
      <c r="O8" s="142" t="s">
        <v>1156</v>
      </c>
      <c r="P8" s="183" t="s">
        <v>1294</v>
      </c>
      <c r="Q8" s="184"/>
    </row>
    <row r="9" spans="2:17" s="144" customFormat="1" ht="22.5" customHeight="1">
      <c r="B9" s="144" t="s">
        <v>1288</v>
      </c>
      <c r="C9" s="133">
        <v>4</v>
      </c>
      <c r="D9" s="180" t="s">
        <v>1289</v>
      </c>
      <c r="E9" s="181" t="s">
        <v>1290</v>
      </c>
      <c r="F9" s="135" t="s">
        <v>4062</v>
      </c>
      <c r="G9" s="181" t="s">
        <v>1291</v>
      </c>
      <c r="H9" s="181" t="s">
        <v>1299</v>
      </c>
      <c r="I9" s="182" t="s">
        <v>1300</v>
      </c>
      <c r="J9" s="137"/>
      <c r="K9" s="146" t="s">
        <v>1170</v>
      </c>
      <c r="L9" s="139">
        <f t="shared" si="0"/>
        <v>5.2</v>
      </c>
      <c r="M9" s="140">
        <f t="shared" si="1"/>
        <v>1</v>
      </c>
      <c r="N9" s="141">
        <f t="shared" si="2"/>
        <v>5.2</v>
      </c>
      <c r="O9" s="142" t="s">
        <v>1156</v>
      </c>
      <c r="P9" s="183" t="s">
        <v>1294</v>
      </c>
      <c r="Q9" s="184"/>
    </row>
    <row r="10" spans="2:17" s="144" customFormat="1" ht="22.5" customHeight="1">
      <c r="B10" s="144" t="s">
        <v>1288</v>
      </c>
      <c r="C10" s="133">
        <v>5</v>
      </c>
      <c r="D10" s="180" t="s">
        <v>1289</v>
      </c>
      <c r="E10" s="181" t="s">
        <v>1290</v>
      </c>
      <c r="F10" s="135" t="s">
        <v>4063</v>
      </c>
      <c r="G10" s="181" t="s">
        <v>1291</v>
      </c>
      <c r="H10" s="181" t="s">
        <v>1301</v>
      </c>
      <c r="I10" s="182" t="s">
        <v>1302</v>
      </c>
      <c r="J10" s="137"/>
      <c r="K10" s="146" t="s">
        <v>1170</v>
      </c>
      <c r="L10" s="139">
        <f t="shared" si="0"/>
        <v>5.2</v>
      </c>
      <c r="M10" s="140">
        <f t="shared" si="1"/>
        <v>1</v>
      </c>
      <c r="N10" s="141">
        <f t="shared" si="2"/>
        <v>5.2</v>
      </c>
      <c r="O10" s="142" t="s">
        <v>1156</v>
      </c>
      <c r="P10" s="183" t="s">
        <v>1294</v>
      </c>
      <c r="Q10" s="184"/>
    </row>
    <row r="11" spans="2:17" s="144" customFormat="1" ht="22.5" customHeight="1">
      <c r="B11" s="144" t="s">
        <v>1288</v>
      </c>
      <c r="C11" s="133">
        <v>6</v>
      </c>
      <c r="D11" s="180" t="s">
        <v>1289</v>
      </c>
      <c r="E11" s="181" t="s">
        <v>1290</v>
      </c>
      <c r="F11" s="135" t="s">
        <v>4064</v>
      </c>
      <c r="G11" s="181" t="s">
        <v>1291</v>
      </c>
      <c r="H11" s="181" t="s">
        <v>1303</v>
      </c>
      <c r="I11" s="182" t="s">
        <v>1304</v>
      </c>
      <c r="J11" s="137"/>
      <c r="K11" s="138" t="s">
        <v>1155</v>
      </c>
      <c r="L11" s="139">
        <f t="shared" si="0"/>
        <v>7.5</v>
      </c>
      <c r="M11" s="140">
        <f t="shared" si="1"/>
        <v>1</v>
      </c>
      <c r="N11" s="141">
        <f t="shared" si="2"/>
        <v>7.5</v>
      </c>
      <c r="O11" s="142" t="s">
        <v>1156</v>
      </c>
      <c r="P11" s="183" t="s">
        <v>1294</v>
      </c>
      <c r="Q11" s="184"/>
    </row>
    <row r="12" spans="2:17" s="144" customFormat="1" ht="27">
      <c r="B12" s="144" t="s">
        <v>1288</v>
      </c>
      <c r="C12" s="133">
        <v>7</v>
      </c>
      <c r="D12" s="180" t="s">
        <v>1289</v>
      </c>
      <c r="E12" s="181" t="s">
        <v>1290</v>
      </c>
      <c r="F12" s="135" t="s">
        <v>4065</v>
      </c>
      <c r="G12" s="181" t="s">
        <v>1291</v>
      </c>
      <c r="H12" s="181" t="s">
        <v>1305</v>
      </c>
      <c r="I12" s="182" t="s">
        <v>1306</v>
      </c>
      <c r="J12" s="137"/>
      <c r="K12" s="138" t="s">
        <v>1155</v>
      </c>
      <c r="L12" s="139">
        <f t="shared" si="0"/>
        <v>7.5</v>
      </c>
      <c r="M12" s="140">
        <f t="shared" si="1"/>
        <v>1</v>
      </c>
      <c r="N12" s="141">
        <f t="shared" si="2"/>
        <v>7.5</v>
      </c>
      <c r="O12" s="142" t="s">
        <v>1156</v>
      </c>
      <c r="P12" s="183" t="s">
        <v>1294</v>
      </c>
      <c r="Q12" s="184"/>
    </row>
    <row r="13" spans="2:17" s="144" customFormat="1" ht="22.5" customHeight="1">
      <c r="B13" s="144" t="s">
        <v>1288</v>
      </c>
      <c r="C13" s="133">
        <v>8</v>
      </c>
      <c r="D13" s="180" t="s">
        <v>1289</v>
      </c>
      <c r="E13" s="181" t="s">
        <v>1290</v>
      </c>
      <c r="F13" s="135" t="s">
        <v>4066</v>
      </c>
      <c r="G13" s="181" t="s">
        <v>1291</v>
      </c>
      <c r="H13" s="181" t="s">
        <v>1307</v>
      </c>
      <c r="I13" s="182" t="s">
        <v>1308</v>
      </c>
      <c r="J13" s="137"/>
      <c r="K13" s="138" t="s">
        <v>1155</v>
      </c>
      <c r="L13" s="139">
        <f t="shared" si="0"/>
        <v>7.5</v>
      </c>
      <c r="M13" s="140">
        <f t="shared" si="1"/>
        <v>1</v>
      </c>
      <c r="N13" s="141">
        <f t="shared" si="2"/>
        <v>7.5</v>
      </c>
      <c r="O13" s="142" t="s">
        <v>1156</v>
      </c>
      <c r="P13" s="183" t="s">
        <v>1294</v>
      </c>
      <c r="Q13" s="184"/>
    </row>
    <row r="14" spans="2:17" s="144" customFormat="1" ht="22.5" customHeight="1">
      <c r="B14" s="144" t="s">
        <v>1288</v>
      </c>
      <c r="C14" s="133">
        <v>9</v>
      </c>
      <c r="D14" s="180" t="s">
        <v>1289</v>
      </c>
      <c r="E14" s="181" t="s">
        <v>1290</v>
      </c>
      <c r="F14" s="135" t="s">
        <v>4067</v>
      </c>
      <c r="G14" s="181" t="s">
        <v>1291</v>
      </c>
      <c r="H14" s="181" t="s">
        <v>1309</v>
      </c>
      <c r="I14" s="182"/>
      <c r="J14" s="137"/>
      <c r="K14" s="138" t="s">
        <v>1155</v>
      </c>
      <c r="L14" s="139">
        <f t="shared" si="0"/>
        <v>7.5</v>
      </c>
      <c r="M14" s="140">
        <f t="shared" si="1"/>
        <v>1</v>
      </c>
      <c r="N14" s="141">
        <f t="shared" si="2"/>
        <v>7.5</v>
      </c>
      <c r="O14" s="142" t="s">
        <v>1156</v>
      </c>
      <c r="P14" s="183" t="s">
        <v>1294</v>
      </c>
      <c r="Q14" s="184"/>
    </row>
    <row r="15" spans="2:17" s="144" customFormat="1" ht="22.5" customHeight="1">
      <c r="B15" s="144" t="s">
        <v>1288</v>
      </c>
      <c r="C15" s="133">
        <v>10</v>
      </c>
      <c r="D15" s="180" t="s">
        <v>1289</v>
      </c>
      <c r="E15" s="181" t="s">
        <v>1290</v>
      </c>
      <c r="F15" s="135" t="s">
        <v>4068</v>
      </c>
      <c r="G15" s="181" t="s">
        <v>1291</v>
      </c>
      <c r="H15" s="181" t="s">
        <v>1310</v>
      </c>
      <c r="I15" s="182"/>
      <c r="J15" s="137"/>
      <c r="K15" s="138" t="s">
        <v>1163</v>
      </c>
      <c r="L15" s="139">
        <f t="shared" si="0"/>
        <v>4</v>
      </c>
      <c r="M15" s="140">
        <f t="shared" si="1"/>
        <v>1</v>
      </c>
      <c r="N15" s="141">
        <f t="shared" si="2"/>
        <v>4</v>
      </c>
      <c r="O15" s="142" t="s">
        <v>1156</v>
      </c>
      <c r="P15" s="183" t="s">
        <v>1294</v>
      </c>
      <c r="Q15" s="184"/>
    </row>
    <row r="16" spans="2:17" s="144" customFormat="1" ht="22.5" customHeight="1">
      <c r="B16" s="144" t="s">
        <v>1288</v>
      </c>
      <c r="C16" s="133">
        <v>11</v>
      </c>
      <c r="D16" s="180" t="s">
        <v>1289</v>
      </c>
      <c r="E16" s="181" t="s">
        <v>1290</v>
      </c>
      <c r="F16" s="135" t="s">
        <v>4069</v>
      </c>
      <c r="G16" s="181" t="s">
        <v>1291</v>
      </c>
      <c r="H16" s="181" t="s">
        <v>1311</v>
      </c>
      <c r="I16" s="182"/>
      <c r="J16" s="137"/>
      <c r="K16" s="146" t="s">
        <v>1170</v>
      </c>
      <c r="L16" s="139">
        <f t="shared" si="0"/>
        <v>5.2</v>
      </c>
      <c r="M16" s="140">
        <f t="shared" si="1"/>
        <v>1</v>
      </c>
      <c r="N16" s="141">
        <f t="shared" si="2"/>
        <v>5.2</v>
      </c>
      <c r="O16" s="142" t="s">
        <v>1156</v>
      </c>
      <c r="P16" s="183" t="s">
        <v>1294</v>
      </c>
      <c r="Q16" s="184"/>
    </row>
    <row r="17" spans="2:17" s="144" customFormat="1" ht="22.5" customHeight="1">
      <c r="B17" s="144" t="s">
        <v>1288</v>
      </c>
      <c r="C17" s="133">
        <v>12</v>
      </c>
      <c r="D17" s="180" t="s">
        <v>1289</v>
      </c>
      <c r="E17" s="181" t="s">
        <v>1290</v>
      </c>
      <c r="F17" s="135" t="s">
        <v>4070</v>
      </c>
      <c r="G17" s="181" t="s">
        <v>1291</v>
      </c>
      <c r="H17" s="181" t="s">
        <v>1312</v>
      </c>
      <c r="I17" s="182"/>
      <c r="J17" s="137"/>
      <c r="K17" s="138" t="s">
        <v>1163</v>
      </c>
      <c r="L17" s="139">
        <f t="shared" si="0"/>
        <v>4</v>
      </c>
      <c r="M17" s="140">
        <f t="shared" si="1"/>
        <v>1</v>
      </c>
      <c r="N17" s="141">
        <f t="shared" si="2"/>
        <v>4</v>
      </c>
      <c r="O17" s="142" t="s">
        <v>1156</v>
      </c>
      <c r="P17" s="183" t="s">
        <v>1294</v>
      </c>
      <c r="Q17" s="184"/>
    </row>
    <row r="18" spans="2:17" s="144" customFormat="1" ht="22.5" customHeight="1">
      <c r="B18" s="144" t="s">
        <v>1288</v>
      </c>
      <c r="C18" s="133">
        <v>13</v>
      </c>
      <c r="D18" s="180" t="s">
        <v>1289</v>
      </c>
      <c r="E18" s="181" t="s">
        <v>1290</v>
      </c>
      <c r="F18" s="135" t="s">
        <v>4071</v>
      </c>
      <c r="G18" s="181" t="s">
        <v>1291</v>
      </c>
      <c r="H18" s="181" t="s">
        <v>1313</v>
      </c>
      <c r="I18" s="182"/>
      <c r="J18" s="137"/>
      <c r="K18" s="138" t="s">
        <v>1155</v>
      </c>
      <c r="L18" s="139">
        <f t="shared" si="0"/>
        <v>7.5</v>
      </c>
      <c r="M18" s="140">
        <f t="shared" si="1"/>
        <v>1</v>
      </c>
      <c r="N18" s="141">
        <f t="shared" si="2"/>
        <v>7.5</v>
      </c>
      <c r="O18" s="142" t="s">
        <v>1156</v>
      </c>
      <c r="P18" s="183" t="s">
        <v>1294</v>
      </c>
      <c r="Q18" s="184"/>
    </row>
    <row r="19" spans="2:17" s="144" customFormat="1" ht="22.5" customHeight="1">
      <c r="B19" s="144" t="s">
        <v>1288</v>
      </c>
      <c r="C19" s="133">
        <v>14</v>
      </c>
      <c r="D19" s="180" t="s">
        <v>1289</v>
      </c>
      <c r="E19" s="181" t="s">
        <v>1290</v>
      </c>
      <c r="F19" s="135" t="s">
        <v>4072</v>
      </c>
      <c r="G19" s="181" t="s">
        <v>1291</v>
      </c>
      <c r="H19" s="181" t="s">
        <v>1314</v>
      </c>
      <c r="I19" s="182"/>
      <c r="J19" s="137"/>
      <c r="K19" s="138" t="s">
        <v>1155</v>
      </c>
      <c r="L19" s="139">
        <f t="shared" si="0"/>
        <v>7.5</v>
      </c>
      <c r="M19" s="140">
        <f t="shared" si="1"/>
        <v>1</v>
      </c>
      <c r="N19" s="141">
        <f t="shared" si="2"/>
        <v>7.5</v>
      </c>
      <c r="O19" s="142" t="s">
        <v>1156</v>
      </c>
      <c r="P19" s="183" t="s">
        <v>1294</v>
      </c>
      <c r="Q19" s="184"/>
    </row>
    <row r="20" spans="2:17" s="144" customFormat="1" ht="22.5" customHeight="1">
      <c r="B20" s="144" t="s">
        <v>1288</v>
      </c>
      <c r="C20" s="147">
        <v>15</v>
      </c>
      <c r="D20" s="185" t="s">
        <v>1289</v>
      </c>
      <c r="E20" s="186" t="s">
        <v>1290</v>
      </c>
      <c r="F20" s="148" t="s">
        <v>4073</v>
      </c>
      <c r="G20" s="186" t="s">
        <v>1291</v>
      </c>
      <c r="H20" s="186" t="s">
        <v>1315</v>
      </c>
      <c r="I20" s="187"/>
      <c r="J20" s="137"/>
      <c r="K20" s="138" t="s">
        <v>1155</v>
      </c>
      <c r="L20" s="139">
        <f t="shared" si="0"/>
        <v>7.5</v>
      </c>
      <c r="M20" s="140">
        <f t="shared" si="1"/>
        <v>1</v>
      </c>
      <c r="N20" s="141">
        <f t="shared" si="2"/>
        <v>7.5</v>
      </c>
      <c r="O20" s="142" t="s">
        <v>1156</v>
      </c>
      <c r="P20" s="183" t="s">
        <v>1294</v>
      </c>
      <c r="Q20" s="184"/>
    </row>
    <row r="21" spans="2:17" s="144" customFormat="1" ht="22.5" customHeight="1">
      <c r="B21" s="144" t="s">
        <v>1288</v>
      </c>
      <c r="C21" s="147">
        <v>16</v>
      </c>
      <c r="D21" s="185" t="s">
        <v>1289</v>
      </c>
      <c r="E21" s="186" t="s">
        <v>1290</v>
      </c>
      <c r="F21" s="148" t="s">
        <v>4074</v>
      </c>
      <c r="G21" s="186" t="s">
        <v>1291</v>
      </c>
      <c r="H21" s="186" t="s">
        <v>1316</v>
      </c>
      <c r="I21" s="187"/>
      <c r="J21" s="137"/>
      <c r="K21" s="138" t="s">
        <v>1155</v>
      </c>
      <c r="L21" s="139">
        <f t="shared" si="0"/>
        <v>7.5</v>
      </c>
      <c r="M21" s="140">
        <f t="shared" si="1"/>
        <v>1</v>
      </c>
      <c r="N21" s="141">
        <f t="shared" si="2"/>
        <v>7.5</v>
      </c>
      <c r="O21" s="142" t="s">
        <v>1156</v>
      </c>
      <c r="P21" s="183" t="s">
        <v>1294</v>
      </c>
      <c r="Q21" s="184"/>
    </row>
    <row r="22" spans="2:17" s="144" customFormat="1" ht="22.5" customHeight="1">
      <c r="B22" s="144" t="s">
        <v>1288</v>
      </c>
      <c r="C22" s="147">
        <v>17</v>
      </c>
      <c r="D22" s="185" t="s">
        <v>1289</v>
      </c>
      <c r="E22" s="186" t="s">
        <v>1290</v>
      </c>
      <c r="F22" s="148" t="s">
        <v>4075</v>
      </c>
      <c r="G22" s="186" t="s">
        <v>1291</v>
      </c>
      <c r="H22" s="186" t="s">
        <v>1317</v>
      </c>
      <c r="I22" s="187"/>
      <c r="J22" s="137"/>
      <c r="K22" s="138" t="s">
        <v>1155</v>
      </c>
      <c r="L22" s="139">
        <f t="shared" si="0"/>
        <v>7.5</v>
      </c>
      <c r="M22" s="140">
        <f t="shared" si="1"/>
        <v>1</v>
      </c>
      <c r="N22" s="141">
        <f t="shared" si="2"/>
        <v>7.5</v>
      </c>
      <c r="O22" s="142" t="s">
        <v>1156</v>
      </c>
      <c r="P22" s="183" t="s">
        <v>1294</v>
      </c>
      <c r="Q22" s="184"/>
    </row>
    <row r="23" spans="2:17" s="144" customFormat="1" ht="22.5" customHeight="1">
      <c r="B23" s="144" t="s">
        <v>1288</v>
      </c>
      <c r="C23" s="133">
        <v>18</v>
      </c>
      <c r="D23" s="180" t="s">
        <v>1289</v>
      </c>
      <c r="E23" s="181" t="s">
        <v>1290</v>
      </c>
      <c r="F23" s="135" t="s">
        <v>4076</v>
      </c>
      <c r="G23" s="181" t="s">
        <v>1318</v>
      </c>
      <c r="H23" s="181" t="s">
        <v>1319</v>
      </c>
      <c r="I23" s="182"/>
      <c r="J23" s="137"/>
      <c r="K23" s="146" t="s">
        <v>1170</v>
      </c>
      <c r="L23" s="139">
        <f t="shared" si="0"/>
        <v>5.2</v>
      </c>
      <c r="M23" s="140">
        <f t="shared" si="1"/>
        <v>1</v>
      </c>
      <c r="N23" s="141">
        <f t="shared" si="2"/>
        <v>5.2</v>
      </c>
      <c r="O23" s="142" t="s">
        <v>1156</v>
      </c>
      <c r="P23" s="183" t="s">
        <v>1294</v>
      </c>
      <c r="Q23" s="184"/>
    </row>
    <row r="24" spans="2:17" s="144" customFormat="1" ht="22.5" customHeight="1">
      <c r="B24" s="144" t="s">
        <v>1288</v>
      </c>
      <c r="C24" s="133">
        <v>19</v>
      </c>
      <c r="D24" s="180" t="s">
        <v>1289</v>
      </c>
      <c r="E24" s="181" t="s">
        <v>1290</v>
      </c>
      <c r="F24" s="135" t="s">
        <v>4077</v>
      </c>
      <c r="G24" s="181" t="s">
        <v>1318</v>
      </c>
      <c r="H24" s="181" t="s">
        <v>1320</v>
      </c>
      <c r="I24" s="182"/>
      <c r="J24" s="137"/>
      <c r="K24" s="146" t="s">
        <v>1170</v>
      </c>
      <c r="L24" s="139">
        <f t="shared" si="0"/>
        <v>5.2</v>
      </c>
      <c r="M24" s="140">
        <f t="shared" si="1"/>
        <v>1</v>
      </c>
      <c r="N24" s="141">
        <f t="shared" si="2"/>
        <v>5.2</v>
      </c>
      <c r="O24" s="142" t="s">
        <v>1156</v>
      </c>
      <c r="P24" s="183" t="s">
        <v>1294</v>
      </c>
      <c r="Q24" s="184"/>
    </row>
    <row r="25" spans="2:17" s="144" customFormat="1" ht="22.5" customHeight="1">
      <c r="B25" s="144" t="s">
        <v>1288</v>
      </c>
      <c r="C25" s="133">
        <v>20</v>
      </c>
      <c r="D25" s="180" t="s">
        <v>1289</v>
      </c>
      <c r="E25" s="181" t="s">
        <v>1290</v>
      </c>
      <c r="F25" s="135" t="s">
        <v>4078</v>
      </c>
      <c r="G25" s="181" t="s">
        <v>1318</v>
      </c>
      <c r="H25" s="181" t="s">
        <v>1319</v>
      </c>
      <c r="I25" s="182"/>
      <c r="J25" s="137"/>
      <c r="K25" s="146" t="s">
        <v>1170</v>
      </c>
      <c r="L25" s="139">
        <f t="shared" si="0"/>
        <v>5.2</v>
      </c>
      <c r="M25" s="140">
        <f t="shared" si="1"/>
        <v>1</v>
      </c>
      <c r="N25" s="141">
        <f t="shared" si="2"/>
        <v>5.2</v>
      </c>
      <c r="O25" s="142" t="s">
        <v>1156</v>
      </c>
      <c r="P25" s="183" t="s">
        <v>1294</v>
      </c>
      <c r="Q25" s="184"/>
    </row>
    <row r="26" spans="2:17" s="144" customFormat="1" ht="22.5" customHeight="1">
      <c r="B26" s="144" t="s">
        <v>1288</v>
      </c>
      <c r="C26" s="133">
        <v>21</v>
      </c>
      <c r="D26" s="180" t="s">
        <v>1289</v>
      </c>
      <c r="E26" s="181" t="s">
        <v>1290</v>
      </c>
      <c r="F26" s="135" t="s">
        <v>4079</v>
      </c>
      <c r="G26" s="181" t="s">
        <v>1318</v>
      </c>
      <c r="H26" s="181" t="s">
        <v>1321</v>
      </c>
      <c r="I26" s="182"/>
      <c r="J26" s="137"/>
      <c r="K26" s="146" t="s">
        <v>1170</v>
      </c>
      <c r="L26" s="139">
        <f t="shared" si="0"/>
        <v>5.2</v>
      </c>
      <c r="M26" s="140">
        <f t="shared" si="1"/>
        <v>1</v>
      </c>
      <c r="N26" s="141">
        <f t="shared" si="2"/>
        <v>5.2</v>
      </c>
      <c r="O26" s="142" t="s">
        <v>1156</v>
      </c>
      <c r="P26" s="183" t="s">
        <v>1294</v>
      </c>
      <c r="Q26" s="184"/>
    </row>
    <row r="27" spans="2:17" s="144" customFormat="1" ht="22.5" customHeight="1">
      <c r="B27" s="144" t="s">
        <v>1288</v>
      </c>
      <c r="C27" s="133">
        <v>22</v>
      </c>
      <c r="D27" s="180" t="s">
        <v>1289</v>
      </c>
      <c r="E27" s="181" t="s">
        <v>1290</v>
      </c>
      <c r="F27" s="135" t="s">
        <v>4080</v>
      </c>
      <c r="G27" s="181" t="s">
        <v>1318</v>
      </c>
      <c r="H27" s="181" t="s">
        <v>1322</v>
      </c>
      <c r="I27" s="182"/>
      <c r="J27" s="137"/>
      <c r="K27" s="146" t="s">
        <v>1170</v>
      </c>
      <c r="L27" s="139">
        <f t="shared" si="0"/>
        <v>5.2</v>
      </c>
      <c r="M27" s="140">
        <f t="shared" si="1"/>
        <v>1</v>
      </c>
      <c r="N27" s="141">
        <f t="shared" si="2"/>
        <v>5.2</v>
      </c>
      <c r="O27" s="142" t="s">
        <v>1156</v>
      </c>
      <c r="P27" s="183" t="s">
        <v>1294</v>
      </c>
      <c r="Q27" s="184"/>
    </row>
    <row r="28" spans="2:17" s="144" customFormat="1" ht="22.5" customHeight="1">
      <c r="B28" s="144" t="s">
        <v>1288</v>
      </c>
      <c r="C28" s="133">
        <v>23</v>
      </c>
      <c r="D28" s="180" t="s">
        <v>1289</v>
      </c>
      <c r="E28" s="181" t="s">
        <v>1290</v>
      </c>
      <c r="F28" s="135" t="s">
        <v>4081</v>
      </c>
      <c r="G28" s="181" t="s">
        <v>1318</v>
      </c>
      <c r="H28" s="181" t="s">
        <v>1323</v>
      </c>
      <c r="I28" s="182"/>
      <c r="J28" s="137"/>
      <c r="K28" s="146" t="s">
        <v>1170</v>
      </c>
      <c r="L28" s="139">
        <f t="shared" si="0"/>
        <v>5.2</v>
      </c>
      <c r="M28" s="140">
        <f t="shared" si="1"/>
        <v>1</v>
      </c>
      <c r="N28" s="141">
        <f t="shared" si="2"/>
        <v>5.2</v>
      </c>
      <c r="O28" s="142" t="s">
        <v>1156</v>
      </c>
      <c r="P28" s="183" t="s">
        <v>1294</v>
      </c>
      <c r="Q28" s="184"/>
    </row>
    <row r="29" spans="2:17" s="144" customFormat="1" ht="22.5" customHeight="1">
      <c r="B29" s="144" t="s">
        <v>1288</v>
      </c>
      <c r="C29" s="133">
        <v>24</v>
      </c>
      <c r="D29" s="180" t="s">
        <v>1289</v>
      </c>
      <c r="E29" s="181" t="s">
        <v>1290</v>
      </c>
      <c r="F29" s="135" t="s">
        <v>4082</v>
      </c>
      <c r="G29" s="181" t="s">
        <v>1318</v>
      </c>
      <c r="H29" s="181" t="s">
        <v>1324</v>
      </c>
      <c r="I29" s="182"/>
      <c r="J29" s="137"/>
      <c r="K29" s="146" t="s">
        <v>1163</v>
      </c>
      <c r="L29" s="139">
        <f t="shared" si="0"/>
        <v>4</v>
      </c>
      <c r="M29" s="140">
        <f t="shared" si="1"/>
        <v>1</v>
      </c>
      <c r="N29" s="141">
        <f t="shared" si="2"/>
        <v>4</v>
      </c>
      <c r="O29" s="142" t="s">
        <v>1156</v>
      </c>
      <c r="P29" s="183" t="s">
        <v>1294</v>
      </c>
      <c r="Q29" s="184"/>
    </row>
    <row r="30" spans="2:17" s="144" customFormat="1" ht="22.5" customHeight="1">
      <c r="B30" s="144" t="s">
        <v>1288</v>
      </c>
      <c r="C30" s="133">
        <v>25</v>
      </c>
      <c r="D30" s="180" t="s">
        <v>1289</v>
      </c>
      <c r="E30" s="181" t="s">
        <v>1290</v>
      </c>
      <c r="F30" s="135" t="s">
        <v>4083</v>
      </c>
      <c r="G30" s="181" t="s">
        <v>1318</v>
      </c>
      <c r="H30" s="181" t="s">
        <v>1325</v>
      </c>
      <c r="I30" s="182"/>
      <c r="J30" s="137"/>
      <c r="K30" s="146" t="s">
        <v>1170</v>
      </c>
      <c r="L30" s="139">
        <f t="shared" si="0"/>
        <v>5.2</v>
      </c>
      <c r="M30" s="140">
        <f t="shared" si="1"/>
        <v>1</v>
      </c>
      <c r="N30" s="141">
        <f t="shared" si="2"/>
        <v>5.2</v>
      </c>
      <c r="O30" s="142" t="s">
        <v>1156</v>
      </c>
      <c r="P30" s="183" t="s">
        <v>1294</v>
      </c>
      <c r="Q30" s="184"/>
    </row>
    <row r="31" spans="2:17" s="144" customFormat="1" ht="18.600000000000001" customHeight="1">
      <c r="B31" s="144" t="s">
        <v>1288</v>
      </c>
      <c r="C31" s="147">
        <v>26</v>
      </c>
      <c r="D31" s="185" t="s">
        <v>1289</v>
      </c>
      <c r="E31" s="186" t="s">
        <v>1326</v>
      </c>
      <c r="F31" s="148" t="s">
        <v>4084</v>
      </c>
      <c r="G31" s="186" t="s">
        <v>1327</v>
      </c>
      <c r="H31" s="186" t="s">
        <v>1328</v>
      </c>
      <c r="I31" s="187" t="s">
        <v>1329</v>
      </c>
      <c r="J31" s="137"/>
      <c r="K31" s="146" t="s">
        <v>1170</v>
      </c>
      <c r="L31" s="139">
        <f t="shared" si="0"/>
        <v>5.2</v>
      </c>
      <c r="M31" s="140">
        <f t="shared" si="1"/>
        <v>1</v>
      </c>
      <c r="N31" s="141">
        <f t="shared" si="2"/>
        <v>5.2</v>
      </c>
      <c r="O31" s="188" t="s">
        <v>1156</v>
      </c>
      <c r="P31" s="183" t="s">
        <v>1294</v>
      </c>
      <c r="Q31" s="184"/>
    </row>
    <row r="32" spans="2:17" s="144" customFormat="1" ht="18.600000000000001" customHeight="1">
      <c r="B32" s="144" t="s">
        <v>1288</v>
      </c>
      <c r="C32" s="147">
        <v>27</v>
      </c>
      <c r="D32" s="185" t="s">
        <v>1289</v>
      </c>
      <c r="E32" s="186" t="s">
        <v>1326</v>
      </c>
      <c r="F32" s="148" t="s">
        <v>4085</v>
      </c>
      <c r="G32" s="186" t="s">
        <v>1327</v>
      </c>
      <c r="H32" s="186" t="s">
        <v>1330</v>
      </c>
      <c r="I32" s="187" t="s">
        <v>1331</v>
      </c>
      <c r="J32" s="137"/>
      <c r="K32" s="152" t="s">
        <v>1163</v>
      </c>
      <c r="L32" s="139">
        <f t="shared" si="0"/>
        <v>4</v>
      </c>
      <c r="M32" s="140">
        <f t="shared" si="1"/>
        <v>1</v>
      </c>
      <c r="N32" s="141">
        <f t="shared" si="2"/>
        <v>4</v>
      </c>
      <c r="O32" s="188" t="s">
        <v>1156</v>
      </c>
      <c r="P32" s="183" t="s">
        <v>1294</v>
      </c>
      <c r="Q32" s="184"/>
    </row>
    <row r="33" spans="2:17" s="144" customFormat="1" ht="18.600000000000001" customHeight="1">
      <c r="B33" s="144" t="s">
        <v>1288</v>
      </c>
      <c r="C33" s="147">
        <v>28</v>
      </c>
      <c r="D33" s="185" t="s">
        <v>1289</v>
      </c>
      <c r="E33" s="186" t="s">
        <v>1326</v>
      </c>
      <c r="F33" s="148" t="s">
        <v>4086</v>
      </c>
      <c r="G33" s="186" t="s">
        <v>1327</v>
      </c>
      <c r="H33" s="186" t="s">
        <v>1332</v>
      </c>
      <c r="I33" s="187" t="s">
        <v>1333</v>
      </c>
      <c r="J33" s="137"/>
      <c r="K33" s="146" t="s">
        <v>1170</v>
      </c>
      <c r="L33" s="139">
        <f t="shared" si="0"/>
        <v>5.2</v>
      </c>
      <c r="M33" s="140">
        <f t="shared" si="1"/>
        <v>1</v>
      </c>
      <c r="N33" s="141">
        <f t="shared" si="2"/>
        <v>5.2</v>
      </c>
      <c r="O33" s="188" t="s">
        <v>1156</v>
      </c>
      <c r="P33" s="183" t="s">
        <v>1294</v>
      </c>
      <c r="Q33" s="184"/>
    </row>
    <row r="34" spans="2:17" s="144" customFormat="1" ht="18.600000000000001" customHeight="1">
      <c r="B34" s="144" t="s">
        <v>1288</v>
      </c>
      <c r="C34" s="147">
        <v>29</v>
      </c>
      <c r="D34" s="185" t="s">
        <v>1289</v>
      </c>
      <c r="E34" s="186" t="s">
        <v>1326</v>
      </c>
      <c r="F34" s="148" t="s">
        <v>4087</v>
      </c>
      <c r="G34" s="186" t="s">
        <v>1327</v>
      </c>
      <c r="H34" s="186" t="s">
        <v>1334</v>
      </c>
      <c r="I34" s="187" t="s">
        <v>1335</v>
      </c>
      <c r="J34" s="137"/>
      <c r="K34" s="146" t="s">
        <v>1170</v>
      </c>
      <c r="L34" s="139">
        <f t="shared" si="0"/>
        <v>5.2</v>
      </c>
      <c r="M34" s="140">
        <f t="shared" si="1"/>
        <v>1</v>
      </c>
      <c r="N34" s="141">
        <f t="shared" si="2"/>
        <v>5.2</v>
      </c>
      <c r="O34" s="188" t="s">
        <v>1156</v>
      </c>
      <c r="P34" s="183" t="s">
        <v>1294</v>
      </c>
      <c r="Q34" s="184"/>
    </row>
    <row r="35" spans="2:17" s="144" customFormat="1" ht="18.600000000000001" customHeight="1">
      <c r="B35" s="144" t="s">
        <v>1288</v>
      </c>
      <c r="C35" s="147">
        <v>30</v>
      </c>
      <c r="D35" s="185" t="s">
        <v>1289</v>
      </c>
      <c r="E35" s="186" t="s">
        <v>1326</v>
      </c>
      <c r="F35" s="148" t="s">
        <v>4088</v>
      </c>
      <c r="G35" s="186" t="s">
        <v>1327</v>
      </c>
      <c r="H35" s="186" t="s">
        <v>1336</v>
      </c>
      <c r="I35" s="187" t="s">
        <v>1337</v>
      </c>
      <c r="J35" s="137"/>
      <c r="K35" s="146" t="s">
        <v>1170</v>
      </c>
      <c r="L35" s="139">
        <f t="shared" si="0"/>
        <v>5.2</v>
      </c>
      <c r="M35" s="140">
        <f t="shared" si="1"/>
        <v>1</v>
      </c>
      <c r="N35" s="141">
        <f t="shared" si="2"/>
        <v>5.2</v>
      </c>
      <c r="O35" s="188" t="s">
        <v>1156</v>
      </c>
      <c r="P35" s="183" t="s">
        <v>1294</v>
      </c>
      <c r="Q35" s="184"/>
    </row>
    <row r="36" spans="2:17" s="144" customFormat="1" ht="18.600000000000001" customHeight="1">
      <c r="B36" s="144" t="s">
        <v>1288</v>
      </c>
      <c r="C36" s="133">
        <v>31</v>
      </c>
      <c r="D36" s="180" t="s">
        <v>1289</v>
      </c>
      <c r="E36" s="181" t="s">
        <v>1326</v>
      </c>
      <c r="F36" s="135" t="s">
        <v>4089</v>
      </c>
      <c r="G36" s="181" t="s">
        <v>1327</v>
      </c>
      <c r="H36" s="181" t="s">
        <v>1338</v>
      </c>
      <c r="I36" s="182"/>
      <c r="J36" s="137"/>
      <c r="K36" s="152" t="s">
        <v>1163</v>
      </c>
      <c r="L36" s="139">
        <f t="shared" si="0"/>
        <v>4</v>
      </c>
      <c r="M36" s="140">
        <f t="shared" si="1"/>
        <v>1</v>
      </c>
      <c r="N36" s="141">
        <f t="shared" si="2"/>
        <v>4</v>
      </c>
      <c r="O36" s="188" t="s">
        <v>1156</v>
      </c>
      <c r="P36" s="183" t="s">
        <v>1294</v>
      </c>
      <c r="Q36" s="184"/>
    </row>
    <row r="37" spans="2:17" s="144" customFormat="1" ht="18.600000000000001" customHeight="1">
      <c r="B37" s="144" t="s">
        <v>1288</v>
      </c>
      <c r="C37" s="133">
        <v>32</v>
      </c>
      <c r="D37" s="180" t="s">
        <v>1289</v>
      </c>
      <c r="E37" s="181" t="s">
        <v>1326</v>
      </c>
      <c r="F37" s="135" t="s">
        <v>4090</v>
      </c>
      <c r="G37" s="181" t="s">
        <v>1327</v>
      </c>
      <c r="H37" s="181" t="s">
        <v>1339</v>
      </c>
      <c r="I37" s="182"/>
      <c r="J37" s="137"/>
      <c r="K37" s="152" t="s">
        <v>1163</v>
      </c>
      <c r="L37" s="139">
        <f t="shared" si="0"/>
        <v>4</v>
      </c>
      <c r="M37" s="140">
        <f t="shared" si="1"/>
        <v>1</v>
      </c>
      <c r="N37" s="141">
        <f t="shared" si="2"/>
        <v>4</v>
      </c>
      <c r="O37" s="188" t="s">
        <v>1156</v>
      </c>
      <c r="P37" s="183" t="s">
        <v>1294</v>
      </c>
      <c r="Q37" s="184"/>
    </row>
    <row r="38" spans="2:17" s="144" customFormat="1" ht="18.600000000000001" customHeight="1">
      <c r="B38" s="144" t="s">
        <v>1288</v>
      </c>
      <c r="C38" s="133">
        <v>33</v>
      </c>
      <c r="D38" s="180" t="s">
        <v>1289</v>
      </c>
      <c r="E38" s="181" t="s">
        <v>1326</v>
      </c>
      <c r="F38" s="135" t="s">
        <v>4091</v>
      </c>
      <c r="G38" s="181" t="s">
        <v>1327</v>
      </c>
      <c r="H38" s="181" t="s">
        <v>1340</v>
      </c>
      <c r="I38" s="182"/>
      <c r="J38" s="137"/>
      <c r="K38" s="146" t="s">
        <v>1170</v>
      </c>
      <c r="L38" s="139">
        <f t="shared" si="0"/>
        <v>5.2</v>
      </c>
      <c r="M38" s="140">
        <f t="shared" si="1"/>
        <v>1</v>
      </c>
      <c r="N38" s="141">
        <f t="shared" si="2"/>
        <v>5.2</v>
      </c>
      <c r="O38" s="188" t="s">
        <v>1156</v>
      </c>
      <c r="P38" s="183" t="s">
        <v>1294</v>
      </c>
      <c r="Q38" s="184"/>
    </row>
    <row r="39" spans="2:17" s="144" customFormat="1" ht="18.600000000000001" customHeight="1">
      <c r="B39" s="144" t="s">
        <v>1288</v>
      </c>
      <c r="C39" s="133">
        <v>34</v>
      </c>
      <c r="D39" s="180" t="s">
        <v>1289</v>
      </c>
      <c r="E39" s="181" t="s">
        <v>1326</v>
      </c>
      <c r="F39" s="135" t="s">
        <v>4092</v>
      </c>
      <c r="G39" s="181" t="s">
        <v>1341</v>
      </c>
      <c r="H39" s="181" t="s">
        <v>1342</v>
      </c>
      <c r="I39" s="182" t="s">
        <v>1343</v>
      </c>
      <c r="J39" s="137"/>
      <c r="K39" s="152" t="s">
        <v>1163</v>
      </c>
      <c r="L39" s="139">
        <f t="shared" si="0"/>
        <v>4</v>
      </c>
      <c r="M39" s="140">
        <f t="shared" si="1"/>
        <v>1</v>
      </c>
      <c r="N39" s="141">
        <f t="shared" si="2"/>
        <v>4</v>
      </c>
      <c r="O39" s="188" t="s">
        <v>1156</v>
      </c>
      <c r="P39" s="183" t="s">
        <v>1294</v>
      </c>
      <c r="Q39" s="184"/>
    </row>
    <row r="40" spans="2:17" s="144" customFormat="1" ht="18.600000000000001" customHeight="1">
      <c r="B40" s="144" t="s">
        <v>1288</v>
      </c>
      <c r="C40" s="133">
        <v>35</v>
      </c>
      <c r="D40" s="180" t="s">
        <v>1289</v>
      </c>
      <c r="E40" s="181" t="s">
        <v>1326</v>
      </c>
      <c r="F40" s="135" t="s">
        <v>4093</v>
      </c>
      <c r="G40" s="181" t="s">
        <v>1341</v>
      </c>
      <c r="H40" s="181" t="s">
        <v>1344</v>
      </c>
      <c r="I40" s="182" t="s">
        <v>1345</v>
      </c>
      <c r="J40" s="137"/>
      <c r="K40" s="146" t="s">
        <v>1155</v>
      </c>
      <c r="L40" s="139">
        <f t="shared" si="0"/>
        <v>7.5</v>
      </c>
      <c r="M40" s="140">
        <f t="shared" si="1"/>
        <v>1</v>
      </c>
      <c r="N40" s="141">
        <f t="shared" si="2"/>
        <v>7.5</v>
      </c>
      <c r="O40" s="188" t="s">
        <v>1156</v>
      </c>
      <c r="P40" s="183" t="s">
        <v>1294</v>
      </c>
      <c r="Q40" s="184"/>
    </row>
    <row r="41" spans="2:17" s="144" customFormat="1" ht="18.600000000000001" customHeight="1">
      <c r="B41" s="144" t="s">
        <v>1288</v>
      </c>
      <c r="C41" s="133">
        <v>36</v>
      </c>
      <c r="D41" s="180" t="s">
        <v>1289</v>
      </c>
      <c r="E41" s="181" t="s">
        <v>1326</v>
      </c>
      <c r="F41" s="135" t="s">
        <v>4094</v>
      </c>
      <c r="G41" s="181" t="s">
        <v>1341</v>
      </c>
      <c r="H41" s="181" t="s">
        <v>1346</v>
      </c>
      <c r="I41" s="182" t="s">
        <v>1347</v>
      </c>
      <c r="J41" s="137"/>
      <c r="K41" s="146" t="s">
        <v>1155</v>
      </c>
      <c r="L41" s="139">
        <f t="shared" si="0"/>
        <v>7.5</v>
      </c>
      <c r="M41" s="140">
        <f t="shared" si="1"/>
        <v>1</v>
      </c>
      <c r="N41" s="141">
        <f t="shared" si="2"/>
        <v>7.5</v>
      </c>
      <c r="O41" s="188" t="s">
        <v>1156</v>
      </c>
      <c r="P41" s="183" t="s">
        <v>1294</v>
      </c>
      <c r="Q41" s="184"/>
    </row>
    <row r="42" spans="2:17" s="144" customFormat="1" ht="18.600000000000001" customHeight="1">
      <c r="B42" s="144" t="s">
        <v>1288</v>
      </c>
      <c r="C42" s="147">
        <v>37</v>
      </c>
      <c r="D42" s="185" t="s">
        <v>1289</v>
      </c>
      <c r="E42" s="186" t="s">
        <v>1326</v>
      </c>
      <c r="F42" s="148" t="s">
        <v>4095</v>
      </c>
      <c r="G42" s="186" t="s">
        <v>1341</v>
      </c>
      <c r="H42" s="186" t="s">
        <v>1348</v>
      </c>
      <c r="I42" s="187" t="s">
        <v>1349</v>
      </c>
      <c r="J42" s="137"/>
      <c r="K42" s="146" t="s">
        <v>1155</v>
      </c>
      <c r="L42" s="139">
        <f t="shared" si="0"/>
        <v>7.5</v>
      </c>
      <c r="M42" s="140">
        <f t="shared" si="1"/>
        <v>1</v>
      </c>
      <c r="N42" s="141">
        <f t="shared" si="2"/>
        <v>7.5</v>
      </c>
      <c r="O42" s="188" t="s">
        <v>1156</v>
      </c>
      <c r="P42" s="183" t="s">
        <v>1294</v>
      </c>
      <c r="Q42" s="184"/>
    </row>
    <row r="43" spans="2:17" s="144" customFormat="1" ht="18.600000000000001" customHeight="1">
      <c r="B43" s="144" t="s">
        <v>1288</v>
      </c>
      <c r="C43" s="147">
        <v>38</v>
      </c>
      <c r="D43" s="185" t="s">
        <v>1289</v>
      </c>
      <c r="E43" s="186" t="s">
        <v>1326</v>
      </c>
      <c r="F43" s="148" t="s">
        <v>4096</v>
      </c>
      <c r="G43" s="186" t="s">
        <v>1341</v>
      </c>
      <c r="H43" s="186" t="s">
        <v>1350</v>
      </c>
      <c r="I43" s="187" t="s">
        <v>1351</v>
      </c>
      <c r="J43" s="137"/>
      <c r="K43" s="146" t="s">
        <v>1155</v>
      </c>
      <c r="L43" s="139">
        <f t="shared" si="0"/>
        <v>7.5</v>
      </c>
      <c r="M43" s="140">
        <f t="shared" si="1"/>
        <v>1</v>
      </c>
      <c r="N43" s="141">
        <f t="shared" si="2"/>
        <v>7.5</v>
      </c>
      <c r="O43" s="188" t="s">
        <v>1156</v>
      </c>
      <c r="P43" s="183" t="s">
        <v>1294</v>
      </c>
      <c r="Q43" s="184"/>
    </row>
    <row r="44" spans="2:17" s="144" customFormat="1" ht="18.600000000000001" customHeight="1">
      <c r="B44" s="144" t="s">
        <v>1288</v>
      </c>
      <c r="C44" s="133">
        <v>39</v>
      </c>
      <c r="D44" s="180" t="s">
        <v>1289</v>
      </c>
      <c r="E44" s="181" t="s">
        <v>1326</v>
      </c>
      <c r="F44" s="135" t="s">
        <v>4097</v>
      </c>
      <c r="G44" s="181" t="s">
        <v>1352</v>
      </c>
      <c r="H44" s="181" t="s">
        <v>1353</v>
      </c>
      <c r="I44" s="182"/>
      <c r="J44" s="137"/>
      <c r="K44" s="152" t="s">
        <v>1163</v>
      </c>
      <c r="L44" s="139">
        <f t="shared" si="0"/>
        <v>4</v>
      </c>
      <c r="M44" s="140">
        <f t="shared" si="1"/>
        <v>1</v>
      </c>
      <c r="N44" s="141">
        <f t="shared" si="2"/>
        <v>4</v>
      </c>
      <c r="O44" s="188" t="s">
        <v>1156</v>
      </c>
      <c r="P44" s="183" t="s">
        <v>1294</v>
      </c>
      <c r="Q44" s="184"/>
    </row>
    <row r="45" spans="2:17" s="144" customFormat="1" ht="18.600000000000001" customHeight="1">
      <c r="B45" s="144" t="s">
        <v>1288</v>
      </c>
      <c r="C45" s="133">
        <v>40</v>
      </c>
      <c r="D45" s="180" t="s">
        <v>1289</v>
      </c>
      <c r="E45" s="181" t="s">
        <v>1326</v>
      </c>
      <c r="F45" s="135" t="s">
        <v>4098</v>
      </c>
      <c r="G45" s="181" t="s">
        <v>1352</v>
      </c>
      <c r="H45" s="181" t="s">
        <v>1354</v>
      </c>
      <c r="I45" s="182"/>
      <c r="J45" s="137"/>
      <c r="K45" s="152" t="s">
        <v>1163</v>
      </c>
      <c r="L45" s="139">
        <f t="shared" si="0"/>
        <v>4</v>
      </c>
      <c r="M45" s="140">
        <f t="shared" si="1"/>
        <v>1</v>
      </c>
      <c r="N45" s="141">
        <f t="shared" si="2"/>
        <v>4</v>
      </c>
      <c r="O45" s="188" t="s">
        <v>1156</v>
      </c>
      <c r="P45" s="183" t="s">
        <v>1294</v>
      </c>
      <c r="Q45" s="184"/>
    </row>
    <row r="46" spans="2:17" s="144" customFormat="1" ht="40.5">
      <c r="B46" s="144" t="s">
        <v>1288</v>
      </c>
      <c r="C46" s="133">
        <v>41</v>
      </c>
      <c r="D46" s="180" t="s">
        <v>1289</v>
      </c>
      <c r="E46" s="181" t="s">
        <v>1326</v>
      </c>
      <c r="F46" s="135" t="s">
        <v>4099</v>
      </c>
      <c r="G46" s="181" t="s">
        <v>1352</v>
      </c>
      <c r="H46" s="181" t="s">
        <v>1355</v>
      </c>
      <c r="I46" s="182" t="s">
        <v>1356</v>
      </c>
      <c r="J46" s="137"/>
      <c r="K46" s="146" t="s">
        <v>1170</v>
      </c>
      <c r="L46" s="139">
        <f t="shared" si="0"/>
        <v>5.2</v>
      </c>
      <c r="M46" s="140">
        <f t="shared" si="1"/>
        <v>1</v>
      </c>
      <c r="N46" s="141">
        <f t="shared" si="2"/>
        <v>5.2</v>
      </c>
      <c r="O46" s="188" t="s">
        <v>1156</v>
      </c>
      <c r="P46" s="183" t="s">
        <v>1294</v>
      </c>
      <c r="Q46" s="184"/>
    </row>
    <row r="47" spans="2:17" s="144" customFormat="1" ht="27">
      <c r="B47" s="144" t="s">
        <v>1288</v>
      </c>
      <c r="C47" s="133">
        <v>42</v>
      </c>
      <c r="D47" s="180" t="s">
        <v>1289</v>
      </c>
      <c r="E47" s="181" t="s">
        <v>1326</v>
      </c>
      <c r="F47" s="135" t="s">
        <v>4100</v>
      </c>
      <c r="G47" s="181" t="s">
        <v>1352</v>
      </c>
      <c r="H47" s="181" t="s">
        <v>1357</v>
      </c>
      <c r="I47" s="182" t="s">
        <v>1358</v>
      </c>
      <c r="J47" s="137"/>
      <c r="K47" s="146" t="s">
        <v>1170</v>
      </c>
      <c r="L47" s="139">
        <f t="shared" si="0"/>
        <v>5.2</v>
      </c>
      <c r="M47" s="140">
        <f t="shared" si="1"/>
        <v>1</v>
      </c>
      <c r="N47" s="141">
        <f t="shared" si="2"/>
        <v>5.2</v>
      </c>
      <c r="O47" s="188" t="s">
        <v>1156</v>
      </c>
      <c r="P47" s="183" t="s">
        <v>1294</v>
      </c>
      <c r="Q47" s="184"/>
    </row>
    <row r="48" spans="2:17" s="144" customFormat="1" ht="18.600000000000001" customHeight="1">
      <c r="B48" s="144" t="s">
        <v>1288</v>
      </c>
      <c r="C48" s="133">
        <v>43</v>
      </c>
      <c r="D48" s="180" t="s">
        <v>1289</v>
      </c>
      <c r="E48" s="181" t="s">
        <v>1326</v>
      </c>
      <c r="F48" s="135" t="s">
        <v>4101</v>
      </c>
      <c r="G48" s="181" t="s">
        <v>1352</v>
      </c>
      <c r="H48" s="181" t="s">
        <v>1359</v>
      </c>
      <c r="I48" s="182" t="s">
        <v>1360</v>
      </c>
      <c r="J48" s="137"/>
      <c r="K48" s="152" t="s">
        <v>1163</v>
      </c>
      <c r="L48" s="139">
        <f t="shared" si="0"/>
        <v>4</v>
      </c>
      <c r="M48" s="140">
        <f t="shared" si="1"/>
        <v>1</v>
      </c>
      <c r="N48" s="141">
        <f t="shared" si="2"/>
        <v>4</v>
      </c>
      <c r="O48" s="188" t="s">
        <v>1156</v>
      </c>
      <c r="P48" s="183" t="s">
        <v>1294</v>
      </c>
      <c r="Q48" s="184"/>
    </row>
    <row r="49" spans="2:17" s="144" customFormat="1" ht="18.600000000000001" customHeight="1">
      <c r="B49" s="144" t="s">
        <v>1288</v>
      </c>
      <c r="C49" s="133">
        <v>44</v>
      </c>
      <c r="D49" s="180" t="s">
        <v>1289</v>
      </c>
      <c r="E49" s="181" t="s">
        <v>1326</v>
      </c>
      <c r="F49" s="135" t="s">
        <v>4102</v>
      </c>
      <c r="G49" s="181" t="s">
        <v>1352</v>
      </c>
      <c r="H49" s="181" t="s">
        <v>1361</v>
      </c>
      <c r="I49" s="182" t="s">
        <v>1362</v>
      </c>
      <c r="J49" s="137"/>
      <c r="K49" s="152" t="s">
        <v>1163</v>
      </c>
      <c r="L49" s="139">
        <f t="shared" si="0"/>
        <v>4</v>
      </c>
      <c r="M49" s="140">
        <f t="shared" si="1"/>
        <v>1</v>
      </c>
      <c r="N49" s="141">
        <f t="shared" si="2"/>
        <v>4</v>
      </c>
      <c r="O49" s="188" t="s">
        <v>1156</v>
      </c>
      <c r="P49" s="183" t="s">
        <v>1294</v>
      </c>
      <c r="Q49" s="184"/>
    </row>
    <row r="50" spans="2:17" s="144" customFormat="1" ht="18.600000000000001" customHeight="1">
      <c r="B50" s="144" t="s">
        <v>1288</v>
      </c>
      <c r="C50" s="133">
        <v>45</v>
      </c>
      <c r="D50" s="180" t="s">
        <v>1289</v>
      </c>
      <c r="E50" s="181" t="s">
        <v>1326</v>
      </c>
      <c r="F50" s="135" t="s">
        <v>4103</v>
      </c>
      <c r="G50" s="181" t="s">
        <v>1352</v>
      </c>
      <c r="H50" s="181" t="s">
        <v>1363</v>
      </c>
      <c r="I50" s="182" t="s">
        <v>1364</v>
      </c>
      <c r="J50" s="137"/>
      <c r="K50" s="152" t="s">
        <v>1163</v>
      </c>
      <c r="L50" s="139">
        <f t="shared" si="0"/>
        <v>4</v>
      </c>
      <c r="M50" s="140">
        <f t="shared" si="1"/>
        <v>1</v>
      </c>
      <c r="N50" s="141">
        <f t="shared" si="2"/>
        <v>4</v>
      </c>
      <c r="O50" s="188" t="s">
        <v>1156</v>
      </c>
      <c r="P50" s="183" t="s">
        <v>1294</v>
      </c>
      <c r="Q50" s="184"/>
    </row>
    <row r="51" spans="2:17" s="144" customFormat="1" ht="18.600000000000001" customHeight="1">
      <c r="B51" s="144" t="s">
        <v>1288</v>
      </c>
      <c r="C51" s="133">
        <v>46</v>
      </c>
      <c r="D51" s="180" t="s">
        <v>1289</v>
      </c>
      <c r="E51" s="181" t="s">
        <v>1326</v>
      </c>
      <c r="F51" s="135" t="s">
        <v>4104</v>
      </c>
      <c r="G51" s="181" t="s">
        <v>1352</v>
      </c>
      <c r="H51" s="181" t="s">
        <v>1365</v>
      </c>
      <c r="I51" s="182" t="s">
        <v>1366</v>
      </c>
      <c r="J51" s="137"/>
      <c r="K51" s="146" t="s">
        <v>1170</v>
      </c>
      <c r="L51" s="139">
        <f t="shared" si="0"/>
        <v>5.2</v>
      </c>
      <c r="M51" s="140">
        <f t="shared" si="1"/>
        <v>1</v>
      </c>
      <c r="N51" s="141">
        <f t="shared" si="2"/>
        <v>5.2</v>
      </c>
      <c r="O51" s="188" t="s">
        <v>1156</v>
      </c>
      <c r="P51" s="183" t="s">
        <v>1294</v>
      </c>
      <c r="Q51" s="184"/>
    </row>
    <row r="52" spans="2:17" s="144" customFormat="1" ht="18.600000000000001" customHeight="1">
      <c r="B52" s="144" t="s">
        <v>1288</v>
      </c>
      <c r="C52" s="133">
        <v>47</v>
      </c>
      <c r="D52" s="180" t="s">
        <v>1289</v>
      </c>
      <c r="E52" s="181" t="s">
        <v>1326</v>
      </c>
      <c r="F52" s="135" t="s">
        <v>4105</v>
      </c>
      <c r="G52" s="181" t="s">
        <v>1367</v>
      </c>
      <c r="H52" s="181" t="s">
        <v>1368</v>
      </c>
      <c r="I52" s="182"/>
      <c r="J52" s="137"/>
      <c r="K52" s="146" t="s">
        <v>1155</v>
      </c>
      <c r="L52" s="139">
        <f t="shared" si="0"/>
        <v>7.5</v>
      </c>
      <c r="M52" s="140">
        <f t="shared" si="1"/>
        <v>1</v>
      </c>
      <c r="N52" s="141">
        <f t="shared" si="2"/>
        <v>7.5</v>
      </c>
      <c r="O52" s="188" t="s">
        <v>1156</v>
      </c>
      <c r="P52" s="183" t="s">
        <v>1294</v>
      </c>
      <c r="Q52" s="184"/>
    </row>
    <row r="53" spans="2:17" s="144" customFormat="1" ht="18.600000000000001" customHeight="1">
      <c r="B53" s="144" t="s">
        <v>1288</v>
      </c>
      <c r="C53" s="133">
        <v>48</v>
      </c>
      <c r="D53" s="180" t="s">
        <v>1289</v>
      </c>
      <c r="E53" s="181" t="s">
        <v>1326</v>
      </c>
      <c r="F53" s="135" t="s">
        <v>4106</v>
      </c>
      <c r="G53" s="181" t="s">
        <v>1367</v>
      </c>
      <c r="H53" s="181" t="s">
        <v>1369</v>
      </c>
      <c r="I53" s="182"/>
      <c r="J53" s="137"/>
      <c r="K53" s="146" t="s">
        <v>1155</v>
      </c>
      <c r="L53" s="139">
        <f t="shared" si="0"/>
        <v>7.5</v>
      </c>
      <c r="M53" s="140">
        <f t="shared" si="1"/>
        <v>1</v>
      </c>
      <c r="N53" s="141">
        <f t="shared" si="2"/>
        <v>7.5</v>
      </c>
      <c r="O53" s="188" t="s">
        <v>1156</v>
      </c>
      <c r="P53" s="183" t="s">
        <v>1294</v>
      </c>
      <c r="Q53" s="184"/>
    </row>
    <row r="54" spans="2:17" s="144" customFormat="1" ht="18.600000000000001" customHeight="1">
      <c r="B54" s="144" t="s">
        <v>1288</v>
      </c>
      <c r="C54" s="133">
        <v>49</v>
      </c>
      <c r="D54" s="180" t="s">
        <v>1289</v>
      </c>
      <c r="E54" s="181" t="s">
        <v>1326</v>
      </c>
      <c r="F54" s="135" t="s">
        <v>4107</v>
      </c>
      <c r="G54" s="181" t="s">
        <v>1367</v>
      </c>
      <c r="H54" s="181" t="s">
        <v>1370</v>
      </c>
      <c r="I54" s="182"/>
      <c r="J54" s="137"/>
      <c r="K54" s="146" t="s">
        <v>1155</v>
      </c>
      <c r="L54" s="139">
        <f t="shared" si="0"/>
        <v>7.5</v>
      </c>
      <c r="M54" s="140">
        <f t="shared" si="1"/>
        <v>1</v>
      </c>
      <c r="N54" s="141">
        <f t="shared" si="2"/>
        <v>7.5</v>
      </c>
      <c r="O54" s="188" t="s">
        <v>1156</v>
      </c>
      <c r="P54" s="183" t="s">
        <v>1294</v>
      </c>
      <c r="Q54" s="184"/>
    </row>
    <row r="55" spans="2:17" s="144" customFormat="1" ht="18.600000000000001" customHeight="1">
      <c r="B55" s="144" t="s">
        <v>1288</v>
      </c>
      <c r="C55" s="133">
        <v>50</v>
      </c>
      <c r="D55" s="180" t="s">
        <v>1289</v>
      </c>
      <c r="E55" s="181" t="s">
        <v>1326</v>
      </c>
      <c r="F55" s="135" t="s">
        <v>4108</v>
      </c>
      <c r="G55" s="181" t="s">
        <v>1367</v>
      </c>
      <c r="H55" s="181" t="s">
        <v>1371</v>
      </c>
      <c r="I55" s="182"/>
      <c r="J55" s="137"/>
      <c r="K55" s="146" t="s">
        <v>1155</v>
      </c>
      <c r="L55" s="139">
        <f t="shared" si="0"/>
        <v>7.5</v>
      </c>
      <c r="M55" s="140">
        <f t="shared" si="1"/>
        <v>1</v>
      </c>
      <c r="N55" s="141">
        <f t="shared" si="2"/>
        <v>7.5</v>
      </c>
      <c r="O55" s="188" t="s">
        <v>1156</v>
      </c>
      <c r="P55" s="183" t="s">
        <v>1294</v>
      </c>
      <c r="Q55" s="184"/>
    </row>
    <row r="56" spans="2:17" s="144" customFormat="1" ht="18.600000000000001" customHeight="1">
      <c r="B56" s="144" t="s">
        <v>1288</v>
      </c>
      <c r="C56" s="133">
        <v>51</v>
      </c>
      <c r="D56" s="180" t="s">
        <v>1289</v>
      </c>
      <c r="E56" s="181" t="s">
        <v>1326</v>
      </c>
      <c r="F56" s="135" t="s">
        <v>4109</v>
      </c>
      <c r="G56" s="181" t="s">
        <v>1367</v>
      </c>
      <c r="H56" s="181" t="s">
        <v>1372</v>
      </c>
      <c r="I56" s="182"/>
      <c r="J56" s="137"/>
      <c r="K56" s="146" t="s">
        <v>1155</v>
      </c>
      <c r="L56" s="139">
        <f t="shared" si="0"/>
        <v>7.5</v>
      </c>
      <c r="M56" s="140">
        <f t="shared" si="1"/>
        <v>1</v>
      </c>
      <c r="N56" s="141">
        <f t="shared" si="2"/>
        <v>7.5</v>
      </c>
      <c r="O56" s="188" t="s">
        <v>1156</v>
      </c>
      <c r="P56" s="183" t="s">
        <v>1294</v>
      </c>
      <c r="Q56" s="184"/>
    </row>
    <row r="57" spans="2:17" s="144" customFormat="1" ht="18.600000000000001" customHeight="1">
      <c r="B57" s="144" t="s">
        <v>1288</v>
      </c>
      <c r="C57" s="133">
        <v>52</v>
      </c>
      <c r="D57" s="180" t="s">
        <v>1289</v>
      </c>
      <c r="E57" s="181" t="s">
        <v>1326</v>
      </c>
      <c r="F57" s="135" t="s">
        <v>4110</v>
      </c>
      <c r="G57" s="181" t="s">
        <v>1367</v>
      </c>
      <c r="H57" s="181" t="s">
        <v>1373</v>
      </c>
      <c r="I57" s="182"/>
      <c r="J57" s="137"/>
      <c r="K57" s="152" t="s">
        <v>1163</v>
      </c>
      <c r="L57" s="139">
        <f t="shared" si="0"/>
        <v>4</v>
      </c>
      <c r="M57" s="140">
        <f t="shared" si="1"/>
        <v>1</v>
      </c>
      <c r="N57" s="141">
        <f t="shared" si="2"/>
        <v>4</v>
      </c>
      <c r="O57" s="188" t="s">
        <v>1156</v>
      </c>
      <c r="P57" s="183" t="s">
        <v>1294</v>
      </c>
      <c r="Q57" s="184"/>
    </row>
    <row r="58" spans="2:17" s="144" customFormat="1" ht="18.600000000000001" customHeight="1">
      <c r="B58" s="144" t="s">
        <v>1288</v>
      </c>
      <c r="C58" s="133">
        <v>53</v>
      </c>
      <c r="D58" s="180" t="s">
        <v>1289</v>
      </c>
      <c r="E58" s="181" t="s">
        <v>1326</v>
      </c>
      <c r="F58" s="135" t="s">
        <v>4111</v>
      </c>
      <c r="G58" s="181" t="s">
        <v>1367</v>
      </c>
      <c r="H58" s="181" t="s">
        <v>1374</v>
      </c>
      <c r="I58" s="182"/>
      <c r="J58" s="137"/>
      <c r="K58" s="152" t="s">
        <v>1163</v>
      </c>
      <c r="L58" s="139">
        <f t="shared" si="0"/>
        <v>4</v>
      </c>
      <c r="M58" s="140">
        <f t="shared" si="1"/>
        <v>1</v>
      </c>
      <c r="N58" s="141">
        <f t="shared" si="2"/>
        <v>4</v>
      </c>
      <c r="O58" s="188" t="s">
        <v>1156</v>
      </c>
      <c r="P58" s="183" t="s">
        <v>1294</v>
      </c>
      <c r="Q58" s="184"/>
    </row>
    <row r="59" spans="2:17" s="144" customFormat="1" ht="18.600000000000001" customHeight="1">
      <c r="B59" s="144" t="s">
        <v>1288</v>
      </c>
      <c r="C59" s="133">
        <v>54</v>
      </c>
      <c r="D59" s="180" t="s">
        <v>1289</v>
      </c>
      <c r="E59" s="181" t="s">
        <v>1326</v>
      </c>
      <c r="F59" s="135" t="s">
        <v>4112</v>
      </c>
      <c r="G59" s="181" t="s">
        <v>1367</v>
      </c>
      <c r="H59" s="181" t="s">
        <v>1375</v>
      </c>
      <c r="I59" s="182"/>
      <c r="J59" s="137"/>
      <c r="K59" s="146" t="s">
        <v>1170</v>
      </c>
      <c r="L59" s="139">
        <f t="shared" si="0"/>
        <v>5.2</v>
      </c>
      <c r="M59" s="140">
        <f t="shared" si="1"/>
        <v>1</v>
      </c>
      <c r="N59" s="141">
        <f t="shared" si="2"/>
        <v>5.2</v>
      </c>
      <c r="O59" s="188" t="s">
        <v>1156</v>
      </c>
      <c r="P59" s="183" t="s">
        <v>1294</v>
      </c>
      <c r="Q59" s="184"/>
    </row>
    <row r="60" spans="2:17" s="144" customFormat="1" ht="18.600000000000001" customHeight="1">
      <c r="B60" s="144" t="s">
        <v>1288</v>
      </c>
      <c r="C60" s="133">
        <v>55</v>
      </c>
      <c r="D60" s="180" t="s">
        <v>1289</v>
      </c>
      <c r="E60" s="181" t="s">
        <v>1326</v>
      </c>
      <c r="F60" s="135" t="s">
        <v>4113</v>
      </c>
      <c r="G60" s="181" t="s">
        <v>1367</v>
      </c>
      <c r="H60" s="181" t="s">
        <v>1376</v>
      </c>
      <c r="I60" s="182"/>
      <c r="J60" s="137"/>
      <c r="K60" s="146" t="s">
        <v>1170</v>
      </c>
      <c r="L60" s="139">
        <f t="shared" si="0"/>
        <v>5.2</v>
      </c>
      <c r="M60" s="140">
        <f t="shared" si="1"/>
        <v>1</v>
      </c>
      <c r="N60" s="141">
        <f t="shared" si="2"/>
        <v>5.2</v>
      </c>
      <c r="O60" s="188" t="s">
        <v>1156</v>
      </c>
      <c r="P60" s="183" t="s">
        <v>1294</v>
      </c>
      <c r="Q60" s="184"/>
    </row>
    <row r="61" spans="2:17" s="144" customFormat="1" ht="18.600000000000001" customHeight="1">
      <c r="B61" s="144" t="s">
        <v>1288</v>
      </c>
      <c r="C61" s="133">
        <v>56</v>
      </c>
      <c r="D61" s="180" t="s">
        <v>1289</v>
      </c>
      <c r="E61" s="181" t="s">
        <v>1326</v>
      </c>
      <c r="F61" s="135" t="s">
        <v>4114</v>
      </c>
      <c r="G61" s="181" t="s">
        <v>1367</v>
      </c>
      <c r="H61" s="181" t="s">
        <v>1377</v>
      </c>
      <c r="I61" s="182"/>
      <c r="J61" s="137"/>
      <c r="K61" s="146" t="s">
        <v>1170</v>
      </c>
      <c r="L61" s="139">
        <f t="shared" si="0"/>
        <v>5.2</v>
      </c>
      <c r="M61" s="140">
        <f t="shared" si="1"/>
        <v>1</v>
      </c>
      <c r="N61" s="141">
        <f t="shared" si="2"/>
        <v>5.2</v>
      </c>
      <c r="O61" s="188" t="s">
        <v>1156</v>
      </c>
      <c r="P61" s="183" t="s">
        <v>1294</v>
      </c>
      <c r="Q61" s="184"/>
    </row>
    <row r="62" spans="2:17" s="144" customFormat="1" ht="18.600000000000001" customHeight="1">
      <c r="B62" s="144" t="s">
        <v>1288</v>
      </c>
      <c r="C62" s="133">
        <v>57</v>
      </c>
      <c r="D62" s="180" t="s">
        <v>1289</v>
      </c>
      <c r="E62" s="181" t="s">
        <v>1326</v>
      </c>
      <c r="F62" s="135" t="s">
        <v>4115</v>
      </c>
      <c r="G62" s="181" t="s">
        <v>1367</v>
      </c>
      <c r="H62" s="181" t="s">
        <v>1378</v>
      </c>
      <c r="I62" s="182" t="s">
        <v>1379</v>
      </c>
      <c r="J62" s="137"/>
      <c r="K62" s="152" t="s">
        <v>1163</v>
      </c>
      <c r="L62" s="139">
        <f t="shared" si="0"/>
        <v>4</v>
      </c>
      <c r="M62" s="140">
        <f t="shared" si="1"/>
        <v>1</v>
      </c>
      <c r="N62" s="141">
        <f t="shared" si="2"/>
        <v>4</v>
      </c>
      <c r="O62" s="188" t="s">
        <v>1156</v>
      </c>
      <c r="P62" s="183" t="s">
        <v>1294</v>
      </c>
      <c r="Q62" s="184"/>
    </row>
    <row r="63" spans="2:17" s="144" customFormat="1" ht="18.600000000000001" customHeight="1">
      <c r="B63" s="144" t="s">
        <v>1288</v>
      </c>
      <c r="C63" s="133">
        <v>58</v>
      </c>
      <c r="D63" s="180" t="s">
        <v>1289</v>
      </c>
      <c r="E63" s="181" t="s">
        <v>1326</v>
      </c>
      <c r="F63" s="135" t="s">
        <v>4116</v>
      </c>
      <c r="G63" s="181" t="s">
        <v>1367</v>
      </c>
      <c r="H63" s="181" t="s">
        <v>1380</v>
      </c>
      <c r="I63" s="182" t="s">
        <v>1381</v>
      </c>
      <c r="J63" s="137"/>
      <c r="K63" s="146" t="s">
        <v>1170</v>
      </c>
      <c r="L63" s="139">
        <f t="shared" si="0"/>
        <v>5.2</v>
      </c>
      <c r="M63" s="140">
        <f t="shared" si="1"/>
        <v>1</v>
      </c>
      <c r="N63" s="141">
        <f t="shared" si="2"/>
        <v>5.2</v>
      </c>
      <c r="O63" s="188" t="s">
        <v>1156</v>
      </c>
      <c r="P63" s="183" t="s">
        <v>1294</v>
      </c>
      <c r="Q63" s="184"/>
    </row>
    <row r="64" spans="2:17" s="144" customFormat="1" ht="18.600000000000001" customHeight="1">
      <c r="B64" s="144" t="s">
        <v>1288</v>
      </c>
      <c r="C64" s="133">
        <v>59</v>
      </c>
      <c r="D64" s="180" t="s">
        <v>1289</v>
      </c>
      <c r="E64" s="181" t="s">
        <v>1326</v>
      </c>
      <c r="F64" s="135" t="s">
        <v>4117</v>
      </c>
      <c r="G64" s="181" t="s">
        <v>1367</v>
      </c>
      <c r="H64" s="181" t="s">
        <v>1382</v>
      </c>
      <c r="I64" s="182" t="s">
        <v>1383</v>
      </c>
      <c r="J64" s="137"/>
      <c r="K64" s="152" t="s">
        <v>1163</v>
      </c>
      <c r="L64" s="139">
        <f t="shared" si="0"/>
        <v>4</v>
      </c>
      <c r="M64" s="140">
        <f t="shared" si="1"/>
        <v>1</v>
      </c>
      <c r="N64" s="141">
        <f t="shared" si="2"/>
        <v>4</v>
      </c>
      <c r="O64" s="188" t="s">
        <v>1156</v>
      </c>
      <c r="P64" s="183" t="s">
        <v>1294</v>
      </c>
      <c r="Q64" s="184"/>
    </row>
    <row r="65" spans="2:17" s="144" customFormat="1" ht="18.600000000000001" customHeight="1">
      <c r="B65" s="144" t="s">
        <v>1288</v>
      </c>
      <c r="C65" s="133">
        <v>60</v>
      </c>
      <c r="D65" s="180" t="s">
        <v>1289</v>
      </c>
      <c r="E65" s="181" t="s">
        <v>1326</v>
      </c>
      <c r="F65" s="135" t="s">
        <v>4118</v>
      </c>
      <c r="G65" s="181" t="s">
        <v>1367</v>
      </c>
      <c r="H65" s="181" t="s">
        <v>1384</v>
      </c>
      <c r="I65" s="182" t="s">
        <v>1385</v>
      </c>
      <c r="J65" s="137"/>
      <c r="K65" s="146" t="s">
        <v>1170</v>
      </c>
      <c r="L65" s="139">
        <f t="shared" si="0"/>
        <v>5.2</v>
      </c>
      <c r="M65" s="140">
        <f t="shared" si="1"/>
        <v>1</v>
      </c>
      <c r="N65" s="141">
        <f t="shared" si="2"/>
        <v>5.2</v>
      </c>
      <c r="O65" s="188" t="s">
        <v>1156</v>
      </c>
      <c r="P65" s="183" t="s">
        <v>1294</v>
      </c>
      <c r="Q65" s="184"/>
    </row>
    <row r="66" spans="2:17" s="144" customFormat="1" ht="18.600000000000001" customHeight="1">
      <c r="B66" s="144" t="s">
        <v>1288</v>
      </c>
      <c r="C66" s="133">
        <v>61</v>
      </c>
      <c r="D66" s="180" t="s">
        <v>1289</v>
      </c>
      <c r="E66" s="181" t="s">
        <v>1326</v>
      </c>
      <c r="F66" s="135" t="s">
        <v>4119</v>
      </c>
      <c r="G66" s="181" t="s">
        <v>1367</v>
      </c>
      <c r="H66" s="181" t="s">
        <v>1386</v>
      </c>
      <c r="I66" s="182"/>
      <c r="J66" s="137"/>
      <c r="K66" s="152" t="s">
        <v>1163</v>
      </c>
      <c r="L66" s="139">
        <f t="shared" si="0"/>
        <v>4</v>
      </c>
      <c r="M66" s="140">
        <f t="shared" si="1"/>
        <v>1</v>
      </c>
      <c r="N66" s="141">
        <f t="shared" si="2"/>
        <v>4</v>
      </c>
      <c r="O66" s="188" t="s">
        <v>1156</v>
      </c>
      <c r="P66" s="183" t="s">
        <v>1294</v>
      </c>
      <c r="Q66" s="184"/>
    </row>
    <row r="67" spans="2:17" s="144" customFormat="1" ht="18.600000000000001" customHeight="1">
      <c r="B67" s="144" t="s">
        <v>1288</v>
      </c>
      <c r="C67" s="133">
        <v>62</v>
      </c>
      <c r="D67" s="180" t="s">
        <v>1289</v>
      </c>
      <c r="E67" s="181" t="s">
        <v>1326</v>
      </c>
      <c r="F67" s="135" t="s">
        <v>4120</v>
      </c>
      <c r="G67" s="181" t="s">
        <v>1367</v>
      </c>
      <c r="H67" s="181" t="s">
        <v>1387</v>
      </c>
      <c r="I67" s="182"/>
      <c r="J67" s="137"/>
      <c r="K67" s="152" t="s">
        <v>1163</v>
      </c>
      <c r="L67" s="139">
        <f t="shared" si="0"/>
        <v>4</v>
      </c>
      <c r="M67" s="140">
        <f t="shared" si="1"/>
        <v>1</v>
      </c>
      <c r="N67" s="141">
        <f t="shared" si="2"/>
        <v>4</v>
      </c>
      <c r="O67" s="188" t="s">
        <v>1156</v>
      </c>
      <c r="P67" s="183" t="s">
        <v>1294</v>
      </c>
      <c r="Q67" s="184"/>
    </row>
    <row r="68" spans="2:17" s="144" customFormat="1" ht="18.600000000000001" customHeight="1">
      <c r="B68" s="144" t="s">
        <v>1288</v>
      </c>
      <c r="C68" s="133">
        <v>63</v>
      </c>
      <c r="D68" s="180" t="s">
        <v>1289</v>
      </c>
      <c r="E68" s="181" t="s">
        <v>1326</v>
      </c>
      <c r="F68" s="135" t="s">
        <v>4121</v>
      </c>
      <c r="G68" s="181" t="s">
        <v>1367</v>
      </c>
      <c r="H68" s="181" t="s">
        <v>1388</v>
      </c>
      <c r="I68" s="182"/>
      <c r="J68" s="137"/>
      <c r="K68" s="152" t="s">
        <v>1163</v>
      </c>
      <c r="L68" s="139">
        <f t="shared" si="0"/>
        <v>4</v>
      </c>
      <c r="M68" s="140">
        <f t="shared" si="1"/>
        <v>1</v>
      </c>
      <c r="N68" s="141">
        <f t="shared" si="2"/>
        <v>4</v>
      </c>
      <c r="O68" s="188" t="s">
        <v>1156</v>
      </c>
      <c r="P68" s="183" t="s">
        <v>1294</v>
      </c>
      <c r="Q68" s="184"/>
    </row>
    <row r="69" spans="2:17" s="144" customFormat="1" ht="18.600000000000001" customHeight="1">
      <c r="B69" s="144" t="s">
        <v>1288</v>
      </c>
      <c r="C69" s="133">
        <v>64</v>
      </c>
      <c r="D69" s="180" t="s">
        <v>1289</v>
      </c>
      <c r="E69" s="181" t="s">
        <v>1326</v>
      </c>
      <c r="F69" s="135" t="s">
        <v>4122</v>
      </c>
      <c r="G69" s="181" t="s">
        <v>1367</v>
      </c>
      <c r="H69" s="181" t="s">
        <v>1389</v>
      </c>
      <c r="I69" s="182"/>
      <c r="J69" s="137"/>
      <c r="K69" s="152" t="s">
        <v>1163</v>
      </c>
      <c r="L69" s="139">
        <f t="shared" si="0"/>
        <v>4</v>
      </c>
      <c r="M69" s="140">
        <f t="shared" si="1"/>
        <v>1</v>
      </c>
      <c r="N69" s="141">
        <f t="shared" si="2"/>
        <v>4</v>
      </c>
      <c r="O69" s="188" t="s">
        <v>1156</v>
      </c>
      <c r="P69" s="183" t="s">
        <v>1294</v>
      </c>
      <c r="Q69" s="184"/>
    </row>
    <row r="70" spans="2:17" s="144" customFormat="1">
      <c r="B70" s="144" t="s">
        <v>1288</v>
      </c>
      <c r="C70" s="133">
        <v>65</v>
      </c>
      <c r="D70" s="180" t="s">
        <v>1289</v>
      </c>
      <c r="E70" s="181" t="s">
        <v>1326</v>
      </c>
      <c r="F70" s="135" t="s">
        <v>4123</v>
      </c>
      <c r="G70" s="181" t="s">
        <v>1367</v>
      </c>
      <c r="H70" s="181" t="s">
        <v>1390</v>
      </c>
      <c r="I70" s="182" t="s">
        <v>1391</v>
      </c>
      <c r="J70" s="137"/>
      <c r="K70" s="146" t="s">
        <v>1170</v>
      </c>
      <c r="L70" s="139">
        <f t="shared" ref="L70:L133" si="3">IF(K70="","",IF(K70="EI",4,IF(K70="EO",5.2,IF(K70="EQ",3.9,IF(K70="ILF",7.5,IF(K70="EIF",5.4))))))</f>
        <v>5.2</v>
      </c>
      <c r="M70" s="140">
        <f t="shared" ref="M70:M133" si="4">IF(O70="","",IF(O70="신규",1,IF(O70="고도화",1.04,IF(O70="재사용",0.25))))</f>
        <v>1</v>
      </c>
      <c r="N70" s="141">
        <f t="shared" ref="N70:N133" si="5">L70*M70</f>
        <v>5.2</v>
      </c>
      <c r="O70" s="188" t="s">
        <v>1156</v>
      </c>
      <c r="P70" s="183" t="s">
        <v>1294</v>
      </c>
      <c r="Q70" s="184"/>
    </row>
    <row r="71" spans="2:17" s="144" customFormat="1">
      <c r="B71" s="144" t="s">
        <v>1288</v>
      </c>
      <c r="C71" s="133">
        <v>66</v>
      </c>
      <c r="D71" s="180" t="s">
        <v>1289</v>
      </c>
      <c r="E71" s="181" t="s">
        <v>1326</v>
      </c>
      <c r="F71" s="135" t="s">
        <v>4124</v>
      </c>
      <c r="G71" s="181" t="s">
        <v>1367</v>
      </c>
      <c r="H71" s="181" t="s">
        <v>1392</v>
      </c>
      <c r="I71" s="182" t="s">
        <v>1393</v>
      </c>
      <c r="J71" s="137"/>
      <c r="K71" s="146" t="s">
        <v>1170</v>
      </c>
      <c r="L71" s="139">
        <f t="shared" si="3"/>
        <v>5.2</v>
      </c>
      <c r="M71" s="140">
        <f t="shared" si="4"/>
        <v>1</v>
      </c>
      <c r="N71" s="141">
        <f t="shared" si="5"/>
        <v>5.2</v>
      </c>
      <c r="O71" s="188" t="s">
        <v>1156</v>
      </c>
      <c r="P71" s="183" t="s">
        <v>1294</v>
      </c>
      <c r="Q71" s="184"/>
    </row>
    <row r="72" spans="2:17" s="144" customFormat="1" ht="18.600000000000001" customHeight="1">
      <c r="B72" s="144" t="s">
        <v>1288</v>
      </c>
      <c r="C72" s="133">
        <v>67</v>
      </c>
      <c r="D72" s="180" t="s">
        <v>1289</v>
      </c>
      <c r="E72" s="181" t="s">
        <v>1326</v>
      </c>
      <c r="F72" s="135" t="s">
        <v>4125</v>
      </c>
      <c r="G72" s="181" t="s">
        <v>1367</v>
      </c>
      <c r="H72" s="181" t="s">
        <v>1394</v>
      </c>
      <c r="I72" s="182"/>
      <c r="J72" s="137"/>
      <c r="K72" s="146" t="s">
        <v>1170</v>
      </c>
      <c r="L72" s="139">
        <f t="shared" si="3"/>
        <v>5.2</v>
      </c>
      <c r="M72" s="140">
        <f t="shared" si="4"/>
        <v>1</v>
      </c>
      <c r="N72" s="141">
        <f t="shared" si="5"/>
        <v>5.2</v>
      </c>
      <c r="O72" s="188" t="s">
        <v>1156</v>
      </c>
      <c r="P72" s="183" t="s">
        <v>1294</v>
      </c>
      <c r="Q72" s="184"/>
    </row>
    <row r="73" spans="2:17" s="144" customFormat="1" ht="18.600000000000001" customHeight="1">
      <c r="B73" s="144" t="s">
        <v>1288</v>
      </c>
      <c r="C73" s="133">
        <v>68</v>
      </c>
      <c r="D73" s="180" t="s">
        <v>1289</v>
      </c>
      <c r="E73" s="181" t="s">
        <v>1326</v>
      </c>
      <c r="F73" s="135" t="s">
        <v>4126</v>
      </c>
      <c r="G73" s="181" t="s">
        <v>1367</v>
      </c>
      <c r="H73" s="181" t="s">
        <v>1395</v>
      </c>
      <c r="I73" s="182"/>
      <c r="J73" s="137"/>
      <c r="K73" s="152" t="s">
        <v>1163</v>
      </c>
      <c r="L73" s="139">
        <f t="shared" si="3"/>
        <v>4</v>
      </c>
      <c r="M73" s="140">
        <f t="shared" si="4"/>
        <v>1</v>
      </c>
      <c r="N73" s="141">
        <f t="shared" si="5"/>
        <v>4</v>
      </c>
      <c r="O73" s="188" t="s">
        <v>1156</v>
      </c>
      <c r="P73" s="183" t="s">
        <v>1294</v>
      </c>
      <c r="Q73" s="184"/>
    </row>
    <row r="74" spans="2:17" s="144" customFormat="1" ht="54">
      <c r="B74" s="144" t="s">
        <v>1288</v>
      </c>
      <c r="C74" s="133">
        <v>69</v>
      </c>
      <c r="D74" s="180" t="s">
        <v>1289</v>
      </c>
      <c r="E74" s="181" t="s">
        <v>1326</v>
      </c>
      <c r="F74" s="135" t="s">
        <v>4127</v>
      </c>
      <c r="G74" s="181" t="s">
        <v>1367</v>
      </c>
      <c r="H74" s="181" t="s">
        <v>1396</v>
      </c>
      <c r="I74" s="182" t="s">
        <v>1397</v>
      </c>
      <c r="J74" s="137"/>
      <c r="K74" s="152" t="s">
        <v>1163</v>
      </c>
      <c r="L74" s="139">
        <f t="shared" si="3"/>
        <v>4</v>
      </c>
      <c r="M74" s="140">
        <f t="shared" si="4"/>
        <v>1</v>
      </c>
      <c r="N74" s="141">
        <f t="shared" si="5"/>
        <v>4</v>
      </c>
      <c r="O74" s="188" t="s">
        <v>1156</v>
      </c>
      <c r="P74" s="183" t="s">
        <v>1294</v>
      </c>
      <c r="Q74" s="184"/>
    </row>
    <row r="75" spans="2:17" s="144" customFormat="1" ht="18.600000000000001" customHeight="1">
      <c r="B75" s="144" t="s">
        <v>1288</v>
      </c>
      <c r="C75" s="133">
        <v>70</v>
      </c>
      <c r="D75" s="180" t="s">
        <v>1289</v>
      </c>
      <c r="E75" s="181" t="s">
        <v>1326</v>
      </c>
      <c r="F75" s="135" t="s">
        <v>4128</v>
      </c>
      <c r="G75" s="181" t="s">
        <v>1367</v>
      </c>
      <c r="H75" s="181" t="s">
        <v>1398</v>
      </c>
      <c r="I75" s="182"/>
      <c r="J75" s="137"/>
      <c r="K75" s="152" t="s">
        <v>1163</v>
      </c>
      <c r="L75" s="139">
        <f t="shared" si="3"/>
        <v>4</v>
      </c>
      <c r="M75" s="140">
        <f t="shared" si="4"/>
        <v>1</v>
      </c>
      <c r="N75" s="141">
        <f t="shared" si="5"/>
        <v>4</v>
      </c>
      <c r="O75" s="188" t="s">
        <v>1156</v>
      </c>
      <c r="P75" s="183" t="s">
        <v>1294</v>
      </c>
      <c r="Q75" s="184"/>
    </row>
    <row r="76" spans="2:17" s="144" customFormat="1" ht="18.600000000000001" customHeight="1">
      <c r="B76" s="144" t="s">
        <v>1288</v>
      </c>
      <c r="C76" s="133">
        <v>71</v>
      </c>
      <c r="D76" s="180" t="s">
        <v>1289</v>
      </c>
      <c r="E76" s="181" t="s">
        <v>1326</v>
      </c>
      <c r="F76" s="135" t="s">
        <v>4129</v>
      </c>
      <c r="G76" s="181" t="s">
        <v>1367</v>
      </c>
      <c r="H76" s="181" t="s">
        <v>1399</v>
      </c>
      <c r="I76" s="182"/>
      <c r="J76" s="137"/>
      <c r="K76" s="152" t="s">
        <v>1163</v>
      </c>
      <c r="L76" s="139">
        <f t="shared" si="3"/>
        <v>4</v>
      </c>
      <c r="M76" s="140">
        <f t="shared" si="4"/>
        <v>1</v>
      </c>
      <c r="N76" s="141">
        <f t="shared" si="5"/>
        <v>4</v>
      </c>
      <c r="O76" s="188" t="s">
        <v>1156</v>
      </c>
      <c r="P76" s="183" t="s">
        <v>1294</v>
      </c>
      <c r="Q76" s="184"/>
    </row>
    <row r="77" spans="2:17" s="144" customFormat="1" ht="18.600000000000001" customHeight="1">
      <c r="B77" s="144" t="s">
        <v>1288</v>
      </c>
      <c r="C77" s="133">
        <v>72</v>
      </c>
      <c r="D77" s="180" t="s">
        <v>1289</v>
      </c>
      <c r="E77" s="181" t="s">
        <v>1326</v>
      </c>
      <c r="F77" s="135" t="s">
        <v>4130</v>
      </c>
      <c r="G77" s="181" t="s">
        <v>1367</v>
      </c>
      <c r="H77" s="181" t="s">
        <v>1400</v>
      </c>
      <c r="I77" s="182"/>
      <c r="J77" s="137"/>
      <c r="K77" s="152" t="s">
        <v>1163</v>
      </c>
      <c r="L77" s="139">
        <f t="shared" si="3"/>
        <v>4</v>
      </c>
      <c r="M77" s="140">
        <f t="shared" si="4"/>
        <v>1</v>
      </c>
      <c r="N77" s="141">
        <f t="shared" si="5"/>
        <v>4</v>
      </c>
      <c r="O77" s="188" t="s">
        <v>1156</v>
      </c>
      <c r="P77" s="183" t="s">
        <v>1294</v>
      </c>
      <c r="Q77" s="184"/>
    </row>
    <row r="78" spans="2:17" s="144" customFormat="1" ht="18.600000000000001" customHeight="1">
      <c r="B78" s="144" t="s">
        <v>1288</v>
      </c>
      <c r="C78" s="133">
        <v>73</v>
      </c>
      <c r="D78" s="180" t="s">
        <v>1289</v>
      </c>
      <c r="E78" s="181" t="s">
        <v>1326</v>
      </c>
      <c r="F78" s="135" t="s">
        <v>4131</v>
      </c>
      <c r="G78" s="181" t="s">
        <v>1367</v>
      </c>
      <c r="H78" s="181" t="s">
        <v>1401</v>
      </c>
      <c r="I78" s="182"/>
      <c r="J78" s="137"/>
      <c r="K78" s="152" t="s">
        <v>1163</v>
      </c>
      <c r="L78" s="139">
        <f t="shared" si="3"/>
        <v>4</v>
      </c>
      <c r="M78" s="140">
        <f t="shared" si="4"/>
        <v>1</v>
      </c>
      <c r="N78" s="141">
        <f t="shared" si="5"/>
        <v>4</v>
      </c>
      <c r="O78" s="188" t="s">
        <v>1156</v>
      </c>
      <c r="P78" s="183" t="s">
        <v>1294</v>
      </c>
      <c r="Q78" s="184"/>
    </row>
    <row r="79" spans="2:17" s="144" customFormat="1" ht="18.600000000000001" customHeight="1">
      <c r="B79" s="144" t="s">
        <v>1288</v>
      </c>
      <c r="C79" s="133">
        <v>74</v>
      </c>
      <c r="D79" s="180" t="s">
        <v>1289</v>
      </c>
      <c r="E79" s="181" t="s">
        <v>1326</v>
      </c>
      <c r="F79" s="135" t="s">
        <v>4132</v>
      </c>
      <c r="G79" s="181" t="s">
        <v>1367</v>
      </c>
      <c r="H79" s="181" t="s">
        <v>1402</v>
      </c>
      <c r="I79" s="182"/>
      <c r="J79" s="137"/>
      <c r="K79" s="152" t="s">
        <v>1163</v>
      </c>
      <c r="L79" s="139">
        <f t="shared" si="3"/>
        <v>4</v>
      </c>
      <c r="M79" s="140">
        <f t="shared" si="4"/>
        <v>1</v>
      </c>
      <c r="N79" s="141">
        <f t="shared" si="5"/>
        <v>4</v>
      </c>
      <c r="O79" s="188" t="s">
        <v>1156</v>
      </c>
      <c r="P79" s="183" t="s">
        <v>1294</v>
      </c>
      <c r="Q79" s="184"/>
    </row>
    <row r="80" spans="2:17" s="144" customFormat="1" ht="18.600000000000001" customHeight="1">
      <c r="B80" s="144" t="s">
        <v>1288</v>
      </c>
      <c r="C80" s="133">
        <v>75</v>
      </c>
      <c r="D80" s="180" t="s">
        <v>1289</v>
      </c>
      <c r="E80" s="181" t="s">
        <v>1326</v>
      </c>
      <c r="F80" s="135" t="s">
        <v>4133</v>
      </c>
      <c r="G80" s="181" t="s">
        <v>1367</v>
      </c>
      <c r="H80" s="181" t="s">
        <v>1403</v>
      </c>
      <c r="I80" s="182"/>
      <c r="J80" s="137"/>
      <c r="K80" s="152" t="s">
        <v>1163</v>
      </c>
      <c r="L80" s="139">
        <f t="shared" si="3"/>
        <v>4</v>
      </c>
      <c r="M80" s="140">
        <f t="shared" si="4"/>
        <v>1</v>
      </c>
      <c r="N80" s="141">
        <f t="shared" si="5"/>
        <v>4</v>
      </c>
      <c r="O80" s="188" t="s">
        <v>1156</v>
      </c>
      <c r="P80" s="183" t="s">
        <v>1294</v>
      </c>
      <c r="Q80" s="184"/>
    </row>
    <row r="81" spans="2:17" s="144" customFormat="1" ht="18.600000000000001" customHeight="1">
      <c r="B81" s="144" t="s">
        <v>1288</v>
      </c>
      <c r="C81" s="133">
        <v>76</v>
      </c>
      <c r="D81" s="180" t="s">
        <v>1289</v>
      </c>
      <c r="E81" s="181" t="s">
        <v>1326</v>
      </c>
      <c r="F81" s="135" t="s">
        <v>4134</v>
      </c>
      <c r="G81" s="181" t="s">
        <v>1367</v>
      </c>
      <c r="H81" s="181" t="s">
        <v>1404</v>
      </c>
      <c r="I81" s="182"/>
      <c r="J81" s="137"/>
      <c r="K81" s="152" t="s">
        <v>1163</v>
      </c>
      <c r="L81" s="139">
        <f t="shared" si="3"/>
        <v>4</v>
      </c>
      <c r="M81" s="140">
        <f t="shared" si="4"/>
        <v>1</v>
      </c>
      <c r="N81" s="141">
        <f t="shared" si="5"/>
        <v>4</v>
      </c>
      <c r="O81" s="188" t="s">
        <v>1156</v>
      </c>
      <c r="P81" s="183" t="s">
        <v>1294</v>
      </c>
      <c r="Q81" s="184"/>
    </row>
    <row r="82" spans="2:17" s="137" customFormat="1" ht="19.5" customHeight="1">
      <c r="B82" s="144" t="s">
        <v>1288</v>
      </c>
      <c r="C82" s="133">
        <v>77</v>
      </c>
      <c r="D82" s="180" t="s">
        <v>1289</v>
      </c>
      <c r="E82" s="181" t="s">
        <v>1405</v>
      </c>
      <c r="F82" s="135" t="s">
        <v>3552</v>
      </c>
      <c r="G82" s="181" t="s">
        <v>1406</v>
      </c>
      <c r="H82" s="181" t="s">
        <v>1407</v>
      </c>
      <c r="I82" s="182"/>
      <c r="K82" s="152" t="s">
        <v>1188</v>
      </c>
      <c r="L82" s="189">
        <f t="shared" si="3"/>
        <v>4</v>
      </c>
      <c r="M82" s="140">
        <f t="shared" si="4"/>
        <v>1</v>
      </c>
      <c r="N82" s="141">
        <f t="shared" si="5"/>
        <v>4</v>
      </c>
      <c r="O82" s="140" t="s">
        <v>1156</v>
      </c>
      <c r="P82" s="183" t="s">
        <v>1294</v>
      </c>
      <c r="Q82" s="190"/>
    </row>
    <row r="83" spans="2:17" s="144" customFormat="1" ht="19.5" customHeight="1">
      <c r="B83" s="144" t="s">
        <v>1288</v>
      </c>
      <c r="C83" s="133">
        <v>78</v>
      </c>
      <c r="D83" s="180" t="s">
        <v>1289</v>
      </c>
      <c r="E83" s="181" t="s">
        <v>1405</v>
      </c>
      <c r="F83" s="135" t="s">
        <v>3553</v>
      </c>
      <c r="G83" s="181" t="s">
        <v>1406</v>
      </c>
      <c r="H83" s="181" t="s">
        <v>1408</v>
      </c>
      <c r="I83" s="182"/>
      <c r="J83" s="137"/>
      <c r="K83" s="152" t="s">
        <v>1188</v>
      </c>
      <c r="L83" s="189">
        <f t="shared" si="3"/>
        <v>4</v>
      </c>
      <c r="M83" s="140">
        <f t="shared" si="4"/>
        <v>1</v>
      </c>
      <c r="N83" s="141">
        <f t="shared" si="5"/>
        <v>4</v>
      </c>
      <c r="O83" s="140" t="s">
        <v>1156</v>
      </c>
      <c r="P83" s="183" t="s">
        <v>1294</v>
      </c>
      <c r="Q83" s="184"/>
    </row>
    <row r="84" spans="2:17" s="144" customFormat="1" ht="19.5" customHeight="1">
      <c r="B84" s="144" t="s">
        <v>1288</v>
      </c>
      <c r="C84" s="133">
        <v>79</v>
      </c>
      <c r="D84" s="180" t="s">
        <v>1289</v>
      </c>
      <c r="E84" s="181" t="s">
        <v>1405</v>
      </c>
      <c r="F84" s="135" t="s">
        <v>3554</v>
      </c>
      <c r="G84" s="181" t="s">
        <v>1406</v>
      </c>
      <c r="H84" s="181" t="s">
        <v>1409</v>
      </c>
      <c r="I84" s="182"/>
      <c r="J84" s="137"/>
      <c r="K84" s="146" t="s">
        <v>1170</v>
      </c>
      <c r="L84" s="189">
        <f t="shared" si="3"/>
        <v>5.2</v>
      </c>
      <c r="M84" s="140">
        <f t="shared" si="4"/>
        <v>1</v>
      </c>
      <c r="N84" s="141">
        <f t="shared" si="5"/>
        <v>5.2</v>
      </c>
      <c r="O84" s="140" t="s">
        <v>1156</v>
      </c>
      <c r="P84" s="183" t="s">
        <v>1294</v>
      </c>
      <c r="Q84" s="184"/>
    </row>
    <row r="85" spans="2:17" s="144" customFormat="1" ht="19.5" customHeight="1">
      <c r="B85" s="144" t="s">
        <v>1288</v>
      </c>
      <c r="C85" s="133">
        <v>80</v>
      </c>
      <c r="D85" s="180" t="s">
        <v>1289</v>
      </c>
      <c r="E85" s="181" t="s">
        <v>1405</v>
      </c>
      <c r="F85" s="135" t="s">
        <v>3555</v>
      </c>
      <c r="G85" s="181" t="s">
        <v>1406</v>
      </c>
      <c r="H85" s="181" t="s">
        <v>1410</v>
      </c>
      <c r="I85" s="182"/>
      <c r="J85" s="137"/>
      <c r="K85" s="146" t="s">
        <v>1170</v>
      </c>
      <c r="L85" s="189">
        <f t="shared" si="3"/>
        <v>5.2</v>
      </c>
      <c r="M85" s="140">
        <f t="shared" si="4"/>
        <v>1</v>
      </c>
      <c r="N85" s="141">
        <f t="shared" si="5"/>
        <v>5.2</v>
      </c>
      <c r="O85" s="140" t="s">
        <v>1156</v>
      </c>
      <c r="P85" s="183" t="s">
        <v>1294</v>
      </c>
      <c r="Q85" s="184"/>
    </row>
    <row r="86" spans="2:17" s="144" customFormat="1" ht="19.5" customHeight="1">
      <c r="B86" s="144" t="s">
        <v>1288</v>
      </c>
      <c r="C86" s="133">
        <v>81</v>
      </c>
      <c r="D86" s="180" t="s">
        <v>1289</v>
      </c>
      <c r="E86" s="181" t="s">
        <v>1405</v>
      </c>
      <c r="F86" s="135" t="s">
        <v>3556</v>
      </c>
      <c r="G86" s="181" t="s">
        <v>1406</v>
      </c>
      <c r="H86" s="181" t="s">
        <v>1411</v>
      </c>
      <c r="I86" s="182"/>
      <c r="J86" s="137"/>
      <c r="K86" s="146" t="s">
        <v>1170</v>
      </c>
      <c r="L86" s="189">
        <f t="shared" si="3"/>
        <v>5.2</v>
      </c>
      <c r="M86" s="140">
        <f t="shared" si="4"/>
        <v>1</v>
      </c>
      <c r="N86" s="141">
        <f t="shared" si="5"/>
        <v>5.2</v>
      </c>
      <c r="O86" s="140" t="s">
        <v>1156</v>
      </c>
      <c r="P86" s="183" t="s">
        <v>1294</v>
      </c>
      <c r="Q86" s="184"/>
    </row>
    <row r="87" spans="2:17" s="144" customFormat="1" ht="19.5" customHeight="1">
      <c r="B87" s="144" t="s">
        <v>1288</v>
      </c>
      <c r="C87" s="133">
        <v>82</v>
      </c>
      <c r="D87" s="180" t="s">
        <v>1289</v>
      </c>
      <c r="E87" s="181" t="s">
        <v>1405</v>
      </c>
      <c r="F87" s="135" t="s">
        <v>3557</v>
      </c>
      <c r="G87" s="181" t="s">
        <v>1406</v>
      </c>
      <c r="H87" s="181" t="s">
        <v>1412</v>
      </c>
      <c r="I87" s="182"/>
      <c r="J87" s="137"/>
      <c r="K87" s="146" t="s">
        <v>1170</v>
      </c>
      <c r="L87" s="189">
        <f t="shared" si="3"/>
        <v>5.2</v>
      </c>
      <c r="M87" s="140">
        <f t="shared" si="4"/>
        <v>1</v>
      </c>
      <c r="N87" s="141">
        <f t="shared" si="5"/>
        <v>5.2</v>
      </c>
      <c r="O87" s="140" t="s">
        <v>1156</v>
      </c>
      <c r="P87" s="183" t="s">
        <v>1294</v>
      </c>
      <c r="Q87" s="184"/>
    </row>
    <row r="88" spans="2:17" s="144" customFormat="1" ht="19.5" customHeight="1">
      <c r="B88" s="144" t="s">
        <v>1288</v>
      </c>
      <c r="C88" s="133">
        <v>83</v>
      </c>
      <c r="D88" s="180" t="s">
        <v>1289</v>
      </c>
      <c r="E88" s="181" t="s">
        <v>1413</v>
      </c>
      <c r="F88" s="135" t="s">
        <v>4135</v>
      </c>
      <c r="G88" s="181" t="s">
        <v>1414</v>
      </c>
      <c r="H88" s="181" t="s">
        <v>1415</v>
      </c>
      <c r="I88" s="182"/>
      <c r="J88" s="137"/>
      <c r="K88" s="191" t="s">
        <v>1416</v>
      </c>
      <c r="L88" s="189">
        <f t="shared" si="3"/>
        <v>5.4</v>
      </c>
      <c r="M88" s="140">
        <f t="shared" si="4"/>
        <v>1</v>
      </c>
      <c r="N88" s="141">
        <f t="shared" si="5"/>
        <v>5.4</v>
      </c>
      <c r="O88" s="140" t="s">
        <v>1156</v>
      </c>
      <c r="P88" s="183" t="s">
        <v>1294</v>
      </c>
      <c r="Q88" s="184"/>
    </row>
    <row r="89" spans="2:17" s="144" customFormat="1" ht="19.5" customHeight="1">
      <c r="B89" s="144" t="s">
        <v>1288</v>
      </c>
      <c r="C89" s="133">
        <v>84</v>
      </c>
      <c r="D89" s="180" t="s">
        <v>1289</v>
      </c>
      <c r="E89" s="181" t="s">
        <v>1413</v>
      </c>
      <c r="F89" s="135" t="s">
        <v>4136</v>
      </c>
      <c r="G89" s="181" t="s">
        <v>1414</v>
      </c>
      <c r="H89" s="181" t="s">
        <v>1417</v>
      </c>
      <c r="I89" s="182"/>
      <c r="J89" s="137"/>
      <c r="K89" s="191" t="s">
        <v>1416</v>
      </c>
      <c r="L89" s="189">
        <f t="shared" si="3"/>
        <v>5.4</v>
      </c>
      <c r="M89" s="140">
        <f t="shared" si="4"/>
        <v>1</v>
      </c>
      <c r="N89" s="141">
        <f t="shared" si="5"/>
        <v>5.4</v>
      </c>
      <c r="O89" s="140" t="s">
        <v>1156</v>
      </c>
      <c r="P89" s="183" t="s">
        <v>1294</v>
      </c>
      <c r="Q89" s="184"/>
    </row>
    <row r="90" spans="2:17" s="144" customFormat="1" ht="19.5" customHeight="1">
      <c r="B90" s="144" t="s">
        <v>1288</v>
      </c>
      <c r="C90" s="133">
        <v>85</v>
      </c>
      <c r="D90" s="180" t="s">
        <v>1289</v>
      </c>
      <c r="E90" s="181" t="s">
        <v>1413</v>
      </c>
      <c r="F90" s="135" t="s">
        <v>4137</v>
      </c>
      <c r="G90" s="181" t="s">
        <v>1414</v>
      </c>
      <c r="H90" s="181" t="s">
        <v>1418</v>
      </c>
      <c r="I90" s="182"/>
      <c r="J90" s="137"/>
      <c r="K90" s="146" t="s">
        <v>1155</v>
      </c>
      <c r="L90" s="189">
        <f t="shared" si="3"/>
        <v>7.5</v>
      </c>
      <c r="M90" s="140">
        <f t="shared" si="4"/>
        <v>1</v>
      </c>
      <c r="N90" s="141">
        <f t="shared" si="5"/>
        <v>7.5</v>
      </c>
      <c r="O90" s="140" t="s">
        <v>1156</v>
      </c>
      <c r="P90" s="183" t="s">
        <v>1294</v>
      </c>
      <c r="Q90" s="184"/>
    </row>
    <row r="91" spans="2:17" s="144" customFormat="1" ht="19.5" customHeight="1">
      <c r="B91" s="144" t="s">
        <v>1288</v>
      </c>
      <c r="C91" s="147">
        <v>86</v>
      </c>
      <c r="D91" s="185" t="s">
        <v>1289</v>
      </c>
      <c r="E91" s="186" t="s">
        <v>1413</v>
      </c>
      <c r="F91" s="148" t="s">
        <v>4138</v>
      </c>
      <c r="G91" s="186" t="s">
        <v>1414</v>
      </c>
      <c r="H91" s="186" t="s">
        <v>1419</v>
      </c>
      <c r="I91" s="187"/>
      <c r="J91" s="137"/>
      <c r="K91" s="191" t="s">
        <v>1416</v>
      </c>
      <c r="L91" s="189">
        <f t="shared" si="3"/>
        <v>5.4</v>
      </c>
      <c r="M91" s="140">
        <f t="shared" si="4"/>
        <v>1</v>
      </c>
      <c r="N91" s="141">
        <f t="shared" si="5"/>
        <v>5.4</v>
      </c>
      <c r="O91" s="140" t="s">
        <v>1156</v>
      </c>
      <c r="P91" s="183" t="s">
        <v>1294</v>
      </c>
      <c r="Q91" s="184"/>
    </row>
    <row r="92" spans="2:17" s="144" customFormat="1" ht="19.5" customHeight="1">
      <c r="B92" s="144" t="s">
        <v>1288</v>
      </c>
      <c r="C92" s="147">
        <v>87</v>
      </c>
      <c r="D92" s="185" t="s">
        <v>1289</v>
      </c>
      <c r="E92" s="186" t="s">
        <v>1413</v>
      </c>
      <c r="F92" s="148" t="s">
        <v>4139</v>
      </c>
      <c r="G92" s="186" t="s">
        <v>1414</v>
      </c>
      <c r="H92" s="186" t="s">
        <v>1420</v>
      </c>
      <c r="I92" s="187"/>
      <c r="J92" s="137"/>
      <c r="K92" s="191" t="s">
        <v>1416</v>
      </c>
      <c r="L92" s="189">
        <f t="shared" si="3"/>
        <v>5.4</v>
      </c>
      <c r="M92" s="140">
        <f t="shared" si="4"/>
        <v>1</v>
      </c>
      <c r="N92" s="141">
        <f t="shared" si="5"/>
        <v>5.4</v>
      </c>
      <c r="O92" s="140" t="s">
        <v>1156</v>
      </c>
      <c r="P92" s="183" t="s">
        <v>1294</v>
      </c>
      <c r="Q92" s="184"/>
    </row>
    <row r="93" spans="2:17" s="144" customFormat="1" ht="19.5" customHeight="1">
      <c r="B93" s="144" t="s">
        <v>1288</v>
      </c>
      <c r="C93" s="147">
        <v>88</v>
      </c>
      <c r="D93" s="185" t="s">
        <v>1289</v>
      </c>
      <c r="E93" s="186" t="s">
        <v>1413</v>
      </c>
      <c r="F93" s="148" t="s">
        <v>4140</v>
      </c>
      <c r="G93" s="186" t="s">
        <v>1414</v>
      </c>
      <c r="H93" s="186" t="s">
        <v>1421</v>
      </c>
      <c r="I93" s="187" t="s">
        <v>1422</v>
      </c>
      <c r="J93" s="137"/>
      <c r="K93" s="152" t="s">
        <v>1188</v>
      </c>
      <c r="L93" s="189">
        <f t="shared" si="3"/>
        <v>4</v>
      </c>
      <c r="M93" s="140">
        <f t="shared" si="4"/>
        <v>1</v>
      </c>
      <c r="N93" s="141">
        <f t="shared" si="5"/>
        <v>4</v>
      </c>
      <c r="O93" s="140" t="s">
        <v>1156</v>
      </c>
      <c r="P93" s="183" t="s">
        <v>1294</v>
      </c>
      <c r="Q93" s="184"/>
    </row>
    <row r="94" spans="2:17" s="144" customFormat="1" ht="27">
      <c r="B94" s="144" t="s">
        <v>1288</v>
      </c>
      <c r="C94" s="133">
        <v>89</v>
      </c>
      <c r="D94" s="180" t="s">
        <v>1289</v>
      </c>
      <c r="E94" s="181" t="s">
        <v>1413</v>
      </c>
      <c r="F94" s="135" t="s">
        <v>4141</v>
      </c>
      <c r="G94" s="181" t="s">
        <v>1423</v>
      </c>
      <c r="H94" s="181" t="s">
        <v>1424</v>
      </c>
      <c r="I94" s="182" t="s">
        <v>1425</v>
      </c>
      <c r="J94" s="137"/>
      <c r="K94" s="146" t="s">
        <v>1170</v>
      </c>
      <c r="L94" s="189">
        <f t="shared" si="3"/>
        <v>5.2</v>
      </c>
      <c r="M94" s="140">
        <f t="shared" si="4"/>
        <v>1</v>
      </c>
      <c r="N94" s="141">
        <f t="shared" si="5"/>
        <v>5.2</v>
      </c>
      <c r="O94" s="140" t="s">
        <v>1156</v>
      </c>
      <c r="P94" s="183" t="s">
        <v>1294</v>
      </c>
      <c r="Q94" s="184"/>
    </row>
    <row r="95" spans="2:17" s="144" customFormat="1" ht="19.5" customHeight="1">
      <c r="B95" s="144" t="s">
        <v>1288</v>
      </c>
      <c r="C95" s="133">
        <v>90</v>
      </c>
      <c r="D95" s="180" t="s">
        <v>1289</v>
      </c>
      <c r="E95" s="181" t="s">
        <v>1413</v>
      </c>
      <c r="F95" s="135" t="s">
        <v>4142</v>
      </c>
      <c r="G95" s="181" t="s">
        <v>1423</v>
      </c>
      <c r="H95" s="181" t="s">
        <v>1426</v>
      </c>
      <c r="I95" s="182" t="s">
        <v>1427</v>
      </c>
      <c r="J95" s="137"/>
      <c r="K95" s="146" t="s">
        <v>1170</v>
      </c>
      <c r="L95" s="189">
        <f t="shared" si="3"/>
        <v>5.2</v>
      </c>
      <c r="M95" s="140">
        <f t="shared" si="4"/>
        <v>1</v>
      </c>
      <c r="N95" s="141">
        <f t="shared" si="5"/>
        <v>5.2</v>
      </c>
      <c r="O95" s="140" t="s">
        <v>1156</v>
      </c>
      <c r="P95" s="183" t="s">
        <v>1294</v>
      </c>
      <c r="Q95" s="184"/>
    </row>
    <row r="96" spans="2:17" s="144" customFormat="1" ht="19.5" customHeight="1">
      <c r="B96" s="144" t="s">
        <v>1288</v>
      </c>
      <c r="C96" s="133">
        <v>91</v>
      </c>
      <c r="D96" s="180" t="s">
        <v>1289</v>
      </c>
      <c r="E96" s="181" t="s">
        <v>1413</v>
      </c>
      <c r="F96" s="135" t="s">
        <v>4143</v>
      </c>
      <c r="G96" s="181" t="s">
        <v>1423</v>
      </c>
      <c r="H96" s="181" t="s">
        <v>1428</v>
      </c>
      <c r="I96" s="182" t="s">
        <v>1429</v>
      </c>
      <c r="J96" s="137"/>
      <c r="K96" s="152" t="s">
        <v>1188</v>
      </c>
      <c r="L96" s="189">
        <f t="shared" si="3"/>
        <v>4</v>
      </c>
      <c r="M96" s="140">
        <f t="shared" si="4"/>
        <v>1</v>
      </c>
      <c r="N96" s="141">
        <f t="shared" si="5"/>
        <v>4</v>
      </c>
      <c r="O96" s="140" t="s">
        <v>1156</v>
      </c>
      <c r="P96" s="183" t="s">
        <v>1294</v>
      </c>
      <c r="Q96" s="184"/>
    </row>
    <row r="97" spans="2:17" s="144" customFormat="1" ht="19.5" customHeight="1">
      <c r="B97" s="144" t="s">
        <v>1288</v>
      </c>
      <c r="C97" s="133">
        <v>92</v>
      </c>
      <c r="D97" s="180" t="s">
        <v>1289</v>
      </c>
      <c r="E97" s="181" t="s">
        <v>1413</v>
      </c>
      <c r="F97" s="135" t="s">
        <v>4144</v>
      </c>
      <c r="G97" s="181" t="s">
        <v>1423</v>
      </c>
      <c r="H97" s="181" t="s">
        <v>1430</v>
      </c>
      <c r="I97" s="182"/>
      <c r="J97" s="137"/>
      <c r="K97" s="146" t="s">
        <v>1170</v>
      </c>
      <c r="L97" s="189">
        <f t="shared" si="3"/>
        <v>5.2</v>
      </c>
      <c r="M97" s="140">
        <f t="shared" si="4"/>
        <v>1</v>
      </c>
      <c r="N97" s="141">
        <f t="shared" si="5"/>
        <v>5.2</v>
      </c>
      <c r="O97" s="140" t="s">
        <v>1156</v>
      </c>
      <c r="P97" s="183" t="s">
        <v>1294</v>
      </c>
      <c r="Q97" s="184"/>
    </row>
    <row r="98" spans="2:17" s="144" customFormat="1" ht="19.5" customHeight="1">
      <c r="B98" s="144" t="s">
        <v>1288</v>
      </c>
      <c r="C98" s="133">
        <v>93</v>
      </c>
      <c r="D98" s="180" t="s">
        <v>1289</v>
      </c>
      <c r="E98" s="181" t="s">
        <v>1413</v>
      </c>
      <c r="F98" s="135" t="s">
        <v>4145</v>
      </c>
      <c r="G98" s="181" t="s">
        <v>1423</v>
      </c>
      <c r="H98" s="181" t="s">
        <v>1431</v>
      </c>
      <c r="I98" s="182"/>
      <c r="J98" s="137"/>
      <c r="K98" s="152" t="s">
        <v>1188</v>
      </c>
      <c r="L98" s="189">
        <f t="shared" si="3"/>
        <v>4</v>
      </c>
      <c r="M98" s="140">
        <f t="shared" si="4"/>
        <v>1</v>
      </c>
      <c r="N98" s="141">
        <f t="shared" si="5"/>
        <v>4</v>
      </c>
      <c r="O98" s="140" t="s">
        <v>1156</v>
      </c>
      <c r="P98" s="183" t="s">
        <v>1294</v>
      </c>
      <c r="Q98" s="184"/>
    </row>
    <row r="99" spans="2:17" s="144" customFormat="1" ht="19.5" customHeight="1">
      <c r="B99" s="144" t="s">
        <v>1288</v>
      </c>
      <c r="C99" s="133">
        <v>94</v>
      </c>
      <c r="D99" s="180" t="s">
        <v>1289</v>
      </c>
      <c r="E99" s="181" t="s">
        <v>1413</v>
      </c>
      <c r="F99" s="135" t="s">
        <v>4146</v>
      </c>
      <c r="G99" s="181" t="s">
        <v>1423</v>
      </c>
      <c r="H99" s="181" t="s">
        <v>1432</v>
      </c>
      <c r="I99" s="182"/>
      <c r="J99" s="137"/>
      <c r="K99" s="152" t="s">
        <v>1188</v>
      </c>
      <c r="L99" s="189">
        <f t="shared" si="3"/>
        <v>4</v>
      </c>
      <c r="M99" s="140">
        <f t="shared" si="4"/>
        <v>1</v>
      </c>
      <c r="N99" s="141">
        <f t="shared" si="5"/>
        <v>4</v>
      </c>
      <c r="O99" s="140" t="s">
        <v>1156</v>
      </c>
      <c r="P99" s="183" t="s">
        <v>1294</v>
      </c>
      <c r="Q99" s="184"/>
    </row>
    <row r="100" spans="2:17" s="144" customFormat="1" ht="19.5" customHeight="1">
      <c r="B100" s="144" t="s">
        <v>1288</v>
      </c>
      <c r="C100" s="133">
        <v>95</v>
      </c>
      <c r="D100" s="180" t="s">
        <v>1289</v>
      </c>
      <c r="E100" s="181" t="s">
        <v>1413</v>
      </c>
      <c r="F100" s="135" t="s">
        <v>4147</v>
      </c>
      <c r="G100" s="181" t="s">
        <v>1423</v>
      </c>
      <c r="H100" s="181" t="s">
        <v>1433</v>
      </c>
      <c r="I100" s="182"/>
      <c r="J100" s="192"/>
      <c r="K100" s="146" t="s">
        <v>1170</v>
      </c>
      <c r="L100" s="189">
        <f t="shared" si="3"/>
        <v>5.2</v>
      </c>
      <c r="M100" s="140">
        <f t="shared" si="4"/>
        <v>1</v>
      </c>
      <c r="N100" s="141">
        <f t="shared" si="5"/>
        <v>5.2</v>
      </c>
      <c r="O100" s="140" t="s">
        <v>1156</v>
      </c>
      <c r="P100" s="183" t="s">
        <v>1294</v>
      </c>
      <c r="Q100" s="184"/>
    </row>
    <row r="101" spans="2:17" s="144" customFormat="1" ht="19.5" customHeight="1">
      <c r="B101" s="144" t="s">
        <v>1288</v>
      </c>
      <c r="C101" s="133">
        <v>96</v>
      </c>
      <c r="D101" s="180" t="s">
        <v>1289</v>
      </c>
      <c r="E101" s="181" t="s">
        <v>1413</v>
      </c>
      <c r="F101" s="135" t="s">
        <v>4148</v>
      </c>
      <c r="G101" s="181" t="s">
        <v>1434</v>
      </c>
      <c r="H101" s="181" t="s">
        <v>1435</v>
      </c>
      <c r="I101" s="182" t="s">
        <v>1436</v>
      </c>
      <c r="J101" s="137"/>
      <c r="K101" s="146" t="s">
        <v>1170</v>
      </c>
      <c r="L101" s="189">
        <f t="shared" si="3"/>
        <v>5.2</v>
      </c>
      <c r="M101" s="140">
        <f t="shared" si="4"/>
        <v>1</v>
      </c>
      <c r="N101" s="141">
        <f t="shared" si="5"/>
        <v>5.2</v>
      </c>
      <c r="O101" s="140" t="s">
        <v>1156</v>
      </c>
      <c r="P101" s="183" t="s">
        <v>1294</v>
      </c>
      <c r="Q101" s="184"/>
    </row>
    <row r="102" spans="2:17" s="144" customFormat="1" ht="19.5" customHeight="1">
      <c r="B102" s="144" t="s">
        <v>1288</v>
      </c>
      <c r="C102" s="133">
        <v>97</v>
      </c>
      <c r="D102" s="180" t="s">
        <v>1289</v>
      </c>
      <c r="E102" s="181" t="s">
        <v>1413</v>
      </c>
      <c r="F102" s="135" t="s">
        <v>4149</v>
      </c>
      <c r="G102" s="181" t="s">
        <v>1434</v>
      </c>
      <c r="H102" s="181" t="s">
        <v>1437</v>
      </c>
      <c r="I102" s="182"/>
      <c r="J102" s="137"/>
      <c r="K102" s="146" t="s">
        <v>1170</v>
      </c>
      <c r="L102" s="189">
        <f t="shared" si="3"/>
        <v>5.2</v>
      </c>
      <c r="M102" s="140">
        <f t="shared" si="4"/>
        <v>1</v>
      </c>
      <c r="N102" s="141">
        <f t="shared" si="5"/>
        <v>5.2</v>
      </c>
      <c r="O102" s="140" t="s">
        <v>1156</v>
      </c>
      <c r="P102" s="183" t="s">
        <v>1294</v>
      </c>
      <c r="Q102" s="184"/>
    </row>
    <row r="103" spans="2:17" s="144" customFormat="1" ht="19.5" customHeight="1">
      <c r="B103" s="144" t="s">
        <v>1288</v>
      </c>
      <c r="C103" s="133">
        <v>98</v>
      </c>
      <c r="D103" s="180" t="s">
        <v>1289</v>
      </c>
      <c r="E103" s="181" t="s">
        <v>1413</v>
      </c>
      <c r="F103" s="135" t="s">
        <v>4150</v>
      </c>
      <c r="G103" s="181" t="s">
        <v>1434</v>
      </c>
      <c r="H103" s="181" t="s">
        <v>1438</v>
      </c>
      <c r="I103" s="182"/>
      <c r="J103" s="137"/>
      <c r="K103" s="152" t="s">
        <v>1188</v>
      </c>
      <c r="L103" s="189">
        <f t="shared" si="3"/>
        <v>4</v>
      </c>
      <c r="M103" s="140">
        <f t="shared" si="4"/>
        <v>1</v>
      </c>
      <c r="N103" s="141">
        <f t="shared" si="5"/>
        <v>4</v>
      </c>
      <c r="O103" s="140" t="s">
        <v>1156</v>
      </c>
      <c r="P103" s="183" t="s">
        <v>1294</v>
      </c>
      <c r="Q103" s="184"/>
    </row>
    <row r="104" spans="2:17" s="144" customFormat="1" ht="19.5" customHeight="1">
      <c r="B104" s="144" t="s">
        <v>1288</v>
      </c>
      <c r="C104" s="133">
        <v>99</v>
      </c>
      <c r="D104" s="180" t="s">
        <v>1289</v>
      </c>
      <c r="E104" s="181" t="s">
        <v>1413</v>
      </c>
      <c r="F104" s="135" t="s">
        <v>4151</v>
      </c>
      <c r="G104" s="181" t="s">
        <v>1434</v>
      </c>
      <c r="H104" s="181" t="s">
        <v>1439</v>
      </c>
      <c r="I104" s="182"/>
      <c r="J104" s="137"/>
      <c r="K104" s="152" t="s">
        <v>1188</v>
      </c>
      <c r="L104" s="189">
        <f t="shared" si="3"/>
        <v>4</v>
      </c>
      <c r="M104" s="140">
        <f t="shared" si="4"/>
        <v>1</v>
      </c>
      <c r="N104" s="141">
        <f t="shared" si="5"/>
        <v>4</v>
      </c>
      <c r="O104" s="140" t="s">
        <v>1156</v>
      </c>
      <c r="P104" s="183" t="s">
        <v>1294</v>
      </c>
      <c r="Q104" s="184"/>
    </row>
    <row r="105" spans="2:17" s="144" customFormat="1" ht="19.5" customHeight="1">
      <c r="B105" s="144" t="s">
        <v>1288</v>
      </c>
      <c r="C105" s="133">
        <v>100</v>
      </c>
      <c r="D105" s="180" t="s">
        <v>1289</v>
      </c>
      <c r="E105" s="181" t="s">
        <v>1413</v>
      </c>
      <c r="F105" s="135" t="s">
        <v>4152</v>
      </c>
      <c r="G105" s="181" t="s">
        <v>1434</v>
      </c>
      <c r="H105" s="181" t="s">
        <v>1440</v>
      </c>
      <c r="I105" s="182"/>
      <c r="J105" s="137"/>
      <c r="K105" s="146" t="s">
        <v>1170</v>
      </c>
      <c r="L105" s="189">
        <f t="shared" si="3"/>
        <v>5.2</v>
      </c>
      <c r="M105" s="140">
        <f t="shared" si="4"/>
        <v>1</v>
      </c>
      <c r="N105" s="141">
        <f t="shared" si="5"/>
        <v>5.2</v>
      </c>
      <c r="O105" s="140" t="s">
        <v>1156</v>
      </c>
      <c r="P105" s="183" t="s">
        <v>1294</v>
      </c>
      <c r="Q105" s="184"/>
    </row>
    <row r="106" spans="2:17" s="144" customFormat="1" ht="19.5" customHeight="1">
      <c r="B106" s="144" t="s">
        <v>1288</v>
      </c>
      <c r="C106" s="133">
        <v>101</v>
      </c>
      <c r="D106" s="180" t="s">
        <v>1289</v>
      </c>
      <c r="E106" s="181" t="s">
        <v>1413</v>
      </c>
      <c r="F106" s="135" t="s">
        <v>4153</v>
      </c>
      <c r="G106" s="181" t="s">
        <v>1434</v>
      </c>
      <c r="H106" s="181" t="s">
        <v>1441</v>
      </c>
      <c r="I106" s="182"/>
      <c r="J106" s="137"/>
      <c r="K106" s="146" t="s">
        <v>1170</v>
      </c>
      <c r="L106" s="189">
        <f t="shared" si="3"/>
        <v>5.2</v>
      </c>
      <c r="M106" s="140">
        <f t="shared" si="4"/>
        <v>1</v>
      </c>
      <c r="N106" s="141">
        <f t="shared" si="5"/>
        <v>5.2</v>
      </c>
      <c r="O106" s="140" t="s">
        <v>1156</v>
      </c>
      <c r="P106" s="183" t="s">
        <v>1294</v>
      </c>
      <c r="Q106" s="184"/>
    </row>
    <row r="107" spans="2:17" s="144" customFormat="1" ht="19.5" customHeight="1">
      <c r="B107" s="144" t="s">
        <v>1288</v>
      </c>
      <c r="C107" s="133">
        <v>102</v>
      </c>
      <c r="D107" s="180" t="s">
        <v>1289</v>
      </c>
      <c r="E107" s="181" t="s">
        <v>1413</v>
      </c>
      <c r="F107" s="135" t="s">
        <v>4154</v>
      </c>
      <c r="G107" s="181" t="s">
        <v>1434</v>
      </c>
      <c r="H107" s="181" t="s">
        <v>1442</v>
      </c>
      <c r="I107" s="182"/>
      <c r="J107" s="137"/>
      <c r="K107" s="146" t="s">
        <v>1170</v>
      </c>
      <c r="L107" s="189">
        <f t="shared" si="3"/>
        <v>5.2</v>
      </c>
      <c r="M107" s="140">
        <f t="shared" si="4"/>
        <v>1</v>
      </c>
      <c r="N107" s="141">
        <f t="shared" si="5"/>
        <v>5.2</v>
      </c>
      <c r="O107" s="140" t="s">
        <v>1156</v>
      </c>
      <c r="P107" s="183" t="s">
        <v>1294</v>
      </c>
      <c r="Q107" s="184"/>
    </row>
    <row r="108" spans="2:17" s="144" customFormat="1" ht="19.5" customHeight="1">
      <c r="B108" s="144" t="s">
        <v>1288</v>
      </c>
      <c r="C108" s="133">
        <v>103</v>
      </c>
      <c r="D108" s="180" t="s">
        <v>1289</v>
      </c>
      <c r="E108" s="181" t="s">
        <v>1413</v>
      </c>
      <c r="F108" s="135" t="s">
        <v>4155</v>
      </c>
      <c r="G108" s="181" t="s">
        <v>1434</v>
      </c>
      <c r="H108" s="181" t="s">
        <v>1443</v>
      </c>
      <c r="I108" s="182"/>
      <c r="J108" s="137"/>
      <c r="K108" s="152" t="s">
        <v>1188</v>
      </c>
      <c r="L108" s="189">
        <f t="shared" si="3"/>
        <v>4</v>
      </c>
      <c r="M108" s="140">
        <f t="shared" si="4"/>
        <v>1</v>
      </c>
      <c r="N108" s="141">
        <f t="shared" si="5"/>
        <v>4</v>
      </c>
      <c r="O108" s="140" t="s">
        <v>1156</v>
      </c>
      <c r="P108" s="183" t="s">
        <v>1294</v>
      </c>
      <c r="Q108" s="184"/>
    </row>
    <row r="109" spans="2:17" s="144" customFormat="1" ht="19.5" customHeight="1">
      <c r="B109" s="144" t="s">
        <v>1288</v>
      </c>
      <c r="C109" s="133">
        <v>104</v>
      </c>
      <c r="D109" s="180" t="s">
        <v>1289</v>
      </c>
      <c r="E109" s="181" t="s">
        <v>1413</v>
      </c>
      <c r="F109" s="135" t="s">
        <v>4156</v>
      </c>
      <c r="G109" s="181" t="s">
        <v>1434</v>
      </c>
      <c r="H109" s="181" t="s">
        <v>1444</v>
      </c>
      <c r="I109" s="182"/>
      <c r="J109" s="137"/>
      <c r="K109" s="146" t="s">
        <v>1170</v>
      </c>
      <c r="L109" s="189">
        <f t="shared" si="3"/>
        <v>5.2</v>
      </c>
      <c r="M109" s="140">
        <f t="shared" si="4"/>
        <v>1</v>
      </c>
      <c r="N109" s="141">
        <f t="shared" si="5"/>
        <v>5.2</v>
      </c>
      <c r="O109" s="140" t="s">
        <v>1156</v>
      </c>
      <c r="P109" s="183" t="s">
        <v>1294</v>
      </c>
      <c r="Q109" s="184"/>
    </row>
    <row r="110" spans="2:17" s="144" customFormat="1" ht="19.5" customHeight="1">
      <c r="B110" s="144" t="s">
        <v>1288</v>
      </c>
      <c r="C110" s="133">
        <v>105</v>
      </c>
      <c r="D110" s="180" t="s">
        <v>1289</v>
      </c>
      <c r="E110" s="181" t="s">
        <v>1413</v>
      </c>
      <c r="F110" s="135" t="s">
        <v>4157</v>
      </c>
      <c r="G110" s="181" t="s">
        <v>1434</v>
      </c>
      <c r="H110" s="181" t="s">
        <v>1445</v>
      </c>
      <c r="I110" s="182"/>
      <c r="J110" s="137"/>
      <c r="K110" s="146" t="s">
        <v>1170</v>
      </c>
      <c r="L110" s="189">
        <f t="shared" si="3"/>
        <v>5.2</v>
      </c>
      <c r="M110" s="140">
        <f t="shared" si="4"/>
        <v>1</v>
      </c>
      <c r="N110" s="141">
        <f t="shared" si="5"/>
        <v>5.2</v>
      </c>
      <c r="O110" s="140" t="s">
        <v>1156</v>
      </c>
      <c r="P110" s="183" t="s">
        <v>1294</v>
      </c>
      <c r="Q110" s="184"/>
    </row>
    <row r="111" spans="2:17" s="144" customFormat="1" ht="19.5" customHeight="1">
      <c r="B111" s="144" t="s">
        <v>1288</v>
      </c>
      <c r="C111" s="133">
        <v>106</v>
      </c>
      <c r="D111" s="180" t="s">
        <v>1289</v>
      </c>
      <c r="E111" s="181" t="s">
        <v>1413</v>
      </c>
      <c r="F111" s="135" t="s">
        <v>4158</v>
      </c>
      <c r="G111" s="181" t="s">
        <v>1434</v>
      </c>
      <c r="H111" s="181" t="s">
        <v>1446</v>
      </c>
      <c r="I111" s="182"/>
      <c r="J111" s="137"/>
      <c r="K111" s="146" t="s">
        <v>1170</v>
      </c>
      <c r="L111" s="189">
        <f t="shared" si="3"/>
        <v>5.2</v>
      </c>
      <c r="M111" s="140">
        <f t="shared" si="4"/>
        <v>1</v>
      </c>
      <c r="N111" s="141">
        <f t="shared" si="5"/>
        <v>5.2</v>
      </c>
      <c r="O111" s="140" t="s">
        <v>1156</v>
      </c>
      <c r="P111" s="183" t="s">
        <v>1294</v>
      </c>
      <c r="Q111" s="184"/>
    </row>
    <row r="112" spans="2:17" s="144" customFormat="1" ht="19.5" customHeight="1">
      <c r="B112" s="144" t="s">
        <v>1288</v>
      </c>
      <c r="C112" s="133">
        <v>107</v>
      </c>
      <c r="D112" s="180" t="s">
        <v>1289</v>
      </c>
      <c r="E112" s="181" t="s">
        <v>1413</v>
      </c>
      <c r="F112" s="135" t="s">
        <v>4159</v>
      </c>
      <c r="G112" s="181" t="s">
        <v>1434</v>
      </c>
      <c r="H112" s="181" t="s">
        <v>1447</v>
      </c>
      <c r="I112" s="182"/>
      <c r="J112" s="137"/>
      <c r="K112" s="146" t="s">
        <v>1170</v>
      </c>
      <c r="L112" s="189">
        <f t="shared" si="3"/>
        <v>5.2</v>
      </c>
      <c r="M112" s="140">
        <f t="shared" si="4"/>
        <v>1</v>
      </c>
      <c r="N112" s="141">
        <f t="shared" si="5"/>
        <v>5.2</v>
      </c>
      <c r="O112" s="140" t="s">
        <v>1156</v>
      </c>
      <c r="P112" s="183" t="s">
        <v>1294</v>
      </c>
      <c r="Q112" s="184"/>
    </row>
    <row r="113" spans="2:17" s="144" customFormat="1" ht="19.5" customHeight="1">
      <c r="B113" s="144" t="s">
        <v>1288</v>
      </c>
      <c r="C113" s="133">
        <v>108</v>
      </c>
      <c r="D113" s="180" t="s">
        <v>1289</v>
      </c>
      <c r="E113" s="181" t="s">
        <v>1413</v>
      </c>
      <c r="F113" s="135" t="s">
        <v>4160</v>
      </c>
      <c r="G113" s="181" t="s">
        <v>1434</v>
      </c>
      <c r="H113" s="181" t="s">
        <v>1448</v>
      </c>
      <c r="I113" s="182"/>
      <c r="J113" s="137"/>
      <c r="K113" s="152" t="s">
        <v>1188</v>
      </c>
      <c r="L113" s="189">
        <f t="shared" si="3"/>
        <v>4</v>
      </c>
      <c r="M113" s="140">
        <f t="shared" si="4"/>
        <v>1</v>
      </c>
      <c r="N113" s="141">
        <f t="shared" si="5"/>
        <v>4</v>
      </c>
      <c r="O113" s="140" t="s">
        <v>1156</v>
      </c>
      <c r="P113" s="183" t="s">
        <v>1294</v>
      </c>
      <c r="Q113" s="184"/>
    </row>
    <row r="114" spans="2:17" s="144" customFormat="1" ht="19.5" customHeight="1">
      <c r="B114" s="144" t="s">
        <v>1288</v>
      </c>
      <c r="C114" s="133">
        <v>109</v>
      </c>
      <c r="D114" s="180" t="s">
        <v>1289</v>
      </c>
      <c r="E114" s="181" t="s">
        <v>1413</v>
      </c>
      <c r="F114" s="135" t="s">
        <v>4161</v>
      </c>
      <c r="G114" s="181" t="s">
        <v>1434</v>
      </c>
      <c r="H114" s="181" t="s">
        <v>1449</v>
      </c>
      <c r="I114" s="182"/>
      <c r="J114" s="137"/>
      <c r="K114" s="152" t="s">
        <v>1188</v>
      </c>
      <c r="L114" s="189">
        <f t="shared" si="3"/>
        <v>4</v>
      </c>
      <c r="M114" s="140">
        <f t="shared" si="4"/>
        <v>1</v>
      </c>
      <c r="N114" s="141">
        <f t="shared" si="5"/>
        <v>4</v>
      </c>
      <c r="O114" s="140" t="s">
        <v>1156</v>
      </c>
      <c r="P114" s="183" t="s">
        <v>1294</v>
      </c>
      <c r="Q114" s="184"/>
    </row>
    <row r="115" spans="2:17" s="144" customFormat="1" ht="19.5" customHeight="1">
      <c r="B115" s="144" t="s">
        <v>1288</v>
      </c>
      <c r="C115" s="133">
        <v>110</v>
      </c>
      <c r="D115" s="180" t="s">
        <v>1289</v>
      </c>
      <c r="E115" s="181" t="s">
        <v>1413</v>
      </c>
      <c r="F115" s="135" t="s">
        <v>4162</v>
      </c>
      <c r="G115" s="181" t="s">
        <v>1434</v>
      </c>
      <c r="H115" s="181" t="s">
        <v>1450</v>
      </c>
      <c r="I115" s="182"/>
      <c r="J115" s="137"/>
      <c r="K115" s="146" t="s">
        <v>1170</v>
      </c>
      <c r="L115" s="189">
        <f t="shared" si="3"/>
        <v>5.2</v>
      </c>
      <c r="M115" s="140">
        <f t="shared" si="4"/>
        <v>1</v>
      </c>
      <c r="N115" s="141">
        <f t="shared" si="5"/>
        <v>5.2</v>
      </c>
      <c r="O115" s="140" t="s">
        <v>1156</v>
      </c>
      <c r="P115" s="183" t="s">
        <v>1294</v>
      </c>
      <c r="Q115" s="184"/>
    </row>
    <row r="116" spans="2:17" s="144" customFormat="1" ht="19.5" customHeight="1">
      <c r="B116" s="144" t="s">
        <v>1288</v>
      </c>
      <c r="C116" s="133">
        <v>111</v>
      </c>
      <c r="D116" s="180" t="s">
        <v>1289</v>
      </c>
      <c r="E116" s="181" t="s">
        <v>1413</v>
      </c>
      <c r="F116" s="135" t="s">
        <v>4163</v>
      </c>
      <c r="G116" s="181" t="s">
        <v>1434</v>
      </c>
      <c r="H116" s="181" t="s">
        <v>1451</v>
      </c>
      <c r="I116" s="182"/>
      <c r="J116" s="137"/>
      <c r="K116" s="146" t="s">
        <v>1170</v>
      </c>
      <c r="L116" s="189">
        <f t="shared" si="3"/>
        <v>5.2</v>
      </c>
      <c r="M116" s="140">
        <f t="shared" si="4"/>
        <v>1</v>
      </c>
      <c r="N116" s="141">
        <f t="shared" si="5"/>
        <v>5.2</v>
      </c>
      <c r="O116" s="140" t="s">
        <v>1156</v>
      </c>
      <c r="P116" s="183" t="s">
        <v>1294</v>
      </c>
      <c r="Q116" s="184"/>
    </row>
    <row r="117" spans="2:17" s="144" customFormat="1" ht="19.5" customHeight="1">
      <c r="B117" s="144" t="s">
        <v>1288</v>
      </c>
      <c r="C117" s="133">
        <v>112</v>
      </c>
      <c r="D117" s="180" t="s">
        <v>1289</v>
      </c>
      <c r="E117" s="181" t="s">
        <v>1413</v>
      </c>
      <c r="F117" s="135" t="s">
        <v>4164</v>
      </c>
      <c r="G117" s="181" t="s">
        <v>1434</v>
      </c>
      <c r="H117" s="181" t="s">
        <v>1452</v>
      </c>
      <c r="I117" s="182"/>
      <c r="J117" s="137"/>
      <c r="K117" s="146" t="s">
        <v>1170</v>
      </c>
      <c r="L117" s="189">
        <f t="shared" si="3"/>
        <v>5.2</v>
      </c>
      <c r="M117" s="140">
        <f t="shared" si="4"/>
        <v>1</v>
      </c>
      <c r="N117" s="141">
        <f t="shared" si="5"/>
        <v>5.2</v>
      </c>
      <c r="O117" s="140" t="s">
        <v>1156</v>
      </c>
      <c r="P117" s="183" t="s">
        <v>1294</v>
      </c>
      <c r="Q117" s="184"/>
    </row>
    <row r="118" spans="2:17" s="144" customFormat="1" ht="19.5" customHeight="1">
      <c r="B118" s="144" t="s">
        <v>1288</v>
      </c>
      <c r="C118" s="133">
        <v>113</v>
      </c>
      <c r="D118" s="180" t="s">
        <v>1289</v>
      </c>
      <c r="E118" s="181" t="s">
        <v>1413</v>
      </c>
      <c r="F118" s="135" t="s">
        <v>4165</v>
      </c>
      <c r="G118" s="181" t="s">
        <v>1434</v>
      </c>
      <c r="H118" s="181" t="s">
        <v>1453</v>
      </c>
      <c r="I118" s="182"/>
      <c r="J118" s="137"/>
      <c r="K118" s="146" t="s">
        <v>1170</v>
      </c>
      <c r="L118" s="189">
        <f t="shared" si="3"/>
        <v>5.2</v>
      </c>
      <c r="M118" s="140">
        <f t="shared" si="4"/>
        <v>1</v>
      </c>
      <c r="N118" s="141">
        <f t="shared" si="5"/>
        <v>5.2</v>
      </c>
      <c r="O118" s="140" t="s">
        <v>1156</v>
      </c>
      <c r="P118" s="183" t="s">
        <v>1294</v>
      </c>
      <c r="Q118" s="184"/>
    </row>
    <row r="119" spans="2:17" s="144" customFormat="1" ht="19.5" customHeight="1">
      <c r="B119" s="144" t="s">
        <v>1288</v>
      </c>
      <c r="C119" s="133">
        <v>114</v>
      </c>
      <c r="D119" s="180" t="s">
        <v>1289</v>
      </c>
      <c r="E119" s="181" t="s">
        <v>1413</v>
      </c>
      <c r="F119" s="135" t="s">
        <v>4166</v>
      </c>
      <c r="G119" s="181" t="s">
        <v>1434</v>
      </c>
      <c r="H119" s="181" t="s">
        <v>1454</v>
      </c>
      <c r="I119" s="182"/>
      <c r="J119" s="137"/>
      <c r="K119" s="152" t="s">
        <v>1188</v>
      </c>
      <c r="L119" s="189">
        <f t="shared" si="3"/>
        <v>4</v>
      </c>
      <c r="M119" s="140">
        <f t="shared" si="4"/>
        <v>1</v>
      </c>
      <c r="N119" s="141">
        <f t="shared" si="5"/>
        <v>4</v>
      </c>
      <c r="O119" s="140" t="s">
        <v>1156</v>
      </c>
      <c r="P119" s="183" t="s">
        <v>1294</v>
      </c>
      <c r="Q119" s="184"/>
    </row>
    <row r="120" spans="2:17" s="144" customFormat="1" ht="19.5" customHeight="1">
      <c r="B120" s="144" t="s">
        <v>1288</v>
      </c>
      <c r="C120" s="133">
        <v>115</v>
      </c>
      <c r="D120" s="180" t="s">
        <v>1289</v>
      </c>
      <c r="E120" s="181" t="s">
        <v>1413</v>
      </c>
      <c r="F120" s="135" t="s">
        <v>4167</v>
      </c>
      <c r="G120" s="181" t="s">
        <v>1434</v>
      </c>
      <c r="H120" s="181" t="s">
        <v>1455</v>
      </c>
      <c r="I120" s="182"/>
      <c r="J120" s="137"/>
      <c r="K120" s="152" t="s">
        <v>1188</v>
      </c>
      <c r="L120" s="189">
        <f t="shared" si="3"/>
        <v>4</v>
      </c>
      <c r="M120" s="140">
        <f t="shared" si="4"/>
        <v>1</v>
      </c>
      <c r="N120" s="141">
        <f t="shared" si="5"/>
        <v>4</v>
      </c>
      <c r="O120" s="140" t="s">
        <v>1156</v>
      </c>
      <c r="P120" s="183" t="s">
        <v>1294</v>
      </c>
      <c r="Q120" s="184"/>
    </row>
    <row r="121" spans="2:17" s="144" customFormat="1" ht="27">
      <c r="B121" s="144" t="s">
        <v>1288</v>
      </c>
      <c r="C121" s="133">
        <v>116</v>
      </c>
      <c r="D121" s="180" t="s">
        <v>1289</v>
      </c>
      <c r="E121" s="181" t="s">
        <v>1413</v>
      </c>
      <c r="F121" s="135" t="s">
        <v>4168</v>
      </c>
      <c r="G121" s="181" t="s">
        <v>1434</v>
      </c>
      <c r="H121" s="181" t="s">
        <v>1456</v>
      </c>
      <c r="I121" s="182" t="s">
        <v>1457</v>
      </c>
      <c r="J121" s="137"/>
      <c r="K121" s="146" t="s">
        <v>1170</v>
      </c>
      <c r="L121" s="189">
        <f t="shared" si="3"/>
        <v>5.2</v>
      </c>
      <c r="M121" s="140">
        <f t="shared" si="4"/>
        <v>1</v>
      </c>
      <c r="N121" s="141">
        <f t="shared" si="5"/>
        <v>5.2</v>
      </c>
      <c r="O121" s="140" t="s">
        <v>1156</v>
      </c>
      <c r="P121" s="183" t="s">
        <v>1294</v>
      </c>
      <c r="Q121" s="184"/>
    </row>
    <row r="122" spans="2:17" s="144" customFormat="1" ht="19.5" customHeight="1">
      <c r="B122" s="144" t="s">
        <v>1288</v>
      </c>
      <c r="C122" s="133">
        <v>117</v>
      </c>
      <c r="D122" s="180" t="s">
        <v>1289</v>
      </c>
      <c r="E122" s="181" t="s">
        <v>1413</v>
      </c>
      <c r="F122" s="135" t="s">
        <v>4169</v>
      </c>
      <c r="G122" s="181" t="s">
        <v>1434</v>
      </c>
      <c r="H122" s="181" t="s">
        <v>1458</v>
      </c>
      <c r="I122" s="182" t="s">
        <v>1459</v>
      </c>
      <c r="J122" s="137"/>
      <c r="K122" s="191" t="s">
        <v>1416</v>
      </c>
      <c r="L122" s="189">
        <f t="shared" si="3"/>
        <v>5.4</v>
      </c>
      <c r="M122" s="140">
        <f t="shared" si="4"/>
        <v>1</v>
      </c>
      <c r="N122" s="141">
        <f t="shared" si="5"/>
        <v>5.4</v>
      </c>
      <c r="O122" s="140" t="s">
        <v>1156</v>
      </c>
      <c r="P122" s="183" t="s">
        <v>1294</v>
      </c>
      <c r="Q122" s="184"/>
    </row>
    <row r="123" spans="2:17" s="144" customFormat="1" ht="19.5" customHeight="1">
      <c r="B123" s="144" t="s">
        <v>1288</v>
      </c>
      <c r="C123" s="133">
        <v>118</v>
      </c>
      <c r="D123" s="180" t="s">
        <v>1289</v>
      </c>
      <c r="E123" s="181" t="s">
        <v>1413</v>
      </c>
      <c r="F123" s="135" t="s">
        <v>4170</v>
      </c>
      <c r="G123" s="181" t="s">
        <v>1434</v>
      </c>
      <c r="H123" s="181" t="s">
        <v>1460</v>
      </c>
      <c r="I123" s="182" t="s">
        <v>1459</v>
      </c>
      <c r="J123" s="137"/>
      <c r="K123" s="191" t="s">
        <v>1416</v>
      </c>
      <c r="L123" s="189">
        <f t="shared" si="3"/>
        <v>5.4</v>
      </c>
      <c r="M123" s="140">
        <f t="shared" si="4"/>
        <v>1</v>
      </c>
      <c r="N123" s="141">
        <f t="shared" si="5"/>
        <v>5.4</v>
      </c>
      <c r="O123" s="140" t="s">
        <v>1156</v>
      </c>
      <c r="P123" s="183" t="s">
        <v>1294</v>
      </c>
      <c r="Q123" s="184"/>
    </row>
    <row r="124" spans="2:17" s="144" customFormat="1" ht="19.5" customHeight="1">
      <c r="B124" s="144" t="s">
        <v>1288</v>
      </c>
      <c r="C124" s="133">
        <v>119</v>
      </c>
      <c r="D124" s="180" t="s">
        <v>1289</v>
      </c>
      <c r="E124" s="181" t="s">
        <v>1413</v>
      </c>
      <c r="F124" s="135" t="s">
        <v>4171</v>
      </c>
      <c r="G124" s="181" t="s">
        <v>1434</v>
      </c>
      <c r="H124" s="181" t="s">
        <v>1461</v>
      </c>
      <c r="I124" s="182" t="s">
        <v>1459</v>
      </c>
      <c r="J124" s="137"/>
      <c r="K124" s="191" t="s">
        <v>1416</v>
      </c>
      <c r="L124" s="189">
        <f t="shared" si="3"/>
        <v>5.4</v>
      </c>
      <c r="M124" s="140">
        <f t="shared" si="4"/>
        <v>1</v>
      </c>
      <c r="N124" s="141">
        <f t="shared" si="5"/>
        <v>5.4</v>
      </c>
      <c r="O124" s="140" t="s">
        <v>1156</v>
      </c>
      <c r="P124" s="183" t="s">
        <v>1294</v>
      </c>
      <c r="Q124" s="184"/>
    </row>
    <row r="125" spans="2:17" s="144" customFormat="1" ht="19.5" customHeight="1">
      <c r="B125" s="144" t="s">
        <v>1288</v>
      </c>
      <c r="C125" s="133">
        <v>120</v>
      </c>
      <c r="D125" s="180" t="s">
        <v>1289</v>
      </c>
      <c r="E125" s="181" t="s">
        <v>1413</v>
      </c>
      <c r="F125" s="135" t="s">
        <v>4172</v>
      </c>
      <c r="G125" s="181" t="s">
        <v>1434</v>
      </c>
      <c r="H125" s="181" t="s">
        <v>1462</v>
      </c>
      <c r="I125" s="182" t="s">
        <v>1459</v>
      </c>
      <c r="J125" s="137"/>
      <c r="K125" s="191" t="s">
        <v>1416</v>
      </c>
      <c r="L125" s="189">
        <f t="shared" si="3"/>
        <v>5.4</v>
      </c>
      <c r="M125" s="140">
        <f t="shared" si="4"/>
        <v>1</v>
      </c>
      <c r="N125" s="141">
        <f t="shared" si="5"/>
        <v>5.4</v>
      </c>
      <c r="O125" s="140" t="s">
        <v>1156</v>
      </c>
      <c r="P125" s="183" t="s">
        <v>1294</v>
      </c>
      <c r="Q125" s="184"/>
    </row>
    <row r="126" spans="2:17" s="144" customFormat="1" ht="19.5" customHeight="1">
      <c r="B126" s="144" t="s">
        <v>1288</v>
      </c>
      <c r="C126" s="133">
        <v>121</v>
      </c>
      <c r="D126" s="180" t="s">
        <v>1289</v>
      </c>
      <c r="E126" s="181" t="s">
        <v>1413</v>
      </c>
      <c r="F126" s="135" t="s">
        <v>4173</v>
      </c>
      <c r="G126" s="181" t="s">
        <v>1434</v>
      </c>
      <c r="H126" s="181" t="s">
        <v>1463</v>
      </c>
      <c r="I126" s="182" t="s">
        <v>1459</v>
      </c>
      <c r="J126" s="137"/>
      <c r="K126" s="191" t="s">
        <v>1416</v>
      </c>
      <c r="L126" s="189">
        <f t="shared" si="3"/>
        <v>5.4</v>
      </c>
      <c r="M126" s="140">
        <f t="shared" si="4"/>
        <v>1</v>
      </c>
      <c r="N126" s="141">
        <f t="shared" si="5"/>
        <v>5.4</v>
      </c>
      <c r="O126" s="140" t="s">
        <v>1156</v>
      </c>
      <c r="P126" s="183" t="s">
        <v>1294</v>
      </c>
      <c r="Q126" s="184"/>
    </row>
    <row r="127" spans="2:17" s="144" customFormat="1" ht="19.5" customHeight="1">
      <c r="B127" s="144" t="s">
        <v>1288</v>
      </c>
      <c r="C127" s="133">
        <v>122</v>
      </c>
      <c r="D127" s="180" t="s">
        <v>1289</v>
      </c>
      <c r="E127" s="181" t="s">
        <v>1413</v>
      </c>
      <c r="F127" s="135" t="s">
        <v>4174</v>
      </c>
      <c r="G127" s="181" t="s">
        <v>1434</v>
      </c>
      <c r="H127" s="181" t="s">
        <v>1464</v>
      </c>
      <c r="I127" s="182" t="s">
        <v>1459</v>
      </c>
      <c r="J127" s="137"/>
      <c r="K127" s="191" t="s">
        <v>1416</v>
      </c>
      <c r="L127" s="189">
        <f t="shared" si="3"/>
        <v>5.4</v>
      </c>
      <c r="M127" s="140">
        <f t="shared" si="4"/>
        <v>1</v>
      </c>
      <c r="N127" s="141">
        <f t="shared" si="5"/>
        <v>5.4</v>
      </c>
      <c r="O127" s="140" t="s">
        <v>1156</v>
      </c>
      <c r="P127" s="183" t="s">
        <v>1294</v>
      </c>
      <c r="Q127" s="184"/>
    </row>
    <row r="128" spans="2:17" s="144" customFormat="1" ht="19.5" customHeight="1">
      <c r="B128" s="144" t="s">
        <v>1288</v>
      </c>
      <c r="C128" s="133">
        <v>123</v>
      </c>
      <c r="D128" s="180" t="s">
        <v>1289</v>
      </c>
      <c r="E128" s="181" t="s">
        <v>1413</v>
      </c>
      <c r="F128" s="135" t="s">
        <v>4175</v>
      </c>
      <c r="G128" s="181" t="s">
        <v>1434</v>
      </c>
      <c r="H128" s="181" t="s">
        <v>1465</v>
      </c>
      <c r="I128" s="182" t="s">
        <v>1459</v>
      </c>
      <c r="J128" s="137"/>
      <c r="K128" s="191" t="s">
        <v>1416</v>
      </c>
      <c r="L128" s="189">
        <f t="shared" si="3"/>
        <v>5.4</v>
      </c>
      <c r="M128" s="140">
        <f t="shared" si="4"/>
        <v>1</v>
      </c>
      <c r="N128" s="141">
        <f t="shared" si="5"/>
        <v>5.4</v>
      </c>
      <c r="O128" s="140" t="s">
        <v>1156</v>
      </c>
      <c r="P128" s="183" t="s">
        <v>1294</v>
      </c>
      <c r="Q128" s="184"/>
    </row>
    <row r="129" spans="2:17" s="144" customFormat="1" ht="19.5" customHeight="1">
      <c r="B129" s="144" t="s">
        <v>1288</v>
      </c>
      <c r="C129" s="133">
        <v>124</v>
      </c>
      <c r="D129" s="180" t="s">
        <v>1289</v>
      </c>
      <c r="E129" s="181" t="s">
        <v>1413</v>
      </c>
      <c r="F129" s="135" t="s">
        <v>4176</v>
      </c>
      <c r="G129" s="181" t="s">
        <v>1434</v>
      </c>
      <c r="H129" s="181" t="s">
        <v>1466</v>
      </c>
      <c r="I129" s="182" t="s">
        <v>1459</v>
      </c>
      <c r="J129" s="137"/>
      <c r="K129" s="191" t="s">
        <v>1416</v>
      </c>
      <c r="L129" s="189">
        <f t="shared" si="3"/>
        <v>5.4</v>
      </c>
      <c r="M129" s="140">
        <f t="shared" si="4"/>
        <v>1</v>
      </c>
      <c r="N129" s="141">
        <f t="shared" si="5"/>
        <v>5.4</v>
      </c>
      <c r="O129" s="140" t="s">
        <v>1156</v>
      </c>
      <c r="P129" s="183" t="s">
        <v>1294</v>
      </c>
      <c r="Q129" s="184"/>
    </row>
    <row r="130" spans="2:17" s="144" customFormat="1" ht="27">
      <c r="B130" s="144" t="s">
        <v>1288</v>
      </c>
      <c r="C130" s="133">
        <v>125</v>
      </c>
      <c r="D130" s="180" t="s">
        <v>1289</v>
      </c>
      <c r="E130" s="181" t="s">
        <v>1413</v>
      </c>
      <c r="F130" s="135" t="s">
        <v>4177</v>
      </c>
      <c r="G130" s="181" t="s">
        <v>1434</v>
      </c>
      <c r="H130" s="181" t="s">
        <v>1467</v>
      </c>
      <c r="I130" s="182" t="s">
        <v>1459</v>
      </c>
      <c r="J130" s="137"/>
      <c r="K130" s="191" t="s">
        <v>1416</v>
      </c>
      <c r="L130" s="189">
        <f t="shared" si="3"/>
        <v>5.4</v>
      </c>
      <c r="M130" s="140">
        <f t="shared" si="4"/>
        <v>1</v>
      </c>
      <c r="N130" s="141">
        <f t="shared" si="5"/>
        <v>5.4</v>
      </c>
      <c r="O130" s="140" t="s">
        <v>1156</v>
      </c>
      <c r="P130" s="183" t="s">
        <v>1294</v>
      </c>
      <c r="Q130" s="184"/>
    </row>
    <row r="131" spans="2:17" s="144" customFormat="1" ht="27">
      <c r="B131" s="144" t="s">
        <v>1288</v>
      </c>
      <c r="C131" s="133">
        <v>126</v>
      </c>
      <c r="D131" s="180" t="s">
        <v>1289</v>
      </c>
      <c r="E131" s="181" t="s">
        <v>1413</v>
      </c>
      <c r="F131" s="135" t="s">
        <v>4178</v>
      </c>
      <c r="G131" s="181" t="s">
        <v>1434</v>
      </c>
      <c r="H131" s="181" t="s">
        <v>1468</v>
      </c>
      <c r="I131" s="182" t="s">
        <v>1459</v>
      </c>
      <c r="J131" s="137"/>
      <c r="K131" s="191" t="s">
        <v>1416</v>
      </c>
      <c r="L131" s="189">
        <f t="shared" si="3"/>
        <v>5.4</v>
      </c>
      <c r="M131" s="140">
        <f t="shared" si="4"/>
        <v>1</v>
      </c>
      <c r="N131" s="141">
        <f t="shared" si="5"/>
        <v>5.4</v>
      </c>
      <c r="O131" s="140" t="s">
        <v>1156</v>
      </c>
      <c r="P131" s="183" t="s">
        <v>1294</v>
      </c>
      <c r="Q131" s="184"/>
    </row>
    <row r="132" spans="2:17" s="144" customFormat="1" ht="19.5" customHeight="1">
      <c r="B132" s="144" t="s">
        <v>1288</v>
      </c>
      <c r="C132" s="133">
        <v>127</v>
      </c>
      <c r="D132" s="180" t="s">
        <v>1289</v>
      </c>
      <c r="E132" s="181" t="s">
        <v>1413</v>
      </c>
      <c r="F132" s="135" t="s">
        <v>4179</v>
      </c>
      <c r="G132" s="181" t="s">
        <v>1434</v>
      </c>
      <c r="H132" s="181" t="s">
        <v>1469</v>
      </c>
      <c r="I132" s="182" t="s">
        <v>1459</v>
      </c>
      <c r="J132" s="137"/>
      <c r="K132" s="191" t="s">
        <v>1416</v>
      </c>
      <c r="L132" s="189">
        <f t="shared" si="3"/>
        <v>5.4</v>
      </c>
      <c r="M132" s="140">
        <f t="shared" si="4"/>
        <v>1</v>
      </c>
      <c r="N132" s="141">
        <f t="shared" si="5"/>
        <v>5.4</v>
      </c>
      <c r="O132" s="140" t="s">
        <v>1156</v>
      </c>
      <c r="P132" s="183" t="s">
        <v>1294</v>
      </c>
      <c r="Q132" s="184"/>
    </row>
    <row r="133" spans="2:17" s="144" customFormat="1" ht="19.5" customHeight="1">
      <c r="B133" s="144" t="s">
        <v>1288</v>
      </c>
      <c r="C133" s="133">
        <v>128</v>
      </c>
      <c r="D133" s="180" t="s">
        <v>1289</v>
      </c>
      <c r="E133" s="181" t="s">
        <v>1413</v>
      </c>
      <c r="F133" s="135" t="s">
        <v>4180</v>
      </c>
      <c r="G133" s="181" t="s">
        <v>1434</v>
      </c>
      <c r="H133" s="181" t="s">
        <v>1470</v>
      </c>
      <c r="I133" s="182" t="s">
        <v>1459</v>
      </c>
      <c r="J133" s="137"/>
      <c r="K133" s="191" t="s">
        <v>1416</v>
      </c>
      <c r="L133" s="189">
        <f t="shared" si="3"/>
        <v>5.4</v>
      </c>
      <c r="M133" s="140">
        <f t="shared" si="4"/>
        <v>1</v>
      </c>
      <c r="N133" s="141">
        <f t="shared" si="5"/>
        <v>5.4</v>
      </c>
      <c r="O133" s="140" t="s">
        <v>1156</v>
      </c>
      <c r="P133" s="183" t="s">
        <v>1294</v>
      </c>
      <c r="Q133" s="184"/>
    </row>
    <row r="134" spans="2:17" s="144" customFormat="1" ht="27">
      <c r="B134" s="144" t="s">
        <v>1288</v>
      </c>
      <c r="C134" s="133">
        <v>129</v>
      </c>
      <c r="D134" s="180" t="s">
        <v>1289</v>
      </c>
      <c r="E134" s="181" t="s">
        <v>1413</v>
      </c>
      <c r="F134" s="135" t="s">
        <v>4181</v>
      </c>
      <c r="G134" s="181" t="s">
        <v>1434</v>
      </c>
      <c r="H134" s="181" t="s">
        <v>1471</v>
      </c>
      <c r="I134" s="182" t="s">
        <v>1472</v>
      </c>
      <c r="J134" s="137"/>
      <c r="K134" s="191" t="s">
        <v>1416</v>
      </c>
      <c r="L134" s="189">
        <f t="shared" ref="L134:L197" si="6">IF(K134="","",IF(K134="EI",4,IF(K134="EO",5.2,IF(K134="EQ",3.9,IF(K134="ILF",7.5,IF(K134="EIF",5.4))))))</f>
        <v>5.4</v>
      </c>
      <c r="M134" s="140">
        <f t="shared" ref="M134:M197" si="7">IF(O134="","",IF(O134="신규",1,IF(O134="고도화",1.04,IF(O134="재사용",0.25))))</f>
        <v>1</v>
      </c>
      <c r="N134" s="141">
        <f t="shared" ref="N134:N197" si="8">L134*M134</f>
        <v>5.4</v>
      </c>
      <c r="O134" s="140" t="s">
        <v>1156</v>
      </c>
      <c r="P134" s="183" t="s">
        <v>1294</v>
      </c>
      <c r="Q134" s="184"/>
    </row>
    <row r="135" spans="2:17" s="144" customFormat="1" ht="27">
      <c r="B135" s="144" t="s">
        <v>1288</v>
      </c>
      <c r="C135" s="133">
        <v>130</v>
      </c>
      <c r="D135" s="180" t="s">
        <v>1289</v>
      </c>
      <c r="E135" s="181" t="s">
        <v>1413</v>
      </c>
      <c r="F135" s="135" t="s">
        <v>4182</v>
      </c>
      <c r="G135" s="181" t="s">
        <v>1434</v>
      </c>
      <c r="H135" s="181" t="s">
        <v>1473</v>
      </c>
      <c r="I135" s="182" t="s">
        <v>1474</v>
      </c>
      <c r="J135" s="137"/>
      <c r="K135" s="191" t="s">
        <v>1416</v>
      </c>
      <c r="L135" s="189">
        <f t="shared" si="6"/>
        <v>5.4</v>
      </c>
      <c r="M135" s="140">
        <f t="shared" si="7"/>
        <v>1</v>
      </c>
      <c r="N135" s="141">
        <f t="shared" si="8"/>
        <v>5.4</v>
      </c>
      <c r="O135" s="140" t="s">
        <v>1156</v>
      </c>
      <c r="P135" s="183" t="s">
        <v>1294</v>
      </c>
      <c r="Q135" s="184"/>
    </row>
    <row r="136" spans="2:17" s="144" customFormat="1" ht="27">
      <c r="B136" s="144" t="s">
        <v>1288</v>
      </c>
      <c r="C136" s="133">
        <v>131</v>
      </c>
      <c r="D136" s="180" t="s">
        <v>1289</v>
      </c>
      <c r="E136" s="181" t="s">
        <v>1413</v>
      </c>
      <c r="F136" s="135" t="s">
        <v>4183</v>
      </c>
      <c r="G136" s="181" t="s">
        <v>1434</v>
      </c>
      <c r="H136" s="181" t="s">
        <v>1475</v>
      </c>
      <c r="I136" s="182" t="s">
        <v>1476</v>
      </c>
      <c r="J136" s="137"/>
      <c r="K136" s="191" t="s">
        <v>1416</v>
      </c>
      <c r="L136" s="189">
        <f t="shared" si="6"/>
        <v>5.4</v>
      </c>
      <c r="M136" s="140">
        <f t="shared" si="7"/>
        <v>1</v>
      </c>
      <c r="N136" s="141">
        <f t="shared" si="8"/>
        <v>5.4</v>
      </c>
      <c r="O136" s="140" t="s">
        <v>1156</v>
      </c>
      <c r="P136" s="183" t="s">
        <v>1294</v>
      </c>
      <c r="Q136" s="184"/>
    </row>
    <row r="137" spans="2:17" s="144" customFormat="1" ht="19.5" customHeight="1">
      <c r="B137" s="144" t="s">
        <v>1288</v>
      </c>
      <c r="C137" s="133">
        <v>132</v>
      </c>
      <c r="D137" s="180" t="s">
        <v>1289</v>
      </c>
      <c r="E137" s="181" t="s">
        <v>1413</v>
      </c>
      <c r="F137" s="135" t="s">
        <v>4184</v>
      </c>
      <c r="G137" s="181" t="s">
        <v>1477</v>
      </c>
      <c r="H137" s="181" t="s">
        <v>1478</v>
      </c>
      <c r="I137" s="182" t="s">
        <v>1459</v>
      </c>
      <c r="J137" s="137"/>
      <c r="K137" s="152" t="s">
        <v>1188</v>
      </c>
      <c r="L137" s="189">
        <f t="shared" si="6"/>
        <v>4</v>
      </c>
      <c r="M137" s="140">
        <f t="shared" si="7"/>
        <v>1</v>
      </c>
      <c r="N137" s="141">
        <f t="shared" si="8"/>
        <v>4</v>
      </c>
      <c r="O137" s="140" t="s">
        <v>1156</v>
      </c>
      <c r="P137" s="183" t="s">
        <v>1294</v>
      </c>
      <c r="Q137" s="184"/>
    </row>
    <row r="138" spans="2:17" s="144" customFormat="1" ht="19.5" customHeight="1">
      <c r="B138" s="144" t="s">
        <v>1288</v>
      </c>
      <c r="C138" s="133">
        <v>133</v>
      </c>
      <c r="D138" s="180" t="s">
        <v>1289</v>
      </c>
      <c r="E138" s="181" t="s">
        <v>1413</v>
      </c>
      <c r="F138" s="135" t="s">
        <v>4185</v>
      </c>
      <c r="G138" s="181" t="s">
        <v>1477</v>
      </c>
      <c r="H138" s="181" t="s">
        <v>1479</v>
      </c>
      <c r="I138" s="182" t="s">
        <v>1459</v>
      </c>
      <c r="J138" s="137"/>
      <c r="K138" s="152" t="s">
        <v>1188</v>
      </c>
      <c r="L138" s="189">
        <f t="shared" si="6"/>
        <v>4</v>
      </c>
      <c r="M138" s="140">
        <f t="shared" si="7"/>
        <v>1</v>
      </c>
      <c r="N138" s="141">
        <f t="shared" si="8"/>
        <v>4</v>
      </c>
      <c r="O138" s="140" t="s">
        <v>1156</v>
      </c>
      <c r="P138" s="183" t="s">
        <v>1294</v>
      </c>
      <c r="Q138" s="184"/>
    </row>
    <row r="139" spans="2:17" s="144" customFormat="1" ht="19.5" customHeight="1">
      <c r="B139" s="144" t="s">
        <v>1288</v>
      </c>
      <c r="C139" s="133">
        <v>134</v>
      </c>
      <c r="D139" s="180" t="s">
        <v>1289</v>
      </c>
      <c r="E139" s="181" t="s">
        <v>1413</v>
      </c>
      <c r="F139" s="135" t="s">
        <v>4186</v>
      </c>
      <c r="G139" s="181" t="s">
        <v>1477</v>
      </c>
      <c r="H139" s="181" t="s">
        <v>1480</v>
      </c>
      <c r="I139" s="182" t="s">
        <v>1459</v>
      </c>
      <c r="J139" s="137"/>
      <c r="K139" s="146" t="s">
        <v>1170</v>
      </c>
      <c r="L139" s="189">
        <f t="shared" si="6"/>
        <v>5.2</v>
      </c>
      <c r="M139" s="140">
        <f t="shared" si="7"/>
        <v>1</v>
      </c>
      <c r="N139" s="141">
        <f t="shared" si="8"/>
        <v>5.2</v>
      </c>
      <c r="O139" s="140" t="s">
        <v>1156</v>
      </c>
      <c r="P139" s="183" t="s">
        <v>1294</v>
      </c>
      <c r="Q139" s="184"/>
    </row>
    <row r="140" spans="2:17" s="144" customFormat="1" ht="19.5" customHeight="1">
      <c r="B140" s="144" t="s">
        <v>1288</v>
      </c>
      <c r="C140" s="133">
        <v>135</v>
      </c>
      <c r="D140" s="180" t="s">
        <v>1289</v>
      </c>
      <c r="E140" s="181" t="s">
        <v>1413</v>
      </c>
      <c r="F140" s="135" t="s">
        <v>4187</v>
      </c>
      <c r="G140" s="181" t="s">
        <v>1477</v>
      </c>
      <c r="H140" s="181" t="s">
        <v>1481</v>
      </c>
      <c r="I140" s="182" t="s">
        <v>1459</v>
      </c>
      <c r="J140" s="137"/>
      <c r="K140" s="146" t="s">
        <v>1170</v>
      </c>
      <c r="L140" s="189">
        <f t="shared" si="6"/>
        <v>5.2</v>
      </c>
      <c r="M140" s="140">
        <f t="shared" si="7"/>
        <v>1</v>
      </c>
      <c r="N140" s="141">
        <f t="shared" si="8"/>
        <v>5.2</v>
      </c>
      <c r="O140" s="140" t="s">
        <v>1156</v>
      </c>
      <c r="P140" s="183" t="s">
        <v>1294</v>
      </c>
      <c r="Q140" s="184"/>
    </row>
    <row r="141" spans="2:17" s="144" customFormat="1" ht="19.5" customHeight="1">
      <c r="B141" s="144" t="s">
        <v>1288</v>
      </c>
      <c r="C141" s="133">
        <v>136</v>
      </c>
      <c r="D141" s="180" t="s">
        <v>1289</v>
      </c>
      <c r="E141" s="181" t="s">
        <v>1413</v>
      </c>
      <c r="F141" s="135" t="s">
        <v>4188</v>
      </c>
      <c r="G141" s="181" t="s">
        <v>1477</v>
      </c>
      <c r="H141" s="181" t="s">
        <v>1482</v>
      </c>
      <c r="I141" s="182" t="s">
        <v>1459</v>
      </c>
      <c r="J141" s="137"/>
      <c r="K141" s="146" t="s">
        <v>1170</v>
      </c>
      <c r="L141" s="189">
        <f t="shared" si="6"/>
        <v>5.2</v>
      </c>
      <c r="M141" s="140">
        <f t="shared" si="7"/>
        <v>1</v>
      </c>
      <c r="N141" s="141">
        <f t="shared" si="8"/>
        <v>5.2</v>
      </c>
      <c r="O141" s="140" t="s">
        <v>1156</v>
      </c>
      <c r="P141" s="183" t="s">
        <v>1294</v>
      </c>
      <c r="Q141" s="184"/>
    </row>
    <row r="142" spans="2:17" s="144" customFormat="1" ht="19.5" customHeight="1">
      <c r="B142" s="144" t="s">
        <v>1288</v>
      </c>
      <c r="C142" s="133">
        <v>137</v>
      </c>
      <c r="D142" s="180" t="s">
        <v>1289</v>
      </c>
      <c r="E142" s="181" t="s">
        <v>1413</v>
      </c>
      <c r="F142" s="135" t="s">
        <v>4189</v>
      </c>
      <c r="G142" s="181" t="s">
        <v>1477</v>
      </c>
      <c r="H142" s="181" t="s">
        <v>1483</v>
      </c>
      <c r="I142" s="182"/>
      <c r="J142" s="137"/>
      <c r="K142" s="152" t="s">
        <v>1188</v>
      </c>
      <c r="L142" s="189">
        <f t="shared" si="6"/>
        <v>4</v>
      </c>
      <c r="M142" s="140">
        <f t="shared" si="7"/>
        <v>1</v>
      </c>
      <c r="N142" s="141">
        <f t="shared" si="8"/>
        <v>4</v>
      </c>
      <c r="O142" s="140" t="s">
        <v>1156</v>
      </c>
      <c r="P142" s="183" t="s">
        <v>1294</v>
      </c>
      <c r="Q142" s="184"/>
    </row>
    <row r="143" spans="2:17" s="144" customFormat="1">
      <c r="B143" s="144" t="s">
        <v>1288</v>
      </c>
      <c r="C143" s="133">
        <v>138</v>
      </c>
      <c r="D143" s="180" t="s">
        <v>1289</v>
      </c>
      <c r="E143" s="181" t="s">
        <v>1413</v>
      </c>
      <c r="F143" s="135" t="s">
        <v>4190</v>
      </c>
      <c r="G143" s="181" t="s">
        <v>1477</v>
      </c>
      <c r="H143" s="181" t="s">
        <v>1484</v>
      </c>
      <c r="I143" s="182"/>
      <c r="J143" s="137"/>
      <c r="K143" s="152" t="s">
        <v>1188</v>
      </c>
      <c r="L143" s="189">
        <f t="shared" si="6"/>
        <v>4</v>
      </c>
      <c r="M143" s="140">
        <f t="shared" si="7"/>
        <v>1</v>
      </c>
      <c r="N143" s="141">
        <f t="shared" si="8"/>
        <v>4</v>
      </c>
      <c r="O143" s="140" t="s">
        <v>1156</v>
      </c>
      <c r="P143" s="183" t="s">
        <v>1294</v>
      </c>
      <c r="Q143" s="184"/>
    </row>
    <row r="144" spans="2:17" s="144" customFormat="1" ht="54">
      <c r="B144" s="144" t="s">
        <v>1288</v>
      </c>
      <c r="C144" s="133">
        <v>139</v>
      </c>
      <c r="D144" s="180" t="s">
        <v>1289</v>
      </c>
      <c r="E144" s="181" t="s">
        <v>1413</v>
      </c>
      <c r="F144" s="135" t="s">
        <v>4191</v>
      </c>
      <c r="G144" s="181" t="s">
        <v>1477</v>
      </c>
      <c r="H144" s="181" t="s">
        <v>1485</v>
      </c>
      <c r="I144" s="182" t="s">
        <v>1486</v>
      </c>
      <c r="J144" s="137"/>
      <c r="K144" s="138" t="s">
        <v>1487</v>
      </c>
      <c r="L144" s="189">
        <f t="shared" si="6"/>
        <v>5.4</v>
      </c>
      <c r="M144" s="140">
        <f t="shared" si="7"/>
        <v>1</v>
      </c>
      <c r="N144" s="141">
        <f t="shared" si="8"/>
        <v>5.4</v>
      </c>
      <c r="O144" s="140" t="s">
        <v>1156</v>
      </c>
      <c r="P144" s="183" t="s">
        <v>1294</v>
      </c>
      <c r="Q144" s="184"/>
    </row>
    <row r="145" spans="2:17" s="144" customFormat="1" ht="19.5" customHeight="1">
      <c r="B145" s="144" t="s">
        <v>1288</v>
      </c>
      <c r="C145" s="133">
        <v>140</v>
      </c>
      <c r="D145" s="180" t="s">
        <v>1289</v>
      </c>
      <c r="E145" s="181" t="s">
        <v>1413</v>
      </c>
      <c r="F145" s="135" t="s">
        <v>4192</v>
      </c>
      <c r="G145" s="181" t="s">
        <v>1477</v>
      </c>
      <c r="H145" s="181" t="s">
        <v>1488</v>
      </c>
      <c r="I145" s="182"/>
      <c r="J145" s="137"/>
      <c r="K145" s="146" t="s">
        <v>1170</v>
      </c>
      <c r="L145" s="189">
        <f t="shared" si="6"/>
        <v>5.2</v>
      </c>
      <c r="M145" s="140">
        <f t="shared" si="7"/>
        <v>1</v>
      </c>
      <c r="N145" s="141">
        <f t="shared" si="8"/>
        <v>5.2</v>
      </c>
      <c r="O145" s="140" t="s">
        <v>1156</v>
      </c>
      <c r="P145" s="183" t="s">
        <v>1294</v>
      </c>
      <c r="Q145" s="184"/>
    </row>
    <row r="146" spans="2:17" s="144" customFormat="1" ht="19.5" customHeight="1">
      <c r="B146" s="144" t="s">
        <v>1288</v>
      </c>
      <c r="C146" s="133">
        <v>141</v>
      </c>
      <c r="D146" s="180" t="s">
        <v>1289</v>
      </c>
      <c r="E146" s="181" t="s">
        <v>1413</v>
      </c>
      <c r="F146" s="135" t="s">
        <v>4193</v>
      </c>
      <c r="G146" s="181" t="s">
        <v>1477</v>
      </c>
      <c r="H146" s="181" t="s">
        <v>1489</v>
      </c>
      <c r="I146" s="182"/>
      <c r="J146" s="137"/>
      <c r="K146" s="146" t="s">
        <v>1170</v>
      </c>
      <c r="L146" s="189">
        <f t="shared" si="6"/>
        <v>5.2</v>
      </c>
      <c r="M146" s="140">
        <f t="shared" si="7"/>
        <v>1</v>
      </c>
      <c r="N146" s="141">
        <f t="shared" si="8"/>
        <v>5.2</v>
      </c>
      <c r="O146" s="140" t="s">
        <v>1156</v>
      </c>
      <c r="P146" s="183" t="s">
        <v>1294</v>
      </c>
      <c r="Q146" s="184"/>
    </row>
    <row r="147" spans="2:17" s="144" customFormat="1" ht="19.5" customHeight="1">
      <c r="B147" s="144" t="s">
        <v>1288</v>
      </c>
      <c r="C147" s="133">
        <v>142</v>
      </c>
      <c r="D147" s="180" t="s">
        <v>1289</v>
      </c>
      <c r="E147" s="181" t="s">
        <v>1413</v>
      </c>
      <c r="F147" s="135" t="s">
        <v>4194</v>
      </c>
      <c r="G147" s="181" t="s">
        <v>1477</v>
      </c>
      <c r="H147" s="181" t="s">
        <v>1490</v>
      </c>
      <c r="I147" s="182"/>
      <c r="J147" s="137"/>
      <c r="K147" s="138" t="s">
        <v>1487</v>
      </c>
      <c r="L147" s="189">
        <f t="shared" si="6"/>
        <v>5.4</v>
      </c>
      <c r="M147" s="140">
        <f t="shared" si="7"/>
        <v>1</v>
      </c>
      <c r="N147" s="141">
        <f t="shared" si="8"/>
        <v>5.4</v>
      </c>
      <c r="O147" s="140" t="s">
        <v>1156</v>
      </c>
      <c r="P147" s="183" t="s">
        <v>1294</v>
      </c>
      <c r="Q147" s="184"/>
    </row>
    <row r="148" spans="2:17" s="144" customFormat="1" ht="19.5" customHeight="1">
      <c r="B148" s="144" t="s">
        <v>1288</v>
      </c>
      <c r="C148" s="133">
        <v>143</v>
      </c>
      <c r="D148" s="180" t="s">
        <v>1289</v>
      </c>
      <c r="E148" s="181" t="s">
        <v>1413</v>
      </c>
      <c r="F148" s="135" t="s">
        <v>4195</v>
      </c>
      <c r="G148" s="181" t="s">
        <v>1477</v>
      </c>
      <c r="H148" s="181" t="s">
        <v>1491</v>
      </c>
      <c r="I148" s="182"/>
      <c r="J148" s="137"/>
      <c r="K148" s="138" t="s">
        <v>1487</v>
      </c>
      <c r="L148" s="189">
        <f t="shared" si="6"/>
        <v>5.4</v>
      </c>
      <c r="M148" s="140">
        <f t="shared" si="7"/>
        <v>1</v>
      </c>
      <c r="N148" s="141">
        <f t="shared" si="8"/>
        <v>5.4</v>
      </c>
      <c r="O148" s="140" t="s">
        <v>1156</v>
      </c>
      <c r="P148" s="183" t="s">
        <v>1294</v>
      </c>
      <c r="Q148" s="184"/>
    </row>
    <row r="149" spans="2:17" s="144" customFormat="1" ht="19.5" customHeight="1">
      <c r="B149" s="144" t="s">
        <v>1288</v>
      </c>
      <c r="C149" s="133">
        <v>144</v>
      </c>
      <c r="D149" s="180" t="s">
        <v>1289</v>
      </c>
      <c r="E149" s="181" t="s">
        <v>1413</v>
      </c>
      <c r="F149" s="135" t="s">
        <v>4196</v>
      </c>
      <c r="G149" s="181" t="s">
        <v>1477</v>
      </c>
      <c r="H149" s="181" t="s">
        <v>1438</v>
      </c>
      <c r="I149" s="182"/>
      <c r="J149" s="137"/>
      <c r="K149" s="152" t="s">
        <v>1188</v>
      </c>
      <c r="L149" s="189">
        <f t="shared" si="6"/>
        <v>4</v>
      </c>
      <c r="M149" s="140">
        <f t="shared" si="7"/>
        <v>1</v>
      </c>
      <c r="N149" s="141">
        <f t="shared" si="8"/>
        <v>4</v>
      </c>
      <c r="O149" s="140" t="s">
        <v>1156</v>
      </c>
      <c r="P149" s="183" t="s">
        <v>1294</v>
      </c>
      <c r="Q149" s="184"/>
    </row>
    <row r="150" spans="2:17" s="144" customFormat="1" ht="19.5" customHeight="1">
      <c r="B150" s="144" t="s">
        <v>1288</v>
      </c>
      <c r="C150" s="133">
        <v>145</v>
      </c>
      <c r="D150" s="180" t="s">
        <v>1289</v>
      </c>
      <c r="E150" s="181" t="s">
        <v>1413</v>
      </c>
      <c r="F150" s="135" t="s">
        <v>4197</v>
      </c>
      <c r="G150" s="181" t="s">
        <v>1477</v>
      </c>
      <c r="H150" s="181" t="s">
        <v>1492</v>
      </c>
      <c r="I150" s="182"/>
      <c r="J150" s="137"/>
      <c r="K150" s="152" t="s">
        <v>1188</v>
      </c>
      <c r="L150" s="189">
        <f t="shared" si="6"/>
        <v>4</v>
      </c>
      <c r="M150" s="140">
        <f t="shared" si="7"/>
        <v>1</v>
      </c>
      <c r="N150" s="141">
        <f t="shared" si="8"/>
        <v>4</v>
      </c>
      <c r="O150" s="140" t="s">
        <v>1156</v>
      </c>
      <c r="P150" s="183" t="s">
        <v>1294</v>
      </c>
      <c r="Q150" s="184"/>
    </row>
    <row r="151" spans="2:17" s="144" customFormat="1" ht="19.5" customHeight="1">
      <c r="B151" s="144" t="s">
        <v>1288</v>
      </c>
      <c r="C151" s="133">
        <v>146</v>
      </c>
      <c r="D151" s="180" t="s">
        <v>1289</v>
      </c>
      <c r="E151" s="181" t="s">
        <v>1413</v>
      </c>
      <c r="F151" s="135" t="s">
        <v>4198</v>
      </c>
      <c r="G151" s="181" t="s">
        <v>1477</v>
      </c>
      <c r="H151" s="181" t="s">
        <v>1440</v>
      </c>
      <c r="I151" s="182"/>
      <c r="J151" s="137"/>
      <c r="K151" s="138" t="s">
        <v>1487</v>
      </c>
      <c r="L151" s="189">
        <f t="shared" si="6"/>
        <v>5.4</v>
      </c>
      <c r="M151" s="140">
        <f t="shared" si="7"/>
        <v>1</v>
      </c>
      <c r="N151" s="141">
        <f t="shared" si="8"/>
        <v>5.4</v>
      </c>
      <c r="O151" s="140" t="s">
        <v>1156</v>
      </c>
      <c r="P151" s="183" t="s">
        <v>1294</v>
      </c>
      <c r="Q151" s="184"/>
    </row>
    <row r="152" spans="2:17" s="144" customFormat="1" ht="19.5" customHeight="1">
      <c r="B152" s="144" t="s">
        <v>1288</v>
      </c>
      <c r="C152" s="133">
        <v>147</v>
      </c>
      <c r="D152" s="180" t="s">
        <v>1289</v>
      </c>
      <c r="E152" s="181" t="s">
        <v>1413</v>
      </c>
      <c r="F152" s="135" t="s">
        <v>4199</v>
      </c>
      <c r="G152" s="181" t="s">
        <v>1477</v>
      </c>
      <c r="H152" s="181" t="s">
        <v>1441</v>
      </c>
      <c r="I152" s="182"/>
      <c r="J152" s="137"/>
      <c r="K152" s="146" t="s">
        <v>1170</v>
      </c>
      <c r="L152" s="189">
        <f t="shared" si="6"/>
        <v>5.2</v>
      </c>
      <c r="M152" s="140">
        <f t="shared" si="7"/>
        <v>1</v>
      </c>
      <c r="N152" s="141">
        <f t="shared" si="8"/>
        <v>5.2</v>
      </c>
      <c r="O152" s="140" t="s">
        <v>1156</v>
      </c>
      <c r="P152" s="183" t="s">
        <v>1294</v>
      </c>
      <c r="Q152" s="184"/>
    </row>
    <row r="153" spans="2:17" s="144" customFormat="1" ht="19.5" customHeight="1">
      <c r="B153" s="144" t="s">
        <v>1288</v>
      </c>
      <c r="C153" s="133">
        <v>148</v>
      </c>
      <c r="D153" s="180" t="s">
        <v>1289</v>
      </c>
      <c r="E153" s="181" t="s">
        <v>1413</v>
      </c>
      <c r="F153" s="135" t="s">
        <v>4200</v>
      </c>
      <c r="G153" s="181" t="s">
        <v>1477</v>
      </c>
      <c r="H153" s="181" t="s">
        <v>1442</v>
      </c>
      <c r="I153" s="182"/>
      <c r="J153" s="137"/>
      <c r="K153" s="146" t="s">
        <v>1170</v>
      </c>
      <c r="L153" s="189">
        <f t="shared" si="6"/>
        <v>5.2</v>
      </c>
      <c r="M153" s="140">
        <f t="shared" si="7"/>
        <v>1</v>
      </c>
      <c r="N153" s="141">
        <f t="shared" si="8"/>
        <v>5.2</v>
      </c>
      <c r="O153" s="140" t="s">
        <v>1156</v>
      </c>
      <c r="P153" s="183" t="s">
        <v>1294</v>
      </c>
      <c r="Q153" s="184"/>
    </row>
    <row r="154" spans="2:17" s="144" customFormat="1" ht="19.5" customHeight="1">
      <c r="B154" s="144" t="s">
        <v>1288</v>
      </c>
      <c r="C154" s="133">
        <v>149</v>
      </c>
      <c r="D154" s="180" t="s">
        <v>1289</v>
      </c>
      <c r="E154" s="181" t="s">
        <v>1413</v>
      </c>
      <c r="F154" s="135" t="s">
        <v>4201</v>
      </c>
      <c r="G154" s="181" t="s">
        <v>1477</v>
      </c>
      <c r="H154" s="181" t="s">
        <v>1493</v>
      </c>
      <c r="I154" s="182"/>
      <c r="J154" s="137"/>
      <c r="K154" s="152" t="s">
        <v>1188</v>
      </c>
      <c r="L154" s="189">
        <f t="shared" si="6"/>
        <v>4</v>
      </c>
      <c r="M154" s="140">
        <f t="shared" si="7"/>
        <v>1</v>
      </c>
      <c r="N154" s="141">
        <f t="shared" si="8"/>
        <v>4</v>
      </c>
      <c r="O154" s="140" t="s">
        <v>1156</v>
      </c>
      <c r="P154" s="183" t="s">
        <v>1294</v>
      </c>
      <c r="Q154" s="184"/>
    </row>
    <row r="155" spans="2:17" s="144" customFormat="1" ht="19.5" customHeight="1">
      <c r="B155" s="144" t="s">
        <v>1288</v>
      </c>
      <c r="C155" s="133">
        <v>150</v>
      </c>
      <c r="D155" s="180" t="s">
        <v>1289</v>
      </c>
      <c r="E155" s="181" t="s">
        <v>1413</v>
      </c>
      <c r="F155" s="135" t="s">
        <v>4202</v>
      </c>
      <c r="G155" s="181" t="s">
        <v>1477</v>
      </c>
      <c r="H155" s="181" t="s">
        <v>1494</v>
      </c>
      <c r="I155" s="182"/>
      <c r="J155" s="137"/>
      <c r="K155" s="152" t="s">
        <v>1188</v>
      </c>
      <c r="L155" s="189">
        <f t="shared" si="6"/>
        <v>4</v>
      </c>
      <c r="M155" s="140">
        <f t="shared" si="7"/>
        <v>1</v>
      </c>
      <c r="N155" s="141">
        <f t="shared" si="8"/>
        <v>4</v>
      </c>
      <c r="O155" s="140" t="s">
        <v>1156</v>
      </c>
      <c r="P155" s="183" t="s">
        <v>1294</v>
      </c>
      <c r="Q155" s="184"/>
    </row>
    <row r="156" spans="2:17" s="144" customFormat="1" ht="19.5" customHeight="1">
      <c r="B156" s="144" t="s">
        <v>1288</v>
      </c>
      <c r="C156" s="133">
        <v>151</v>
      </c>
      <c r="D156" s="180" t="s">
        <v>1289</v>
      </c>
      <c r="E156" s="181" t="s">
        <v>1413</v>
      </c>
      <c r="F156" s="135" t="s">
        <v>4203</v>
      </c>
      <c r="G156" s="181" t="s">
        <v>1477</v>
      </c>
      <c r="H156" s="181" t="s">
        <v>1495</v>
      </c>
      <c r="I156" s="182"/>
      <c r="J156" s="137"/>
      <c r="K156" s="138" t="s">
        <v>1487</v>
      </c>
      <c r="L156" s="189">
        <f t="shared" si="6"/>
        <v>5.4</v>
      </c>
      <c r="M156" s="140">
        <f t="shared" si="7"/>
        <v>1</v>
      </c>
      <c r="N156" s="141">
        <f t="shared" si="8"/>
        <v>5.4</v>
      </c>
      <c r="O156" s="140" t="s">
        <v>1156</v>
      </c>
      <c r="P156" s="183" t="s">
        <v>1294</v>
      </c>
      <c r="Q156" s="184"/>
    </row>
    <row r="157" spans="2:17" s="144" customFormat="1" ht="19.5" customHeight="1">
      <c r="B157" s="144" t="s">
        <v>1288</v>
      </c>
      <c r="C157" s="147">
        <v>152</v>
      </c>
      <c r="D157" s="185" t="s">
        <v>1289</v>
      </c>
      <c r="E157" s="186" t="s">
        <v>1413</v>
      </c>
      <c r="F157" s="148" t="s">
        <v>4204</v>
      </c>
      <c r="G157" s="186" t="s">
        <v>1496</v>
      </c>
      <c r="H157" s="186" t="s">
        <v>1497</v>
      </c>
      <c r="I157" s="187"/>
      <c r="J157" s="137"/>
      <c r="K157" s="138" t="s">
        <v>1487</v>
      </c>
      <c r="L157" s="189">
        <f t="shared" si="6"/>
        <v>5.4</v>
      </c>
      <c r="M157" s="140">
        <f t="shared" si="7"/>
        <v>1</v>
      </c>
      <c r="N157" s="141">
        <f t="shared" si="8"/>
        <v>5.4</v>
      </c>
      <c r="O157" s="140" t="s">
        <v>1156</v>
      </c>
      <c r="P157" s="183" t="s">
        <v>1294</v>
      </c>
      <c r="Q157" s="184"/>
    </row>
    <row r="158" spans="2:17" s="144" customFormat="1" ht="19.5" customHeight="1">
      <c r="B158" s="144" t="s">
        <v>1288</v>
      </c>
      <c r="C158" s="147">
        <v>153</v>
      </c>
      <c r="D158" s="185" t="s">
        <v>1289</v>
      </c>
      <c r="E158" s="186" t="s">
        <v>1413</v>
      </c>
      <c r="F158" s="148" t="s">
        <v>4205</v>
      </c>
      <c r="G158" s="186" t="s">
        <v>1496</v>
      </c>
      <c r="H158" s="186" t="s">
        <v>1498</v>
      </c>
      <c r="I158" s="187"/>
      <c r="J158" s="137"/>
      <c r="K158" s="138" t="s">
        <v>1487</v>
      </c>
      <c r="L158" s="189">
        <f t="shared" si="6"/>
        <v>5.4</v>
      </c>
      <c r="M158" s="140">
        <f t="shared" si="7"/>
        <v>1</v>
      </c>
      <c r="N158" s="141">
        <f t="shared" si="8"/>
        <v>5.4</v>
      </c>
      <c r="O158" s="140" t="s">
        <v>1156</v>
      </c>
      <c r="P158" s="183" t="s">
        <v>1294</v>
      </c>
      <c r="Q158" s="184"/>
    </row>
    <row r="159" spans="2:17" s="144" customFormat="1" ht="19.5" customHeight="1">
      <c r="B159" s="144" t="s">
        <v>1288</v>
      </c>
      <c r="C159" s="147">
        <v>154</v>
      </c>
      <c r="D159" s="185" t="s">
        <v>1289</v>
      </c>
      <c r="E159" s="186" t="s">
        <v>1413</v>
      </c>
      <c r="F159" s="148" t="s">
        <v>4206</v>
      </c>
      <c r="G159" s="186" t="s">
        <v>1496</v>
      </c>
      <c r="H159" s="186" t="s">
        <v>1499</v>
      </c>
      <c r="I159" s="187"/>
      <c r="J159" s="137"/>
      <c r="K159" s="152" t="s">
        <v>1188</v>
      </c>
      <c r="L159" s="189">
        <f t="shared" si="6"/>
        <v>4</v>
      </c>
      <c r="M159" s="140">
        <f t="shared" si="7"/>
        <v>1</v>
      </c>
      <c r="N159" s="141">
        <f t="shared" si="8"/>
        <v>4</v>
      </c>
      <c r="O159" s="140" t="s">
        <v>1156</v>
      </c>
      <c r="P159" s="183" t="s">
        <v>1294</v>
      </c>
      <c r="Q159" s="184"/>
    </row>
    <row r="160" spans="2:17" s="144" customFormat="1" ht="19.5" customHeight="1">
      <c r="B160" s="144" t="s">
        <v>1288</v>
      </c>
      <c r="C160" s="147">
        <v>155</v>
      </c>
      <c r="D160" s="185" t="s">
        <v>1289</v>
      </c>
      <c r="E160" s="186" t="s">
        <v>1413</v>
      </c>
      <c r="F160" s="148" t="s">
        <v>4207</v>
      </c>
      <c r="G160" s="186" t="s">
        <v>1496</v>
      </c>
      <c r="H160" s="186" t="s">
        <v>1500</v>
      </c>
      <c r="I160" s="187"/>
      <c r="J160" s="137"/>
      <c r="K160" s="152" t="s">
        <v>1188</v>
      </c>
      <c r="L160" s="189">
        <f t="shared" si="6"/>
        <v>4</v>
      </c>
      <c r="M160" s="140">
        <f t="shared" si="7"/>
        <v>1</v>
      </c>
      <c r="N160" s="141">
        <f t="shared" si="8"/>
        <v>4</v>
      </c>
      <c r="O160" s="140" t="s">
        <v>1156</v>
      </c>
      <c r="P160" s="183" t="s">
        <v>1294</v>
      </c>
      <c r="Q160" s="184"/>
    </row>
    <row r="161" spans="2:17" s="144" customFormat="1" ht="19.5" customHeight="1">
      <c r="B161" s="144" t="s">
        <v>1288</v>
      </c>
      <c r="C161" s="147">
        <v>156</v>
      </c>
      <c r="D161" s="185" t="s">
        <v>1289</v>
      </c>
      <c r="E161" s="186" t="s">
        <v>1413</v>
      </c>
      <c r="F161" s="148" t="s">
        <v>4208</v>
      </c>
      <c r="G161" s="186" t="s">
        <v>1496</v>
      </c>
      <c r="H161" s="186" t="s">
        <v>1501</v>
      </c>
      <c r="I161" s="187"/>
      <c r="J161" s="137"/>
      <c r="K161" s="138" t="s">
        <v>1487</v>
      </c>
      <c r="L161" s="189">
        <f t="shared" si="6"/>
        <v>5.4</v>
      </c>
      <c r="M161" s="140">
        <f t="shared" si="7"/>
        <v>1</v>
      </c>
      <c r="N161" s="141">
        <f t="shared" si="8"/>
        <v>5.4</v>
      </c>
      <c r="O161" s="140" t="s">
        <v>1156</v>
      </c>
      <c r="P161" s="183" t="s">
        <v>1294</v>
      </c>
      <c r="Q161" s="184"/>
    </row>
    <row r="162" spans="2:17" s="144" customFormat="1" ht="27">
      <c r="B162" s="144" t="s">
        <v>1288</v>
      </c>
      <c r="C162" s="147">
        <v>157</v>
      </c>
      <c r="D162" s="185" t="s">
        <v>1289</v>
      </c>
      <c r="E162" s="186" t="s">
        <v>1413</v>
      </c>
      <c r="F162" s="148" t="s">
        <v>4209</v>
      </c>
      <c r="G162" s="186" t="s">
        <v>1496</v>
      </c>
      <c r="H162" s="186" t="s">
        <v>1502</v>
      </c>
      <c r="I162" s="187"/>
      <c r="J162" s="137"/>
      <c r="K162" s="138" t="s">
        <v>1487</v>
      </c>
      <c r="L162" s="189">
        <f t="shared" si="6"/>
        <v>5.4</v>
      </c>
      <c r="M162" s="140">
        <f t="shared" si="7"/>
        <v>1</v>
      </c>
      <c r="N162" s="141">
        <f t="shared" si="8"/>
        <v>5.4</v>
      </c>
      <c r="O162" s="140" t="s">
        <v>1156</v>
      </c>
      <c r="P162" s="183" t="s">
        <v>1294</v>
      </c>
      <c r="Q162" s="184"/>
    </row>
    <row r="163" spans="2:17" s="144" customFormat="1" ht="19.5" customHeight="1">
      <c r="B163" s="144" t="s">
        <v>1288</v>
      </c>
      <c r="C163" s="147">
        <v>158</v>
      </c>
      <c r="D163" s="185" t="s">
        <v>1289</v>
      </c>
      <c r="E163" s="186" t="s">
        <v>1413</v>
      </c>
      <c r="F163" s="148" t="s">
        <v>4210</v>
      </c>
      <c r="G163" s="186" t="s">
        <v>1496</v>
      </c>
      <c r="H163" s="186" t="s">
        <v>1503</v>
      </c>
      <c r="I163" s="187"/>
      <c r="J163" s="137"/>
      <c r="K163" s="138" t="s">
        <v>1487</v>
      </c>
      <c r="L163" s="189">
        <f t="shared" si="6"/>
        <v>5.4</v>
      </c>
      <c r="M163" s="140">
        <f t="shared" si="7"/>
        <v>1</v>
      </c>
      <c r="N163" s="141">
        <f t="shared" si="8"/>
        <v>5.4</v>
      </c>
      <c r="O163" s="140" t="s">
        <v>1156</v>
      </c>
      <c r="P163" s="183" t="s">
        <v>1294</v>
      </c>
      <c r="Q163" s="184"/>
    </row>
    <row r="164" spans="2:17" s="144" customFormat="1" ht="19.5" customHeight="1">
      <c r="B164" s="144" t="s">
        <v>1288</v>
      </c>
      <c r="C164" s="147">
        <v>159</v>
      </c>
      <c r="D164" s="185" t="s">
        <v>1289</v>
      </c>
      <c r="E164" s="186" t="s">
        <v>1413</v>
      </c>
      <c r="F164" s="148" t="s">
        <v>4211</v>
      </c>
      <c r="G164" s="186" t="s">
        <v>1496</v>
      </c>
      <c r="H164" s="186" t="s">
        <v>1504</v>
      </c>
      <c r="I164" s="187"/>
      <c r="J164" s="137"/>
      <c r="K164" s="138" t="s">
        <v>1487</v>
      </c>
      <c r="L164" s="189">
        <f t="shared" si="6"/>
        <v>5.4</v>
      </c>
      <c r="M164" s="140">
        <f t="shared" si="7"/>
        <v>1</v>
      </c>
      <c r="N164" s="141">
        <f t="shared" si="8"/>
        <v>5.4</v>
      </c>
      <c r="O164" s="140" t="s">
        <v>1156</v>
      </c>
      <c r="P164" s="183" t="s">
        <v>1294</v>
      </c>
      <c r="Q164" s="184"/>
    </row>
    <row r="165" spans="2:17" s="144" customFormat="1" ht="19.5" customHeight="1">
      <c r="B165" s="144" t="s">
        <v>1288</v>
      </c>
      <c r="C165" s="147">
        <v>160</v>
      </c>
      <c r="D165" s="185" t="s">
        <v>1289</v>
      </c>
      <c r="E165" s="186" t="s">
        <v>1413</v>
      </c>
      <c r="F165" s="148" t="s">
        <v>4212</v>
      </c>
      <c r="G165" s="186" t="s">
        <v>1496</v>
      </c>
      <c r="H165" s="186" t="s">
        <v>1505</v>
      </c>
      <c r="I165" s="187"/>
      <c r="J165" s="137"/>
      <c r="K165" s="152" t="s">
        <v>1188</v>
      </c>
      <c r="L165" s="189">
        <f t="shared" si="6"/>
        <v>4</v>
      </c>
      <c r="M165" s="140">
        <f t="shared" si="7"/>
        <v>1</v>
      </c>
      <c r="N165" s="141">
        <f t="shared" si="8"/>
        <v>4</v>
      </c>
      <c r="O165" s="140" t="s">
        <v>1156</v>
      </c>
      <c r="P165" s="183" t="s">
        <v>1294</v>
      </c>
      <c r="Q165" s="184"/>
    </row>
    <row r="166" spans="2:17" s="144" customFormat="1" ht="40.5">
      <c r="B166" s="144" t="s">
        <v>1288</v>
      </c>
      <c r="C166" s="147">
        <v>161</v>
      </c>
      <c r="D166" s="185" t="s">
        <v>1289</v>
      </c>
      <c r="E166" s="186" t="s">
        <v>1413</v>
      </c>
      <c r="F166" s="148" t="s">
        <v>4213</v>
      </c>
      <c r="G166" s="186" t="s">
        <v>1496</v>
      </c>
      <c r="H166" s="186" t="s">
        <v>1506</v>
      </c>
      <c r="I166" s="187" t="s">
        <v>1507</v>
      </c>
      <c r="J166" s="137"/>
      <c r="K166" s="152" t="s">
        <v>1188</v>
      </c>
      <c r="L166" s="189">
        <f t="shared" si="6"/>
        <v>4</v>
      </c>
      <c r="M166" s="140">
        <f t="shared" si="7"/>
        <v>1</v>
      </c>
      <c r="N166" s="141">
        <f t="shared" si="8"/>
        <v>4</v>
      </c>
      <c r="O166" s="140" t="s">
        <v>1156</v>
      </c>
      <c r="P166" s="183" t="s">
        <v>1294</v>
      </c>
      <c r="Q166" s="184"/>
    </row>
    <row r="167" spans="2:17" s="144" customFormat="1" ht="19.5" customHeight="1">
      <c r="B167" s="144" t="s">
        <v>1288</v>
      </c>
      <c r="C167" s="133">
        <v>162</v>
      </c>
      <c r="D167" s="180" t="s">
        <v>1289</v>
      </c>
      <c r="E167" s="181" t="s">
        <v>1413</v>
      </c>
      <c r="F167" s="135" t="s">
        <v>4214</v>
      </c>
      <c r="G167" s="181" t="s">
        <v>1496</v>
      </c>
      <c r="H167" s="145" t="s">
        <v>1508</v>
      </c>
      <c r="I167" s="193"/>
      <c r="J167" s="137"/>
      <c r="K167" s="146" t="s">
        <v>1170</v>
      </c>
      <c r="L167" s="189">
        <f t="shared" si="6"/>
        <v>5.2</v>
      </c>
      <c r="M167" s="140">
        <f t="shared" si="7"/>
        <v>1</v>
      </c>
      <c r="N167" s="141">
        <f t="shared" si="8"/>
        <v>5.2</v>
      </c>
      <c r="O167" s="140" t="s">
        <v>1156</v>
      </c>
      <c r="P167" s="183" t="s">
        <v>1294</v>
      </c>
      <c r="Q167" s="184"/>
    </row>
    <row r="168" spans="2:17" s="144" customFormat="1" ht="19.5" customHeight="1">
      <c r="B168" s="144" t="s">
        <v>1288</v>
      </c>
      <c r="C168" s="133">
        <v>163</v>
      </c>
      <c r="D168" s="180" t="s">
        <v>1289</v>
      </c>
      <c r="E168" s="181" t="s">
        <v>1509</v>
      </c>
      <c r="F168" s="135" t="s">
        <v>4215</v>
      </c>
      <c r="G168" s="145" t="s">
        <v>1510</v>
      </c>
      <c r="H168" s="145" t="s">
        <v>1511</v>
      </c>
      <c r="I168" s="193"/>
      <c r="J168" s="137"/>
      <c r="K168" s="191" t="s">
        <v>1416</v>
      </c>
      <c r="L168" s="189">
        <f t="shared" si="6"/>
        <v>5.4</v>
      </c>
      <c r="M168" s="140">
        <f t="shared" si="7"/>
        <v>1</v>
      </c>
      <c r="N168" s="141">
        <f t="shared" si="8"/>
        <v>5.4</v>
      </c>
      <c r="O168" s="140" t="s">
        <v>1156</v>
      </c>
      <c r="P168" s="183" t="s">
        <v>1294</v>
      </c>
      <c r="Q168" s="184"/>
    </row>
    <row r="169" spans="2:17" s="144" customFormat="1" ht="19.5" customHeight="1">
      <c r="B169" s="144" t="s">
        <v>1288</v>
      </c>
      <c r="C169" s="133">
        <v>164</v>
      </c>
      <c r="D169" s="180" t="s">
        <v>1289</v>
      </c>
      <c r="E169" s="181" t="s">
        <v>1509</v>
      </c>
      <c r="F169" s="135" t="s">
        <v>4216</v>
      </c>
      <c r="G169" s="145" t="s">
        <v>1510</v>
      </c>
      <c r="H169" s="145" t="s">
        <v>1512</v>
      </c>
      <c r="I169" s="193"/>
      <c r="J169" s="137"/>
      <c r="K169" s="191" t="s">
        <v>1416</v>
      </c>
      <c r="L169" s="189">
        <f t="shared" si="6"/>
        <v>5.4</v>
      </c>
      <c r="M169" s="140">
        <f t="shared" si="7"/>
        <v>1</v>
      </c>
      <c r="N169" s="141">
        <f t="shared" si="8"/>
        <v>5.4</v>
      </c>
      <c r="O169" s="140" t="s">
        <v>1156</v>
      </c>
      <c r="P169" s="183" t="s">
        <v>1294</v>
      </c>
      <c r="Q169" s="184"/>
    </row>
    <row r="170" spans="2:17" s="144" customFormat="1" ht="27">
      <c r="B170" s="144" t="s">
        <v>1288</v>
      </c>
      <c r="C170" s="133">
        <v>165</v>
      </c>
      <c r="D170" s="180" t="s">
        <v>1289</v>
      </c>
      <c r="E170" s="181" t="s">
        <v>1509</v>
      </c>
      <c r="F170" s="135" t="s">
        <v>4217</v>
      </c>
      <c r="G170" s="145" t="s">
        <v>1510</v>
      </c>
      <c r="H170" s="145" t="s">
        <v>1513</v>
      </c>
      <c r="I170" s="182" t="s">
        <v>1514</v>
      </c>
      <c r="J170" s="137"/>
      <c r="K170" s="191" t="s">
        <v>1416</v>
      </c>
      <c r="L170" s="189">
        <f t="shared" si="6"/>
        <v>5.4</v>
      </c>
      <c r="M170" s="140">
        <f t="shared" si="7"/>
        <v>1</v>
      </c>
      <c r="N170" s="141">
        <f t="shared" si="8"/>
        <v>5.4</v>
      </c>
      <c r="O170" s="140" t="s">
        <v>1156</v>
      </c>
      <c r="P170" s="183" t="s">
        <v>1294</v>
      </c>
      <c r="Q170" s="184"/>
    </row>
    <row r="171" spans="2:17" s="144" customFormat="1" ht="19.5" customHeight="1">
      <c r="B171" s="144" t="s">
        <v>1288</v>
      </c>
      <c r="C171" s="133">
        <v>166</v>
      </c>
      <c r="D171" s="180" t="s">
        <v>1289</v>
      </c>
      <c r="E171" s="181" t="s">
        <v>1509</v>
      </c>
      <c r="F171" s="135" t="s">
        <v>4218</v>
      </c>
      <c r="G171" s="145" t="s">
        <v>1510</v>
      </c>
      <c r="H171" s="145" t="s">
        <v>1515</v>
      </c>
      <c r="I171" s="193"/>
      <c r="J171" s="137"/>
      <c r="K171" s="191" t="s">
        <v>1416</v>
      </c>
      <c r="L171" s="189">
        <f t="shared" si="6"/>
        <v>5.4</v>
      </c>
      <c r="M171" s="140">
        <f t="shared" si="7"/>
        <v>1</v>
      </c>
      <c r="N171" s="141">
        <f t="shared" si="8"/>
        <v>5.4</v>
      </c>
      <c r="O171" s="140" t="s">
        <v>1156</v>
      </c>
      <c r="P171" s="183" t="s">
        <v>1294</v>
      </c>
      <c r="Q171" s="184"/>
    </row>
    <row r="172" spans="2:17" s="144" customFormat="1" ht="19.5" customHeight="1">
      <c r="B172" s="144" t="s">
        <v>1288</v>
      </c>
      <c r="C172" s="133">
        <v>167</v>
      </c>
      <c r="D172" s="180" t="s">
        <v>1289</v>
      </c>
      <c r="E172" s="181" t="s">
        <v>1509</v>
      </c>
      <c r="F172" s="135" t="s">
        <v>4219</v>
      </c>
      <c r="G172" s="145" t="s">
        <v>1510</v>
      </c>
      <c r="H172" s="145" t="s">
        <v>1516</v>
      </c>
      <c r="I172" s="193"/>
      <c r="J172" s="137"/>
      <c r="K172" s="191" t="s">
        <v>1416</v>
      </c>
      <c r="L172" s="189">
        <f t="shared" si="6"/>
        <v>5.4</v>
      </c>
      <c r="M172" s="140">
        <f t="shared" si="7"/>
        <v>1</v>
      </c>
      <c r="N172" s="141">
        <f t="shared" si="8"/>
        <v>5.4</v>
      </c>
      <c r="O172" s="140" t="s">
        <v>1156</v>
      </c>
      <c r="P172" s="183" t="s">
        <v>1294</v>
      </c>
      <c r="Q172" s="184"/>
    </row>
    <row r="173" spans="2:17" s="144" customFormat="1" ht="19.5" customHeight="1">
      <c r="B173" s="144" t="s">
        <v>1288</v>
      </c>
      <c r="C173" s="133">
        <v>168</v>
      </c>
      <c r="D173" s="180" t="s">
        <v>1289</v>
      </c>
      <c r="E173" s="181" t="s">
        <v>1509</v>
      </c>
      <c r="F173" s="135" t="s">
        <v>4220</v>
      </c>
      <c r="G173" s="145" t="s">
        <v>1510</v>
      </c>
      <c r="H173" s="145" t="s">
        <v>1517</v>
      </c>
      <c r="I173" s="193"/>
      <c r="J173" s="137"/>
      <c r="K173" s="191" t="s">
        <v>1416</v>
      </c>
      <c r="L173" s="189">
        <f t="shared" si="6"/>
        <v>5.4</v>
      </c>
      <c r="M173" s="140">
        <f t="shared" si="7"/>
        <v>1</v>
      </c>
      <c r="N173" s="141">
        <f t="shared" si="8"/>
        <v>5.4</v>
      </c>
      <c r="O173" s="140" t="s">
        <v>1156</v>
      </c>
      <c r="P173" s="183" t="s">
        <v>1294</v>
      </c>
      <c r="Q173" s="184"/>
    </row>
    <row r="174" spans="2:17" s="144" customFormat="1" ht="19.5" customHeight="1">
      <c r="B174" s="144" t="s">
        <v>1288</v>
      </c>
      <c r="C174" s="133">
        <v>169</v>
      </c>
      <c r="D174" s="180" t="s">
        <v>1289</v>
      </c>
      <c r="E174" s="181" t="s">
        <v>1509</v>
      </c>
      <c r="F174" s="135" t="s">
        <v>4221</v>
      </c>
      <c r="G174" s="145" t="s">
        <v>1510</v>
      </c>
      <c r="H174" s="145" t="s">
        <v>1518</v>
      </c>
      <c r="I174" s="193"/>
      <c r="J174" s="137"/>
      <c r="K174" s="191" t="s">
        <v>1416</v>
      </c>
      <c r="L174" s="189">
        <f t="shared" si="6"/>
        <v>5.4</v>
      </c>
      <c r="M174" s="140">
        <f t="shared" si="7"/>
        <v>1</v>
      </c>
      <c r="N174" s="141">
        <f t="shared" si="8"/>
        <v>5.4</v>
      </c>
      <c r="O174" s="140" t="s">
        <v>1156</v>
      </c>
      <c r="P174" s="183" t="s">
        <v>1294</v>
      </c>
      <c r="Q174" s="184"/>
    </row>
    <row r="175" spans="2:17" s="144" customFormat="1" ht="19.5" customHeight="1">
      <c r="B175" s="144" t="s">
        <v>1288</v>
      </c>
      <c r="C175" s="147">
        <v>170</v>
      </c>
      <c r="D175" s="185" t="s">
        <v>1289</v>
      </c>
      <c r="E175" s="186" t="s">
        <v>1509</v>
      </c>
      <c r="F175" s="148" t="s">
        <v>4222</v>
      </c>
      <c r="G175" s="189" t="s">
        <v>1510</v>
      </c>
      <c r="H175" s="189" t="s">
        <v>1519</v>
      </c>
      <c r="I175" s="151" t="s">
        <v>1520</v>
      </c>
      <c r="J175" s="137"/>
      <c r="K175" s="191" t="s">
        <v>1416</v>
      </c>
      <c r="L175" s="189">
        <f t="shared" si="6"/>
        <v>5.4</v>
      </c>
      <c r="M175" s="140">
        <f t="shared" si="7"/>
        <v>1</v>
      </c>
      <c r="N175" s="141">
        <f t="shared" si="8"/>
        <v>5.4</v>
      </c>
      <c r="O175" s="140" t="s">
        <v>1156</v>
      </c>
      <c r="P175" s="183" t="s">
        <v>1294</v>
      </c>
      <c r="Q175" s="184"/>
    </row>
    <row r="176" spans="2:17" s="144" customFormat="1" ht="19.5" customHeight="1">
      <c r="B176" s="144" t="s">
        <v>1288</v>
      </c>
      <c r="C176" s="147">
        <v>171</v>
      </c>
      <c r="D176" s="185" t="s">
        <v>1289</v>
      </c>
      <c r="E176" s="186" t="s">
        <v>1509</v>
      </c>
      <c r="F176" s="148" t="s">
        <v>4223</v>
      </c>
      <c r="G176" s="189" t="s">
        <v>1510</v>
      </c>
      <c r="H176" s="189" t="s">
        <v>1521</v>
      </c>
      <c r="I176" s="151"/>
      <c r="J176" s="137"/>
      <c r="K176" s="191" t="s">
        <v>1416</v>
      </c>
      <c r="L176" s="189">
        <f t="shared" si="6"/>
        <v>5.4</v>
      </c>
      <c r="M176" s="140">
        <f t="shared" si="7"/>
        <v>1</v>
      </c>
      <c r="N176" s="141">
        <f t="shared" si="8"/>
        <v>5.4</v>
      </c>
      <c r="O176" s="140" t="s">
        <v>1156</v>
      </c>
      <c r="P176" s="183" t="s">
        <v>1294</v>
      </c>
      <c r="Q176" s="184"/>
    </row>
    <row r="177" spans="2:17" s="144" customFormat="1" ht="19.5" customHeight="1">
      <c r="B177" s="144" t="s">
        <v>1288</v>
      </c>
      <c r="C177" s="147">
        <v>172</v>
      </c>
      <c r="D177" s="185" t="s">
        <v>1289</v>
      </c>
      <c r="E177" s="186" t="s">
        <v>1509</v>
      </c>
      <c r="F177" s="148" t="s">
        <v>4224</v>
      </c>
      <c r="G177" s="189" t="s">
        <v>1522</v>
      </c>
      <c r="H177" s="189" t="s">
        <v>1523</v>
      </c>
      <c r="I177" s="151"/>
      <c r="J177" s="137"/>
      <c r="K177" s="191" t="s">
        <v>1416</v>
      </c>
      <c r="L177" s="189">
        <f t="shared" si="6"/>
        <v>5.4</v>
      </c>
      <c r="M177" s="140">
        <f t="shared" si="7"/>
        <v>1</v>
      </c>
      <c r="N177" s="141">
        <f t="shared" si="8"/>
        <v>5.4</v>
      </c>
      <c r="O177" s="140" t="s">
        <v>1156</v>
      </c>
      <c r="P177" s="183" t="s">
        <v>1294</v>
      </c>
      <c r="Q177" s="184"/>
    </row>
    <row r="178" spans="2:17" s="144" customFormat="1" ht="19.5" customHeight="1">
      <c r="B178" s="144" t="s">
        <v>1288</v>
      </c>
      <c r="C178" s="147">
        <v>173</v>
      </c>
      <c r="D178" s="185" t="s">
        <v>1289</v>
      </c>
      <c r="E178" s="186" t="s">
        <v>1509</v>
      </c>
      <c r="F178" s="148" t="s">
        <v>4225</v>
      </c>
      <c r="G178" s="189" t="s">
        <v>1522</v>
      </c>
      <c r="H178" s="189" t="s">
        <v>1524</v>
      </c>
      <c r="I178" s="151"/>
      <c r="J178" s="137"/>
      <c r="K178" s="191" t="s">
        <v>1416</v>
      </c>
      <c r="L178" s="189">
        <f t="shared" si="6"/>
        <v>5.4</v>
      </c>
      <c r="M178" s="140">
        <f t="shared" si="7"/>
        <v>1</v>
      </c>
      <c r="N178" s="141">
        <f t="shared" si="8"/>
        <v>5.4</v>
      </c>
      <c r="O178" s="140" t="s">
        <v>1156</v>
      </c>
      <c r="P178" s="183" t="s">
        <v>1294</v>
      </c>
      <c r="Q178" s="184"/>
    </row>
    <row r="179" spans="2:17" s="144" customFormat="1" ht="19.5" customHeight="1">
      <c r="B179" s="144" t="s">
        <v>1288</v>
      </c>
      <c r="C179" s="147">
        <v>174</v>
      </c>
      <c r="D179" s="185" t="s">
        <v>1289</v>
      </c>
      <c r="E179" s="186" t="s">
        <v>1509</v>
      </c>
      <c r="F179" s="148" t="s">
        <v>4226</v>
      </c>
      <c r="G179" s="189" t="s">
        <v>1522</v>
      </c>
      <c r="H179" s="189" t="s">
        <v>1525</v>
      </c>
      <c r="I179" s="151" t="s">
        <v>1526</v>
      </c>
      <c r="J179" s="137"/>
      <c r="K179" s="191" t="s">
        <v>1416</v>
      </c>
      <c r="L179" s="189">
        <f t="shared" si="6"/>
        <v>5.4</v>
      </c>
      <c r="M179" s="140">
        <f t="shared" si="7"/>
        <v>1</v>
      </c>
      <c r="N179" s="141">
        <f t="shared" si="8"/>
        <v>5.4</v>
      </c>
      <c r="O179" s="140" t="s">
        <v>1156</v>
      </c>
      <c r="P179" s="183" t="s">
        <v>1294</v>
      </c>
      <c r="Q179" s="184"/>
    </row>
    <row r="180" spans="2:17" s="144" customFormat="1" ht="24.75">
      <c r="B180" s="144" t="s">
        <v>1288</v>
      </c>
      <c r="C180" s="133">
        <v>175</v>
      </c>
      <c r="D180" s="180" t="s">
        <v>1289</v>
      </c>
      <c r="E180" s="181" t="s">
        <v>1509</v>
      </c>
      <c r="F180" s="135" t="s">
        <v>4227</v>
      </c>
      <c r="G180" s="145" t="s">
        <v>1522</v>
      </c>
      <c r="H180" s="145" t="s">
        <v>1527</v>
      </c>
      <c r="I180" s="182" t="s">
        <v>1528</v>
      </c>
      <c r="J180" s="137"/>
      <c r="K180" s="191" t="s">
        <v>1416</v>
      </c>
      <c r="L180" s="189">
        <f t="shared" si="6"/>
        <v>5.4</v>
      </c>
      <c r="M180" s="140">
        <f t="shared" si="7"/>
        <v>1</v>
      </c>
      <c r="N180" s="141">
        <f t="shared" si="8"/>
        <v>5.4</v>
      </c>
      <c r="O180" s="140" t="s">
        <v>1156</v>
      </c>
      <c r="P180" s="183" t="s">
        <v>1294</v>
      </c>
      <c r="Q180" s="184"/>
    </row>
    <row r="181" spans="2:17" s="144" customFormat="1" ht="19.5" customHeight="1">
      <c r="C181" s="133">
        <v>176</v>
      </c>
      <c r="D181" s="180" t="s">
        <v>1289</v>
      </c>
      <c r="E181" s="154" t="s">
        <v>1529</v>
      </c>
      <c r="F181" s="135" t="s">
        <v>4228</v>
      </c>
      <c r="G181" s="135" t="s">
        <v>1530</v>
      </c>
      <c r="H181" s="154" t="s">
        <v>1531</v>
      </c>
      <c r="I181" s="194"/>
      <c r="J181" s="137"/>
      <c r="K181" s="138" t="s">
        <v>1155</v>
      </c>
      <c r="L181" s="189">
        <f t="shared" si="6"/>
        <v>7.5</v>
      </c>
      <c r="M181" s="140">
        <f t="shared" si="7"/>
        <v>1</v>
      </c>
      <c r="N181" s="141">
        <f t="shared" si="8"/>
        <v>7.5</v>
      </c>
      <c r="O181" s="140" t="s">
        <v>1156</v>
      </c>
      <c r="P181" s="195" t="s">
        <v>1532</v>
      </c>
      <c r="Q181" s="196"/>
    </row>
    <row r="182" spans="2:17" s="144" customFormat="1" ht="19.5" customHeight="1">
      <c r="C182" s="133">
        <v>177</v>
      </c>
      <c r="D182" s="180" t="s">
        <v>1289</v>
      </c>
      <c r="E182" s="154" t="s">
        <v>1529</v>
      </c>
      <c r="F182" s="135" t="s">
        <v>4229</v>
      </c>
      <c r="G182" s="135" t="s">
        <v>1530</v>
      </c>
      <c r="H182" s="154" t="s">
        <v>1533</v>
      </c>
      <c r="I182" s="194"/>
      <c r="J182" s="137"/>
      <c r="K182" s="138" t="s">
        <v>1155</v>
      </c>
      <c r="L182" s="189">
        <f t="shared" si="6"/>
        <v>7.5</v>
      </c>
      <c r="M182" s="140">
        <f t="shared" si="7"/>
        <v>1</v>
      </c>
      <c r="N182" s="141">
        <f t="shared" si="8"/>
        <v>7.5</v>
      </c>
      <c r="O182" s="140" t="s">
        <v>1156</v>
      </c>
      <c r="P182" s="195" t="s">
        <v>1532</v>
      </c>
      <c r="Q182" s="196"/>
    </row>
    <row r="183" spans="2:17" s="144" customFormat="1" ht="19.5" customHeight="1">
      <c r="C183" s="133">
        <v>178</v>
      </c>
      <c r="D183" s="180" t="s">
        <v>1289</v>
      </c>
      <c r="E183" s="154" t="s">
        <v>1529</v>
      </c>
      <c r="F183" s="135" t="s">
        <v>4230</v>
      </c>
      <c r="G183" s="135" t="s">
        <v>1530</v>
      </c>
      <c r="H183" s="154" t="s">
        <v>1534</v>
      </c>
      <c r="I183" s="194"/>
      <c r="J183" s="137"/>
      <c r="K183" s="138" t="s">
        <v>1155</v>
      </c>
      <c r="L183" s="189">
        <f t="shared" si="6"/>
        <v>7.5</v>
      </c>
      <c r="M183" s="140">
        <f t="shared" si="7"/>
        <v>1</v>
      </c>
      <c r="N183" s="141">
        <f t="shared" si="8"/>
        <v>7.5</v>
      </c>
      <c r="O183" s="140" t="s">
        <v>1156</v>
      </c>
      <c r="P183" s="195" t="s">
        <v>1532</v>
      </c>
      <c r="Q183" s="196"/>
    </row>
    <row r="184" spans="2:17" s="144" customFormat="1" ht="19.5" customHeight="1">
      <c r="C184" s="133">
        <v>179</v>
      </c>
      <c r="D184" s="180" t="s">
        <v>1289</v>
      </c>
      <c r="E184" s="154" t="s">
        <v>1529</v>
      </c>
      <c r="F184" s="135" t="s">
        <v>4231</v>
      </c>
      <c r="G184" s="135" t="s">
        <v>1530</v>
      </c>
      <c r="H184" s="154" t="s">
        <v>1535</v>
      </c>
      <c r="I184" s="194"/>
      <c r="J184" s="137"/>
      <c r="K184" s="138" t="s">
        <v>1487</v>
      </c>
      <c r="L184" s="189">
        <f t="shared" si="6"/>
        <v>5.4</v>
      </c>
      <c r="M184" s="140">
        <f t="shared" si="7"/>
        <v>1</v>
      </c>
      <c r="N184" s="141">
        <f t="shared" si="8"/>
        <v>5.4</v>
      </c>
      <c r="O184" s="140" t="s">
        <v>1156</v>
      </c>
      <c r="P184" s="195" t="s">
        <v>1532</v>
      </c>
      <c r="Q184" s="196"/>
    </row>
    <row r="185" spans="2:17" s="144" customFormat="1" ht="19.5" customHeight="1">
      <c r="C185" s="133">
        <v>180</v>
      </c>
      <c r="D185" s="180" t="s">
        <v>1289</v>
      </c>
      <c r="E185" s="154" t="s">
        <v>1529</v>
      </c>
      <c r="F185" s="135" t="s">
        <v>4232</v>
      </c>
      <c r="G185" s="135" t="s">
        <v>1530</v>
      </c>
      <c r="H185" s="154" t="s">
        <v>1536</v>
      </c>
      <c r="I185" s="194"/>
      <c r="J185" s="137"/>
      <c r="K185" s="138" t="s">
        <v>1487</v>
      </c>
      <c r="L185" s="189">
        <f t="shared" si="6"/>
        <v>5.4</v>
      </c>
      <c r="M185" s="140">
        <f t="shared" si="7"/>
        <v>1</v>
      </c>
      <c r="N185" s="141">
        <f t="shared" si="8"/>
        <v>5.4</v>
      </c>
      <c r="O185" s="140" t="s">
        <v>1156</v>
      </c>
      <c r="P185" s="195" t="s">
        <v>1532</v>
      </c>
      <c r="Q185" s="196"/>
    </row>
    <row r="186" spans="2:17" s="144" customFormat="1" ht="19.5" customHeight="1">
      <c r="C186" s="133">
        <v>181</v>
      </c>
      <c r="D186" s="180" t="s">
        <v>1289</v>
      </c>
      <c r="E186" s="154" t="s">
        <v>1529</v>
      </c>
      <c r="F186" s="135" t="s">
        <v>4233</v>
      </c>
      <c r="G186" s="135" t="s">
        <v>1537</v>
      </c>
      <c r="H186" s="154" t="s">
        <v>1538</v>
      </c>
      <c r="I186" s="194"/>
      <c r="J186" s="137"/>
      <c r="K186" s="138" t="s">
        <v>1155</v>
      </c>
      <c r="L186" s="189">
        <f t="shared" si="6"/>
        <v>7.5</v>
      </c>
      <c r="M186" s="140">
        <f t="shared" si="7"/>
        <v>1</v>
      </c>
      <c r="N186" s="141">
        <f t="shared" si="8"/>
        <v>7.5</v>
      </c>
      <c r="O186" s="140" t="s">
        <v>1156</v>
      </c>
      <c r="P186" s="195" t="s">
        <v>1532</v>
      </c>
      <c r="Q186" s="196"/>
    </row>
    <row r="187" spans="2:17" s="144" customFormat="1" ht="19.149999999999999" customHeight="1">
      <c r="C187" s="133">
        <v>182</v>
      </c>
      <c r="D187" s="180" t="s">
        <v>1289</v>
      </c>
      <c r="E187" s="154" t="s">
        <v>1529</v>
      </c>
      <c r="F187" s="135" t="s">
        <v>4234</v>
      </c>
      <c r="G187" s="135" t="s">
        <v>1537</v>
      </c>
      <c r="H187" s="154" t="s">
        <v>1539</v>
      </c>
      <c r="I187" s="194"/>
      <c r="J187" s="137"/>
      <c r="K187" s="138" t="s">
        <v>1155</v>
      </c>
      <c r="L187" s="189">
        <f t="shared" si="6"/>
        <v>7.5</v>
      </c>
      <c r="M187" s="140">
        <f t="shared" si="7"/>
        <v>1</v>
      </c>
      <c r="N187" s="141">
        <f t="shared" si="8"/>
        <v>7.5</v>
      </c>
      <c r="O187" s="140" t="s">
        <v>1156</v>
      </c>
      <c r="P187" s="195" t="s">
        <v>1532</v>
      </c>
      <c r="Q187" s="196"/>
    </row>
    <row r="188" spans="2:17" s="144" customFormat="1" ht="19.5" customHeight="1">
      <c r="C188" s="133">
        <v>183</v>
      </c>
      <c r="D188" s="180" t="s">
        <v>1289</v>
      </c>
      <c r="E188" s="154" t="s">
        <v>1529</v>
      </c>
      <c r="F188" s="135" t="s">
        <v>4235</v>
      </c>
      <c r="G188" s="135" t="s">
        <v>1537</v>
      </c>
      <c r="H188" s="154" t="s">
        <v>1540</v>
      </c>
      <c r="I188" s="194"/>
      <c r="J188" s="137"/>
      <c r="K188" s="138" t="s">
        <v>1155</v>
      </c>
      <c r="L188" s="189">
        <f t="shared" si="6"/>
        <v>7.5</v>
      </c>
      <c r="M188" s="140">
        <f t="shared" si="7"/>
        <v>1</v>
      </c>
      <c r="N188" s="141">
        <f t="shared" si="8"/>
        <v>7.5</v>
      </c>
      <c r="O188" s="140" t="s">
        <v>1156</v>
      </c>
      <c r="P188" s="195" t="s">
        <v>1532</v>
      </c>
      <c r="Q188" s="196"/>
    </row>
    <row r="189" spans="2:17" s="144" customFormat="1" ht="19.5" customHeight="1">
      <c r="C189" s="133">
        <v>184</v>
      </c>
      <c r="D189" s="180" t="s">
        <v>1289</v>
      </c>
      <c r="E189" s="154" t="s">
        <v>1529</v>
      </c>
      <c r="F189" s="135" t="s">
        <v>4236</v>
      </c>
      <c r="G189" s="135" t="s">
        <v>1537</v>
      </c>
      <c r="H189" s="154" t="s">
        <v>1541</v>
      </c>
      <c r="I189" s="194"/>
      <c r="J189" s="137"/>
      <c r="K189" s="138" t="s">
        <v>1155</v>
      </c>
      <c r="L189" s="189">
        <f t="shared" si="6"/>
        <v>7.5</v>
      </c>
      <c r="M189" s="140">
        <f t="shared" si="7"/>
        <v>1</v>
      </c>
      <c r="N189" s="141">
        <f t="shared" si="8"/>
        <v>7.5</v>
      </c>
      <c r="O189" s="140" t="s">
        <v>1156</v>
      </c>
      <c r="P189" s="195" t="s">
        <v>1532</v>
      </c>
      <c r="Q189" s="196"/>
    </row>
    <row r="190" spans="2:17" s="144" customFormat="1" ht="19.5" customHeight="1">
      <c r="C190" s="133">
        <v>185</v>
      </c>
      <c r="D190" s="180" t="s">
        <v>1289</v>
      </c>
      <c r="E190" s="154" t="s">
        <v>1529</v>
      </c>
      <c r="F190" s="135" t="s">
        <v>4237</v>
      </c>
      <c r="G190" s="135" t="s">
        <v>1537</v>
      </c>
      <c r="H190" s="154" t="s">
        <v>1542</v>
      </c>
      <c r="I190" s="194"/>
      <c r="J190" s="137"/>
      <c r="K190" s="191" t="s">
        <v>1416</v>
      </c>
      <c r="L190" s="189">
        <f t="shared" si="6"/>
        <v>5.4</v>
      </c>
      <c r="M190" s="140">
        <f t="shared" si="7"/>
        <v>1</v>
      </c>
      <c r="N190" s="141">
        <f t="shared" si="8"/>
        <v>5.4</v>
      </c>
      <c r="O190" s="140" t="s">
        <v>1156</v>
      </c>
      <c r="P190" s="195" t="s">
        <v>1532</v>
      </c>
      <c r="Q190" s="196"/>
    </row>
    <row r="191" spans="2:17" s="144" customFormat="1" ht="19.5" customHeight="1">
      <c r="C191" s="133">
        <v>186</v>
      </c>
      <c r="D191" s="180" t="s">
        <v>1289</v>
      </c>
      <c r="E191" s="154" t="s">
        <v>1529</v>
      </c>
      <c r="F191" s="135" t="s">
        <v>4238</v>
      </c>
      <c r="G191" s="135" t="s">
        <v>1537</v>
      </c>
      <c r="H191" s="154" t="s">
        <v>1543</v>
      </c>
      <c r="I191" s="194"/>
      <c r="J191" s="137"/>
      <c r="K191" s="191" t="s">
        <v>1416</v>
      </c>
      <c r="L191" s="189">
        <f t="shared" si="6"/>
        <v>5.4</v>
      </c>
      <c r="M191" s="140">
        <f t="shared" si="7"/>
        <v>1</v>
      </c>
      <c r="N191" s="141">
        <f t="shared" si="8"/>
        <v>5.4</v>
      </c>
      <c r="O191" s="140" t="s">
        <v>1156</v>
      </c>
      <c r="P191" s="195" t="s">
        <v>1532</v>
      </c>
      <c r="Q191" s="196"/>
    </row>
    <row r="192" spans="2:17" s="144" customFormat="1" ht="19.5" customHeight="1">
      <c r="C192" s="133">
        <v>187</v>
      </c>
      <c r="D192" s="180" t="s">
        <v>1289</v>
      </c>
      <c r="E192" s="154" t="s">
        <v>1529</v>
      </c>
      <c r="F192" s="135" t="s">
        <v>4239</v>
      </c>
      <c r="G192" s="135" t="s">
        <v>1537</v>
      </c>
      <c r="H192" s="154" t="s">
        <v>1544</v>
      </c>
      <c r="I192" s="194"/>
      <c r="J192" s="137"/>
      <c r="K192" s="191" t="s">
        <v>1416</v>
      </c>
      <c r="L192" s="189">
        <f t="shared" si="6"/>
        <v>5.4</v>
      </c>
      <c r="M192" s="140">
        <f t="shared" si="7"/>
        <v>1</v>
      </c>
      <c r="N192" s="141">
        <f t="shared" si="8"/>
        <v>5.4</v>
      </c>
      <c r="O192" s="140" t="s">
        <v>1156</v>
      </c>
      <c r="P192" s="195" t="s">
        <v>1532</v>
      </c>
      <c r="Q192" s="196"/>
    </row>
    <row r="193" spans="2:17" s="144" customFormat="1" ht="19.5" customHeight="1">
      <c r="B193" s="144" t="s">
        <v>1288</v>
      </c>
      <c r="C193" s="133">
        <v>188</v>
      </c>
      <c r="D193" s="180" t="s">
        <v>1289</v>
      </c>
      <c r="E193" s="181" t="s">
        <v>1545</v>
      </c>
      <c r="F193" s="135" t="s">
        <v>4240</v>
      </c>
      <c r="G193" s="145" t="s">
        <v>1546</v>
      </c>
      <c r="H193" s="145" t="s">
        <v>1547</v>
      </c>
      <c r="I193" s="193"/>
      <c r="J193" s="137"/>
      <c r="K193" s="138" t="s">
        <v>1163</v>
      </c>
      <c r="L193" s="189">
        <f t="shared" si="6"/>
        <v>4</v>
      </c>
      <c r="M193" s="140">
        <f t="shared" si="7"/>
        <v>1</v>
      </c>
      <c r="N193" s="141">
        <f t="shared" si="8"/>
        <v>4</v>
      </c>
      <c r="O193" s="140" t="s">
        <v>1156</v>
      </c>
      <c r="P193" s="183" t="s">
        <v>1294</v>
      </c>
      <c r="Q193" s="184"/>
    </row>
    <row r="194" spans="2:17" s="144" customFormat="1" ht="33.4" customHeight="1">
      <c r="B194" s="144" t="s">
        <v>1288</v>
      </c>
      <c r="C194" s="133">
        <v>189</v>
      </c>
      <c r="D194" s="180" t="s">
        <v>1289</v>
      </c>
      <c r="E194" s="181" t="s">
        <v>1545</v>
      </c>
      <c r="F194" s="135" t="s">
        <v>4241</v>
      </c>
      <c r="G194" s="145" t="s">
        <v>1546</v>
      </c>
      <c r="H194" s="145" t="s">
        <v>1548</v>
      </c>
      <c r="I194" s="182" t="s">
        <v>1549</v>
      </c>
      <c r="J194" s="137"/>
      <c r="K194" s="138" t="s">
        <v>1163</v>
      </c>
      <c r="L194" s="189">
        <f t="shared" si="6"/>
        <v>4</v>
      </c>
      <c r="M194" s="140">
        <f t="shared" si="7"/>
        <v>1</v>
      </c>
      <c r="N194" s="141">
        <f t="shared" si="8"/>
        <v>4</v>
      </c>
      <c r="O194" s="140" t="s">
        <v>1156</v>
      </c>
      <c r="P194" s="183" t="s">
        <v>1294</v>
      </c>
      <c r="Q194" s="184"/>
    </row>
    <row r="195" spans="2:17" s="144" customFormat="1" ht="19.5" customHeight="1">
      <c r="B195" s="144" t="s">
        <v>1288</v>
      </c>
      <c r="C195" s="133">
        <v>190</v>
      </c>
      <c r="D195" s="180" t="s">
        <v>1289</v>
      </c>
      <c r="E195" s="181" t="s">
        <v>1545</v>
      </c>
      <c r="F195" s="135" t="s">
        <v>4242</v>
      </c>
      <c r="G195" s="145" t="s">
        <v>1546</v>
      </c>
      <c r="H195" s="145" t="s">
        <v>1550</v>
      </c>
      <c r="I195" s="193"/>
      <c r="J195" s="137"/>
      <c r="K195" s="138" t="s">
        <v>1170</v>
      </c>
      <c r="L195" s="189">
        <f t="shared" si="6"/>
        <v>5.2</v>
      </c>
      <c r="M195" s="140">
        <f t="shared" si="7"/>
        <v>1</v>
      </c>
      <c r="N195" s="141">
        <f t="shared" si="8"/>
        <v>5.2</v>
      </c>
      <c r="O195" s="140" t="s">
        <v>1156</v>
      </c>
      <c r="P195" s="183" t="s">
        <v>1294</v>
      </c>
      <c r="Q195" s="184"/>
    </row>
    <row r="196" spans="2:17" s="144" customFormat="1" ht="19.5" customHeight="1">
      <c r="B196" s="144" t="s">
        <v>1288</v>
      </c>
      <c r="C196" s="133">
        <v>191</v>
      </c>
      <c r="D196" s="180" t="s">
        <v>1289</v>
      </c>
      <c r="E196" s="181" t="s">
        <v>1545</v>
      </c>
      <c r="F196" s="135" t="s">
        <v>4243</v>
      </c>
      <c r="G196" s="145" t="s">
        <v>1546</v>
      </c>
      <c r="H196" s="145" t="s">
        <v>1551</v>
      </c>
      <c r="I196" s="193"/>
      <c r="J196" s="137"/>
      <c r="K196" s="138" t="s">
        <v>1170</v>
      </c>
      <c r="L196" s="189">
        <f t="shared" si="6"/>
        <v>5.2</v>
      </c>
      <c r="M196" s="140">
        <f t="shared" si="7"/>
        <v>1</v>
      </c>
      <c r="N196" s="141">
        <f t="shared" si="8"/>
        <v>5.2</v>
      </c>
      <c r="O196" s="140" t="s">
        <v>1156</v>
      </c>
      <c r="P196" s="183" t="s">
        <v>1294</v>
      </c>
      <c r="Q196" s="184"/>
    </row>
    <row r="197" spans="2:17" s="144" customFormat="1" ht="19.5" customHeight="1">
      <c r="B197" s="144" t="s">
        <v>1288</v>
      </c>
      <c r="C197" s="133">
        <v>192</v>
      </c>
      <c r="D197" s="180" t="s">
        <v>1289</v>
      </c>
      <c r="E197" s="181" t="s">
        <v>1545</v>
      </c>
      <c r="F197" s="135" t="s">
        <v>4244</v>
      </c>
      <c r="G197" s="145" t="s">
        <v>1546</v>
      </c>
      <c r="H197" s="145" t="s">
        <v>1552</v>
      </c>
      <c r="I197" s="193"/>
      <c r="J197" s="137"/>
      <c r="K197" s="138" t="s">
        <v>1170</v>
      </c>
      <c r="L197" s="189">
        <f t="shared" si="6"/>
        <v>5.2</v>
      </c>
      <c r="M197" s="140">
        <f t="shared" si="7"/>
        <v>1</v>
      </c>
      <c r="N197" s="141">
        <f t="shared" si="8"/>
        <v>5.2</v>
      </c>
      <c r="O197" s="140" t="s">
        <v>1156</v>
      </c>
      <c r="P197" s="183" t="s">
        <v>1294</v>
      </c>
      <c r="Q197" s="184"/>
    </row>
    <row r="198" spans="2:17" s="144" customFormat="1" ht="19.5" customHeight="1">
      <c r="B198" s="144" t="s">
        <v>1288</v>
      </c>
      <c r="C198" s="133">
        <v>193</v>
      </c>
      <c r="D198" s="180" t="s">
        <v>1289</v>
      </c>
      <c r="E198" s="181" t="s">
        <v>1545</v>
      </c>
      <c r="F198" s="135" t="s">
        <v>4245</v>
      </c>
      <c r="G198" s="145" t="s">
        <v>1546</v>
      </c>
      <c r="H198" s="145" t="s">
        <v>1553</v>
      </c>
      <c r="I198" s="193"/>
      <c r="J198" s="137"/>
      <c r="K198" s="138" t="s">
        <v>1170</v>
      </c>
      <c r="L198" s="189">
        <f t="shared" ref="L198:L256" si="9">IF(K198="","",IF(K198="EI",4,IF(K198="EO",5.2,IF(K198="EQ",3.9,IF(K198="ILF",7.5,IF(K198="EIF",5.4))))))</f>
        <v>5.2</v>
      </c>
      <c r="M198" s="140">
        <f t="shared" ref="M198:M256" si="10">IF(O198="","",IF(O198="신규",1,IF(O198="고도화",1.04,IF(O198="재사용",0.25))))</f>
        <v>1</v>
      </c>
      <c r="N198" s="141">
        <f t="shared" ref="N198:N256" si="11">L198*M198</f>
        <v>5.2</v>
      </c>
      <c r="O198" s="140" t="s">
        <v>1156</v>
      </c>
      <c r="P198" s="183" t="s">
        <v>1294</v>
      </c>
      <c r="Q198" s="184"/>
    </row>
    <row r="199" spans="2:17" s="144" customFormat="1" ht="19.5" customHeight="1">
      <c r="B199" s="144" t="s">
        <v>1288</v>
      </c>
      <c r="C199" s="133">
        <v>194</v>
      </c>
      <c r="D199" s="180" t="s">
        <v>1289</v>
      </c>
      <c r="E199" s="181" t="s">
        <v>1545</v>
      </c>
      <c r="F199" s="135" t="s">
        <v>4246</v>
      </c>
      <c r="G199" s="145" t="s">
        <v>1546</v>
      </c>
      <c r="H199" s="145" t="s">
        <v>1554</v>
      </c>
      <c r="I199" s="193"/>
      <c r="J199" s="137"/>
      <c r="K199" s="138" t="s">
        <v>1163</v>
      </c>
      <c r="L199" s="189">
        <f t="shared" si="9"/>
        <v>4</v>
      </c>
      <c r="M199" s="140">
        <f t="shared" si="10"/>
        <v>1</v>
      </c>
      <c r="N199" s="141">
        <f t="shared" si="11"/>
        <v>4</v>
      </c>
      <c r="O199" s="140" t="s">
        <v>1156</v>
      </c>
      <c r="P199" s="183" t="s">
        <v>1294</v>
      </c>
      <c r="Q199" s="184"/>
    </row>
    <row r="200" spans="2:17" s="144" customFormat="1" ht="54">
      <c r="B200" s="144" t="s">
        <v>1288</v>
      </c>
      <c r="C200" s="133">
        <v>195</v>
      </c>
      <c r="D200" s="180" t="s">
        <v>1289</v>
      </c>
      <c r="E200" s="181" t="s">
        <v>1545</v>
      </c>
      <c r="F200" s="135" t="s">
        <v>4247</v>
      </c>
      <c r="G200" s="145" t="s">
        <v>1546</v>
      </c>
      <c r="H200" s="145" t="s">
        <v>1555</v>
      </c>
      <c r="I200" s="182" t="s">
        <v>1556</v>
      </c>
      <c r="J200" s="137"/>
      <c r="K200" s="138" t="s">
        <v>1170</v>
      </c>
      <c r="L200" s="189">
        <f t="shared" si="9"/>
        <v>5.2</v>
      </c>
      <c r="M200" s="140">
        <f t="shared" si="10"/>
        <v>1</v>
      </c>
      <c r="N200" s="141">
        <f t="shared" si="11"/>
        <v>5.2</v>
      </c>
      <c r="O200" s="140" t="s">
        <v>1156</v>
      </c>
      <c r="P200" s="183" t="s">
        <v>1294</v>
      </c>
      <c r="Q200" s="184"/>
    </row>
    <row r="201" spans="2:17" s="144" customFormat="1" ht="19.5" customHeight="1">
      <c r="B201" s="144" t="s">
        <v>1288</v>
      </c>
      <c r="C201" s="133">
        <v>196</v>
      </c>
      <c r="D201" s="180" t="s">
        <v>1289</v>
      </c>
      <c r="E201" s="181" t="s">
        <v>1545</v>
      </c>
      <c r="F201" s="135" t="s">
        <v>4248</v>
      </c>
      <c r="G201" s="145" t="s">
        <v>1546</v>
      </c>
      <c r="H201" s="145" t="s">
        <v>1557</v>
      </c>
      <c r="I201" s="193"/>
      <c r="J201" s="137"/>
      <c r="K201" s="138" t="s">
        <v>1170</v>
      </c>
      <c r="L201" s="189">
        <f t="shared" si="9"/>
        <v>5.2</v>
      </c>
      <c r="M201" s="140">
        <f t="shared" si="10"/>
        <v>1</v>
      </c>
      <c r="N201" s="141">
        <f t="shared" si="11"/>
        <v>5.2</v>
      </c>
      <c r="O201" s="140" t="s">
        <v>1156</v>
      </c>
      <c r="P201" s="183" t="s">
        <v>1294</v>
      </c>
      <c r="Q201" s="184"/>
    </row>
    <row r="202" spans="2:17" s="144" customFormat="1" ht="19.5" customHeight="1">
      <c r="B202" s="144" t="s">
        <v>1288</v>
      </c>
      <c r="C202" s="133">
        <v>197</v>
      </c>
      <c r="D202" s="180" t="s">
        <v>1289</v>
      </c>
      <c r="E202" s="181" t="s">
        <v>1545</v>
      </c>
      <c r="F202" s="135" t="s">
        <v>4249</v>
      </c>
      <c r="G202" s="145" t="s">
        <v>1546</v>
      </c>
      <c r="H202" s="145" t="s">
        <v>1558</v>
      </c>
      <c r="I202" s="193"/>
      <c r="J202" s="137"/>
      <c r="K202" s="138" t="s">
        <v>1170</v>
      </c>
      <c r="L202" s="189">
        <f t="shared" si="9"/>
        <v>5.2</v>
      </c>
      <c r="M202" s="140">
        <f t="shared" si="10"/>
        <v>1</v>
      </c>
      <c r="N202" s="141">
        <f t="shared" si="11"/>
        <v>5.2</v>
      </c>
      <c r="O202" s="140" t="s">
        <v>1156</v>
      </c>
      <c r="P202" s="183" t="s">
        <v>1294</v>
      </c>
      <c r="Q202" s="184"/>
    </row>
    <row r="203" spans="2:17" s="144" customFormat="1" ht="19.5" customHeight="1">
      <c r="B203" s="144" t="s">
        <v>1288</v>
      </c>
      <c r="C203" s="133">
        <v>198</v>
      </c>
      <c r="D203" s="180" t="s">
        <v>1289</v>
      </c>
      <c r="E203" s="181" t="s">
        <v>1545</v>
      </c>
      <c r="F203" s="135" t="s">
        <v>4250</v>
      </c>
      <c r="G203" s="145" t="s">
        <v>1546</v>
      </c>
      <c r="H203" s="145" t="s">
        <v>1559</v>
      </c>
      <c r="I203" s="193"/>
      <c r="J203" s="137"/>
      <c r="K203" s="138" t="s">
        <v>1163</v>
      </c>
      <c r="L203" s="189">
        <f t="shared" si="9"/>
        <v>4</v>
      </c>
      <c r="M203" s="140">
        <f t="shared" si="10"/>
        <v>1</v>
      </c>
      <c r="N203" s="141">
        <f t="shared" si="11"/>
        <v>4</v>
      </c>
      <c r="O203" s="140" t="s">
        <v>1156</v>
      </c>
      <c r="P203" s="183" t="s">
        <v>1294</v>
      </c>
      <c r="Q203" s="184"/>
    </row>
    <row r="204" spans="2:17" s="144" customFormat="1" ht="19.5" customHeight="1">
      <c r="B204" s="144" t="s">
        <v>1288</v>
      </c>
      <c r="C204" s="133">
        <v>199</v>
      </c>
      <c r="D204" s="180" t="s">
        <v>1289</v>
      </c>
      <c r="E204" s="181" t="s">
        <v>1545</v>
      </c>
      <c r="F204" s="135" t="s">
        <v>4251</v>
      </c>
      <c r="G204" s="145" t="s">
        <v>1546</v>
      </c>
      <c r="H204" s="145" t="s">
        <v>1560</v>
      </c>
      <c r="I204" s="193"/>
      <c r="J204" s="137"/>
      <c r="K204" s="138" t="s">
        <v>1170</v>
      </c>
      <c r="L204" s="189">
        <f t="shared" si="9"/>
        <v>5.2</v>
      </c>
      <c r="M204" s="140">
        <f t="shared" si="10"/>
        <v>1</v>
      </c>
      <c r="N204" s="141">
        <f t="shared" si="11"/>
        <v>5.2</v>
      </c>
      <c r="O204" s="140" t="s">
        <v>1156</v>
      </c>
      <c r="P204" s="183" t="s">
        <v>1294</v>
      </c>
      <c r="Q204" s="184"/>
    </row>
    <row r="205" spans="2:17" s="144" customFormat="1" ht="19.5" customHeight="1">
      <c r="B205" s="144" t="s">
        <v>1288</v>
      </c>
      <c r="C205" s="133">
        <v>200</v>
      </c>
      <c r="D205" s="180" t="s">
        <v>1289</v>
      </c>
      <c r="E205" s="181" t="s">
        <v>1545</v>
      </c>
      <c r="F205" s="135" t="s">
        <v>4252</v>
      </c>
      <c r="G205" s="145" t="s">
        <v>1546</v>
      </c>
      <c r="H205" s="145" t="s">
        <v>1561</v>
      </c>
      <c r="I205" s="193"/>
      <c r="J205" s="137"/>
      <c r="K205" s="138" t="s">
        <v>1170</v>
      </c>
      <c r="L205" s="189">
        <f t="shared" si="9"/>
        <v>5.2</v>
      </c>
      <c r="M205" s="140">
        <f t="shared" si="10"/>
        <v>1</v>
      </c>
      <c r="N205" s="141">
        <f t="shared" si="11"/>
        <v>5.2</v>
      </c>
      <c r="O205" s="140" t="s">
        <v>1156</v>
      </c>
      <c r="P205" s="183" t="s">
        <v>1294</v>
      </c>
      <c r="Q205" s="184"/>
    </row>
    <row r="206" spans="2:17" s="144" customFormat="1" ht="19.5" customHeight="1">
      <c r="B206" s="144" t="s">
        <v>1288</v>
      </c>
      <c r="C206" s="133">
        <v>201</v>
      </c>
      <c r="D206" s="180" t="s">
        <v>1289</v>
      </c>
      <c r="E206" s="181" t="s">
        <v>1545</v>
      </c>
      <c r="F206" s="135" t="s">
        <v>4253</v>
      </c>
      <c r="G206" s="145" t="s">
        <v>1546</v>
      </c>
      <c r="H206" s="145" t="s">
        <v>1562</v>
      </c>
      <c r="I206" s="193"/>
      <c r="J206" s="137"/>
      <c r="K206" s="138" t="s">
        <v>1170</v>
      </c>
      <c r="L206" s="189">
        <f t="shared" si="9"/>
        <v>5.2</v>
      </c>
      <c r="M206" s="140">
        <f t="shared" si="10"/>
        <v>1</v>
      </c>
      <c r="N206" s="141">
        <f t="shared" si="11"/>
        <v>5.2</v>
      </c>
      <c r="O206" s="140" t="s">
        <v>1156</v>
      </c>
      <c r="P206" s="183" t="s">
        <v>1294</v>
      </c>
      <c r="Q206" s="184"/>
    </row>
    <row r="207" spans="2:17" s="144" customFormat="1" ht="19.5" customHeight="1">
      <c r="B207" s="144" t="s">
        <v>1288</v>
      </c>
      <c r="C207" s="147">
        <v>202</v>
      </c>
      <c r="D207" s="185" t="s">
        <v>1289</v>
      </c>
      <c r="E207" s="186" t="s">
        <v>1545</v>
      </c>
      <c r="F207" s="148" t="s">
        <v>4254</v>
      </c>
      <c r="G207" s="189" t="s">
        <v>1546</v>
      </c>
      <c r="H207" s="189" t="s">
        <v>1563</v>
      </c>
      <c r="I207" s="151"/>
      <c r="J207" s="137"/>
      <c r="K207" s="138" t="s">
        <v>1163</v>
      </c>
      <c r="L207" s="189">
        <f t="shared" si="9"/>
        <v>4</v>
      </c>
      <c r="M207" s="140">
        <f t="shared" si="10"/>
        <v>1</v>
      </c>
      <c r="N207" s="141">
        <f t="shared" si="11"/>
        <v>4</v>
      </c>
      <c r="O207" s="140" t="s">
        <v>1156</v>
      </c>
      <c r="P207" s="183" t="s">
        <v>1294</v>
      </c>
      <c r="Q207" s="184"/>
    </row>
    <row r="208" spans="2:17" s="144" customFormat="1" ht="19.5" customHeight="1">
      <c r="B208" s="144" t="s">
        <v>1288</v>
      </c>
      <c r="C208" s="147">
        <v>203</v>
      </c>
      <c r="D208" s="185" t="s">
        <v>1289</v>
      </c>
      <c r="E208" s="186" t="s">
        <v>1545</v>
      </c>
      <c r="F208" s="148" t="s">
        <v>4255</v>
      </c>
      <c r="G208" s="189" t="s">
        <v>1546</v>
      </c>
      <c r="H208" s="189" t="s">
        <v>1564</v>
      </c>
      <c r="I208" s="151"/>
      <c r="J208" s="137"/>
      <c r="K208" s="138" t="s">
        <v>1170</v>
      </c>
      <c r="L208" s="189">
        <f t="shared" si="9"/>
        <v>5.2</v>
      </c>
      <c r="M208" s="140">
        <f t="shared" si="10"/>
        <v>1</v>
      </c>
      <c r="N208" s="141">
        <f t="shared" si="11"/>
        <v>5.2</v>
      </c>
      <c r="O208" s="140" t="s">
        <v>1156</v>
      </c>
      <c r="P208" s="183" t="s">
        <v>1294</v>
      </c>
      <c r="Q208" s="184"/>
    </row>
    <row r="209" spans="2:17" s="144" customFormat="1" ht="19.5" customHeight="1">
      <c r="B209" s="144" t="s">
        <v>1288</v>
      </c>
      <c r="C209" s="147">
        <v>204</v>
      </c>
      <c r="D209" s="185" t="s">
        <v>1289</v>
      </c>
      <c r="E209" s="186" t="s">
        <v>1545</v>
      </c>
      <c r="F209" s="148" t="s">
        <v>4256</v>
      </c>
      <c r="G209" s="189" t="s">
        <v>1546</v>
      </c>
      <c r="H209" s="189" t="s">
        <v>1565</v>
      </c>
      <c r="I209" s="151"/>
      <c r="J209" s="137"/>
      <c r="K209" s="138" t="s">
        <v>1170</v>
      </c>
      <c r="L209" s="189">
        <f t="shared" si="9"/>
        <v>5.2</v>
      </c>
      <c r="M209" s="140">
        <f t="shared" si="10"/>
        <v>1</v>
      </c>
      <c r="N209" s="141">
        <f t="shared" si="11"/>
        <v>5.2</v>
      </c>
      <c r="O209" s="140" t="s">
        <v>1156</v>
      </c>
      <c r="P209" s="183" t="s">
        <v>1294</v>
      </c>
      <c r="Q209" s="184"/>
    </row>
    <row r="210" spans="2:17" s="144" customFormat="1" ht="19.5" customHeight="1">
      <c r="B210" s="144" t="s">
        <v>1288</v>
      </c>
      <c r="C210" s="147">
        <v>205</v>
      </c>
      <c r="D210" s="185" t="s">
        <v>1289</v>
      </c>
      <c r="E210" s="186" t="s">
        <v>1545</v>
      </c>
      <c r="F210" s="148" t="s">
        <v>4257</v>
      </c>
      <c r="G210" s="189" t="s">
        <v>1546</v>
      </c>
      <c r="H210" s="189" t="s">
        <v>1566</v>
      </c>
      <c r="I210" s="151"/>
      <c r="J210" s="137"/>
      <c r="K210" s="138" t="s">
        <v>1170</v>
      </c>
      <c r="L210" s="189">
        <f t="shared" si="9"/>
        <v>5.2</v>
      </c>
      <c r="M210" s="140">
        <f t="shared" si="10"/>
        <v>1</v>
      </c>
      <c r="N210" s="141">
        <f t="shared" si="11"/>
        <v>5.2</v>
      </c>
      <c r="O210" s="140" t="s">
        <v>1156</v>
      </c>
      <c r="P210" s="183" t="s">
        <v>1294</v>
      </c>
      <c r="Q210" s="184"/>
    </row>
    <row r="211" spans="2:17" s="144" customFormat="1" ht="19.5" customHeight="1">
      <c r="B211" s="144" t="s">
        <v>1288</v>
      </c>
      <c r="C211" s="147">
        <v>206</v>
      </c>
      <c r="D211" s="185" t="s">
        <v>1289</v>
      </c>
      <c r="E211" s="186" t="s">
        <v>1545</v>
      </c>
      <c r="F211" s="148" t="s">
        <v>4258</v>
      </c>
      <c r="G211" s="189" t="s">
        <v>1567</v>
      </c>
      <c r="H211" s="189" t="s">
        <v>1568</v>
      </c>
      <c r="I211" s="151"/>
      <c r="J211" s="137"/>
      <c r="K211" s="138" t="s">
        <v>1163</v>
      </c>
      <c r="L211" s="189">
        <f t="shared" si="9"/>
        <v>4</v>
      </c>
      <c r="M211" s="140">
        <f t="shared" si="10"/>
        <v>1</v>
      </c>
      <c r="N211" s="141">
        <f t="shared" si="11"/>
        <v>4</v>
      </c>
      <c r="O211" s="140" t="s">
        <v>1156</v>
      </c>
      <c r="P211" s="183" t="s">
        <v>1294</v>
      </c>
      <c r="Q211" s="184"/>
    </row>
    <row r="212" spans="2:17" s="144" customFormat="1" ht="19.5" customHeight="1">
      <c r="B212" s="144" t="s">
        <v>1288</v>
      </c>
      <c r="C212" s="147">
        <v>207</v>
      </c>
      <c r="D212" s="185" t="s">
        <v>1289</v>
      </c>
      <c r="E212" s="186" t="s">
        <v>1545</v>
      </c>
      <c r="F212" s="148" t="s">
        <v>4259</v>
      </c>
      <c r="G212" s="189" t="s">
        <v>1567</v>
      </c>
      <c r="H212" s="189" t="s">
        <v>1569</v>
      </c>
      <c r="I212" s="151"/>
      <c r="J212" s="137"/>
      <c r="K212" s="138" t="s">
        <v>1163</v>
      </c>
      <c r="L212" s="189">
        <f t="shared" si="9"/>
        <v>4</v>
      </c>
      <c r="M212" s="140">
        <f t="shared" si="10"/>
        <v>1</v>
      </c>
      <c r="N212" s="141">
        <f t="shared" si="11"/>
        <v>4</v>
      </c>
      <c r="O212" s="140" t="s">
        <v>1156</v>
      </c>
      <c r="P212" s="183" t="s">
        <v>1294</v>
      </c>
      <c r="Q212" s="184"/>
    </row>
    <row r="213" spans="2:17" s="144" customFormat="1" ht="19.5" customHeight="1">
      <c r="B213" s="144" t="s">
        <v>1288</v>
      </c>
      <c r="C213" s="147">
        <v>208</v>
      </c>
      <c r="D213" s="185" t="s">
        <v>1289</v>
      </c>
      <c r="E213" s="186" t="s">
        <v>1545</v>
      </c>
      <c r="F213" s="148" t="s">
        <v>4260</v>
      </c>
      <c r="G213" s="189" t="s">
        <v>1567</v>
      </c>
      <c r="H213" s="189" t="s">
        <v>1570</v>
      </c>
      <c r="I213" s="151"/>
      <c r="J213" s="137"/>
      <c r="K213" s="138" t="s">
        <v>1170</v>
      </c>
      <c r="L213" s="189">
        <f t="shared" si="9"/>
        <v>5.2</v>
      </c>
      <c r="M213" s="140">
        <f t="shared" si="10"/>
        <v>1</v>
      </c>
      <c r="N213" s="141">
        <f t="shared" si="11"/>
        <v>5.2</v>
      </c>
      <c r="O213" s="140" t="s">
        <v>1156</v>
      </c>
      <c r="P213" s="183" t="s">
        <v>1294</v>
      </c>
      <c r="Q213" s="184"/>
    </row>
    <row r="214" spans="2:17" s="144" customFormat="1" ht="19.5" customHeight="1">
      <c r="B214" s="144" t="s">
        <v>1288</v>
      </c>
      <c r="C214" s="147">
        <v>209</v>
      </c>
      <c r="D214" s="185" t="s">
        <v>1289</v>
      </c>
      <c r="E214" s="186" t="s">
        <v>1545</v>
      </c>
      <c r="F214" s="148" t="s">
        <v>4261</v>
      </c>
      <c r="G214" s="189" t="s">
        <v>1567</v>
      </c>
      <c r="H214" s="189" t="s">
        <v>1571</v>
      </c>
      <c r="I214" s="151"/>
      <c r="J214" s="137"/>
      <c r="K214" s="138" t="s">
        <v>1163</v>
      </c>
      <c r="L214" s="189">
        <f t="shared" si="9"/>
        <v>4</v>
      </c>
      <c r="M214" s="140">
        <f t="shared" si="10"/>
        <v>1</v>
      </c>
      <c r="N214" s="141">
        <f t="shared" si="11"/>
        <v>4</v>
      </c>
      <c r="O214" s="140" t="s">
        <v>1156</v>
      </c>
      <c r="P214" s="183" t="s">
        <v>1294</v>
      </c>
      <c r="Q214" s="184"/>
    </row>
    <row r="215" spans="2:17" s="144" customFormat="1" ht="19.5" customHeight="1">
      <c r="B215" s="144" t="s">
        <v>1288</v>
      </c>
      <c r="C215" s="147">
        <v>210</v>
      </c>
      <c r="D215" s="185" t="s">
        <v>1289</v>
      </c>
      <c r="E215" s="186" t="s">
        <v>1545</v>
      </c>
      <c r="F215" s="148" t="s">
        <v>4262</v>
      </c>
      <c r="G215" s="189" t="s">
        <v>1567</v>
      </c>
      <c r="H215" s="189" t="s">
        <v>1572</v>
      </c>
      <c r="I215" s="151"/>
      <c r="J215" s="137"/>
      <c r="K215" s="138" t="s">
        <v>1170</v>
      </c>
      <c r="L215" s="189">
        <f t="shared" si="9"/>
        <v>5.2</v>
      </c>
      <c r="M215" s="140">
        <f t="shared" si="10"/>
        <v>1</v>
      </c>
      <c r="N215" s="141">
        <f t="shared" si="11"/>
        <v>5.2</v>
      </c>
      <c r="O215" s="140" t="s">
        <v>1156</v>
      </c>
      <c r="P215" s="183" t="s">
        <v>1294</v>
      </c>
      <c r="Q215" s="184"/>
    </row>
    <row r="216" spans="2:17" s="144" customFormat="1" ht="19.5" customHeight="1">
      <c r="B216" s="144" t="s">
        <v>1288</v>
      </c>
      <c r="C216" s="147">
        <v>211</v>
      </c>
      <c r="D216" s="185" t="s">
        <v>1289</v>
      </c>
      <c r="E216" s="186" t="s">
        <v>1545</v>
      </c>
      <c r="F216" s="148" t="s">
        <v>4263</v>
      </c>
      <c r="G216" s="189" t="s">
        <v>1567</v>
      </c>
      <c r="H216" s="189" t="s">
        <v>1573</v>
      </c>
      <c r="I216" s="151"/>
      <c r="J216" s="137"/>
      <c r="K216" s="138" t="s">
        <v>1170</v>
      </c>
      <c r="L216" s="189">
        <f t="shared" si="9"/>
        <v>5.2</v>
      </c>
      <c r="M216" s="140">
        <f t="shared" si="10"/>
        <v>1</v>
      </c>
      <c r="N216" s="141">
        <f t="shared" si="11"/>
        <v>5.2</v>
      </c>
      <c r="O216" s="140" t="s">
        <v>1156</v>
      </c>
      <c r="P216" s="183" t="s">
        <v>1294</v>
      </c>
      <c r="Q216" s="184"/>
    </row>
    <row r="217" spans="2:17" s="144" customFormat="1" ht="19.5" customHeight="1">
      <c r="B217" s="144" t="s">
        <v>1288</v>
      </c>
      <c r="C217" s="147">
        <v>212</v>
      </c>
      <c r="D217" s="185" t="s">
        <v>1289</v>
      </c>
      <c r="E217" s="186" t="s">
        <v>1545</v>
      </c>
      <c r="F217" s="148" t="s">
        <v>4264</v>
      </c>
      <c r="G217" s="189" t="s">
        <v>1567</v>
      </c>
      <c r="H217" s="189" t="s">
        <v>1574</v>
      </c>
      <c r="I217" s="151"/>
      <c r="J217" s="137"/>
      <c r="K217" s="138" t="s">
        <v>1170</v>
      </c>
      <c r="L217" s="189">
        <f t="shared" si="9"/>
        <v>5.2</v>
      </c>
      <c r="M217" s="140">
        <f t="shared" si="10"/>
        <v>1</v>
      </c>
      <c r="N217" s="141">
        <f t="shared" si="11"/>
        <v>5.2</v>
      </c>
      <c r="O217" s="140" t="s">
        <v>1156</v>
      </c>
      <c r="P217" s="183" t="s">
        <v>1294</v>
      </c>
      <c r="Q217" s="184"/>
    </row>
    <row r="218" spans="2:17" s="144" customFormat="1" ht="27">
      <c r="B218" s="144" t="s">
        <v>1288</v>
      </c>
      <c r="C218" s="133">
        <v>213</v>
      </c>
      <c r="D218" s="180" t="s">
        <v>1289</v>
      </c>
      <c r="E218" s="181" t="s">
        <v>1545</v>
      </c>
      <c r="F218" s="135" t="s">
        <v>4265</v>
      </c>
      <c r="G218" s="145" t="s">
        <v>1567</v>
      </c>
      <c r="H218" s="145" t="s">
        <v>1575</v>
      </c>
      <c r="I218" s="182" t="s">
        <v>1576</v>
      </c>
      <c r="J218" s="137"/>
      <c r="K218" s="138" t="s">
        <v>1487</v>
      </c>
      <c r="L218" s="189">
        <f t="shared" si="9"/>
        <v>5.4</v>
      </c>
      <c r="M218" s="140">
        <f t="shared" si="10"/>
        <v>1</v>
      </c>
      <c r="N218" s="141">
        <f t="shared" si="11"/>
        <v>5.4</v>
      </c>
      <c r="O218" s="140" t="s">
        <v>1156</v>
      </c>
      <c r="P218" s="183" t="s">
        <v>1294</v>
      </c>
      <c r="Q218" s="184"/>
    </row>
    <row r="219" spans="2:17" s="144" customFormat="1" ht="19.5" customHeight="1">
      <c r="B219" s="144" t="s">
        <v>1288</v>
      </c>
      <c r="C219" s="133">
        <v>214</v>
      </c>
      <c r="D219" s="180" t="s">
        <v>1289</v>
      </c>
      <c r="E219" s="181" t="s">
        <v>1545</v>
      </c>
      <c r="F219" s="135" t="s">
        <v>4266</v>
      </c>
      <c r="G219" s="145" t="s">
        <v>1567</v>
      </c>
      <c r="H219" s="145" t="s">
        <v>1577</v>
      </c>
      <c r="I219" s="193"/>
      <c r="J219" s="137"/>
      <c r="K219" s="138" t="s">
        <v>1163</v>
      </c>
      <c r="L219" s="189">
        <f t="shared" si="9"/>
        <v>4</v>
      </c>
      <c r="M219" s="140">
        <f t="shared" si="10"/>
        <v>1</v>
      </c>
      <c r="N219" s="141">
        <f t="shared" si="11"/>
        <v>4</v>
      </c>
      <c r="O219" s="140" t="s">
        <v>1156</v>
      </c>
      <c r="P219" s="183" t="s">
        <v>1294</v>
      </c>
      <c r="Q219" s="184"/>
    </row>
    <row r="220" spans="2:17" s="144" customFormat="1" ht="19.5" customHeight="1">
      <c r="B220" s="144" t="s">
        <v>1288</v>
      </c>
      <c r="C220" s="133">
        <v>215</v>
      </c>
      <c r="D220" s="180" t="s">
        <v>1289</v>
      </c>
      <c r="E220" s="181" t="s">
        <v>1545</v>
      </c>
      <c r="F220" s="135" t="s">
        <v>4267</v>
      </c>
      <c r="G220" s="145" t="s">
        <v>1567</v>
      </c>
      <c r="H220" s="145" t="s">
        <v>1578</v>
      </c>
      <c r="I220" s="193"/>
      <c r="J220" s="137"/>
      <c r="K220" s="138" t="s">
        <v>1163</v>
      </c>
      <c r="L220" s="189">
        <f t="shared" si="9"/>
        <v>4</v>
      </c>
      <c r="M220" s="140">
        <f t="shared" si="10"/>
        <v>1</v>
      </c>
      <c r="N220" s="141">
        <f t="shared" si="11"/>
        <v>4</v>
      </c>
      <c r="O220" s="140" t="s">
        <v>1156</v>
      </c>
      <c r="P220" s="183" t="s">
        <v>1294</v>
      </c>
      <c r="Q220" s="184"/>
    </row>
    <row r="221" spans="2:17" s="144" customFormat="1" ht="27">
      <c r="B221" s="144" t="s">
        <v>1288</v>
      </c>
      <c r="C221" s="133">
        <v>216</v>
      </c>
      <c r="D221" s="180" t="s">
        <v>1289</v>
      </c>
      <c r="E221" s="181" t="s">
        <v>1545</v>
      </c>
      <c r="F221" s="135" t="s">
        <v>4268</v>
      </c>
      <c r="G221" s="145" t="s">
        <v>1567</v>
      </c>
      <c r="H221" s="145" t="s">
        <v>1579</v>
      </c>
      <c r="I221" s="182" t="s">
        <v>1580</v>
      </c>
      <c r="J221" s="137"/>
      <c r="K221" s="138" t="s">
        <v>1170</v>
      </c>
      <c r="L221" s="189">
        <f t="shared" si="9"/>
        <v>5.2</v>
      </c>
      <c r="M221" s="140">
        <f t="shared" si="10"/>
        <v>1</v>
      </c>
      <c r="N221" s="141">
        <f t="shared" si="11"/>
        <v>5.2</v>
      </c>
      <c r="O221" s="140" t="s">
        <v>1156</v>
      </c>
      <c r="P221" s="183" t="s">
        <v>1294</v>
      </c>
      <c r="Q221" s="184"/>
    </row>
    <row r="222" spans="2:17" s="144" customFormat="1" ht="19.5" customHeight="1">
      <c r="B222" s="144" t="s">
        <v>1288</v>
      </c>
      <c r="C222" s="133">
        <v>217</v>
      </c>
      <c r="D222" s="180" t="s">
        <v>1289</v>
      </c>
      <c r="E222" s="181" t="s">
        <v>1545</v>
      </c>
      <c r="F222" s="135" t="s">
        <v>4269</v>
      </c>
      <c r="G222" s="145" t="s">
        <v>1581</v>
      </c>
      <c r="H222" s="145" t="s">
        <v>1582</v>
      </c>
      <c r="I222" s="193"/>
      <c r="J222" s="137"/>
      <c r="K222" s="138" t="s">
        <v>1163</v>
      </c>
      <c r="L222" s="189">
        <f t="shared" si="9"/>
        <v>4</v>
      </c>
      <c r="M222" s="140">
        <f t="shared" si="10"/>
        <v>1</v>
      </c>
      <c r="N222" s="141">
        <f t="shared" si="11"/>
        <v>4</v>
      </c>
      <c r="O222" s="140" t="s">
        <v>1156</v>
      </c>
      <c r="P222" s="183" t="s">
        <v>1294</v>
      </c>
      <c r="Q222" s="184"/>
    </row>
    <row r="223" spans="2:17" s="144" customFormat="1" ht="40.5">
      <c r="B223" s="144" t="s">
        <v>1288</v>
      </c>
      <c r="C223" s="133">
        <v>218</v>
      </c>
      <c r="D223" s="180" t="s">
        <v>1289</v>
      </c>
      <c r="E223" s="181" t="s">
        <v>1545</v>
      </c>
      <c r="F223" s="135" t="s">
        <v>4270</v>
      </c>
      <c r="G223" s="145" t="s">
        <v>1581</v>
      </c>
      <c r="H223" s="145" t="s">
        <v>1583</v>
      </c>
      <c r="I223" s="182" t="s">
        <v>1584</v>
      </c>
      <c r="J223" s="137"/>
      <c r="K223" s="138" t="s">
        <v>1170</v>
      </c>
      <c r="L223" s="189">
        <f t="shared" si="9"/>
        <v>5.2</v>
      </c>
      <c r="M223" s="140">
        <f t="shared" si="10"/>
        <v>1</v>
      </c>
      <c r="N223" s="141">
        <f t="shared" si="11"/>
        <v>5.2</v>
      </c>
      <c r="O223" s="140" t="s">
        <v>1156</v>
      </c>
      <c r="P223" s="183" t="s">
        <v>1294</v>
      </c>
      <c r="Q223" s="184"/>
    </row>
    <row r="224" spans="2:17" s="144" customFormat="1" ht="19.5" customHeight="1">
      <c r="B224" s="144" t="s">
        <v>1288</v>
      </c>
      <c r="C224" s="133">
        <v>219</v>
      </c>
      <c r="D224" s="180" t="s">
        <v>1289</v>
      </c>
      <c r="E224" s="181" t="s">
        <v>1545</v>
      </c>
      <c r="F224" s="135" t="s">
        <v>4271</v>
      </c>
      <c r="G224" s="145" t="s">
        <v>1581</v>
      </c>
      <c r="H224" s="145" t="s">
        <v>1585</v>
      </c>
      <c r="I224" s="193"/>
      <c r="J224" s="137"/>
      <c r="K224" s="138" t="s">
        <v>1163</v>
      </c>
      <c r="L224" s="189">
        <f t="shared" si="9"/>
        <v>4</v>
      </c>
      <c r="M224" s="140">
        <f t="shared" si="10"/>
        <v>1</v>
      </c>
      <c r="N224" s="141">
        <f t="shared" si="11"/>
        <v>4</v>
      </c>
      <c r="O224" s="140" t="s">
        <v>1156</v>
      </c>
      <c r="P224" s="183" t="s">
        <v>1294</v>
      </c>
      <c r="Q224" s="184"/>
    </row>
    <row r="225" spans="2:17" s="144" customFormat="1" ht="19.5" customHeight="1">
      <c r="B225" s="144" t="s">
        <v>1288</v>
      </c>
      <c r="C225" s="133">
        <v>220</v>
      </c>
      <c r="D225" s="180" t="s">
        <v>1289</v>
      </c>
      <c r="E225" s="181" t="s">
        <v>1545</v>
      </c>
      <c r="F225" s="135" t="s">
        <v>4272</v>
      </c>
      <c r="G225" s="145" t="s">
        <v>1581</v>
      </c>
      <c r="H225" s="145" t="s">
        <v>1586</v>
      </c>
      <c r="I225" s="193"/>
      <c r="J225" s="137"/>
      <c r="K225" s="138" t="s">
        <v>1163</v>
      </c>
      <c r="L225" s="189">
        <f t="shared" si="9"/>
        <v>4</v>
      </c>
      <c r="M225" s="140">
        <f t="shared" si="10"/>
        <v>1</v>
      </c>
      <c r="N225" s="141">
        <f t="shared" si="11"/>
        <v>4</v>
      </c>
      <c r="O225" s="140" t="s">
        <v>1156</v>
      </c>
      <c r="P225" s="183" t="s">
        <v>1294</v>
      </c>
      <c r="Q225" s="184"/>
    </row>
    <row r="226" spans="2:17" s="144" customFormat="1" ht="19.5" customHeight="1">
      <c r="B226" s="144" t="s">
        <v>1288</v>
      </c>
      <c r="C226" s="147">
        <v>221</v>
      </c>
      <c r="D226" s="185" t="s">
        <v>1289</v>
      </c>
      <c r="E226" s="186" t="s">
        <v>1545</v>
      </c>
      <c r="F226" s="148" t="s">
        <v>4273</v>
      </c>
      <c r="G226" s="189" t="s">
        <v>1581</v>
      </c>
      <c r="H226" s="189" t="s">
        <v>1587</v>
      </c>
      <c r="I226" s="151"/>
      <c r="J226" s="137"/>
      <c r="K226" s="138" t="s">
        <v>1163</v>
      </c>
      <c r="L226" s="189">
        <f t="shared" si="9"/>
        <v>4</v>
      </c>
      <c r="M226" s="140">
        <f t="shared" si="10"/>
        <v>1</v>
      </c>
      <c r="N226" s="141">
        <f t="shared" si="11"/>
        <v>4</v>
      </c>
      <c r="O226" s="140" t="s">
        <v>1156</v>
      </c>
      <c r="P226" s="183" t="s">
        <v>1294</v>
      </c>
      <c r="Q226" s="184"/>
    </row>
    <row r="227" spans="2:17" s="144" customFormat="1" ht="19.5" customHeight="1">
      <c r="B227" s="144" t="s">
        <v>1288</v>
      </c>
      <c r="C227" s="147">
        <v>222</v>
      </c>
      <c r="D227" s="185" t="s">
        <v>1289</v>
      </c>
      <c r="E227" s="186" t="s">
        <v>1545</v>
      </c>
      <c r="F227" s="148" t="s">
        <v>4274</v>
      </c>
      <c r="G227" s="189" t="s">
        <v>1581</v>
      </c>
      <c r="H227" s="189" t="s">
        <v>1588</v>
      </c>
      <c r="I227" s="151"/>
      <c r="J227" s="137"/>
      <c r="K227" s="138" t="s">
        <v>1163</v>
      </c>
      <c r="L227" s="189">
        <f t="shared" si="9"/>
        <v>4</v>
      </c>
      <c r="M227" s="140">
        <f t="shared" si="10"/>
        <v>1</v>
      </c>
      <c r="N227" s="141">
        <f t="shared" si="11"/>
        <v>4</v>
      </c>
      <c r="O227" s="140" t="s">
        <v>1156</v>
      </c>
      <c r="P227" s="183" t="s">
        <v>1294</v>
      </c>
      <c r="Q227" s="184"/>
    </row>
    <row r="228" spans="2:17" s="144" customFormat="1" ht="19.5" customHeight="1">
      <c r="B228" s="144" t="s">
        <v>1288</v>
      </c>
      <c r="C228" s="147">
        <v>223</v>
      </c>
      <c r="D228" s="185" t="s">
        <v>1289</v>
      </c>
      <c r="E228" s="186" t="s">
        <v>1545</v>
      </c>
      <c r="F228" s="148" t="s">
        <v>4275</v>
      </c>
      <c r="G228" s="189" t="s">
        <v>1581</v>
      </c>
      <c r="H228" s="189" t="s">
        <v>1589</v>
      </c>
      <c r="I228" s="187"/>
      <c r="J228" s="137"/>
      <c r="K228" s="138" t="s">
        <v>1163</v>
      </c>
      <c r="L228" s="189">
        <f t="shared" si="9"/>
        <v>4</v>
      </c>
      <c r="M228" s="140">
        <f t="shared" si="10"/>
        <v>1</v>
      </c>
      <c r="N228" s="141">
        <f t="shared" si="11"/>
        <v>4</v>
      </c>
      <c r="O228" s="140" t="s">
        <v>1156</v>
      </c>
      <c r="P228" s="183" t="s">
        <v>1294</v>
      </c>
      <c r="Q228" s="184"/>
    </row>
    <row r="229" spans="2:17" s="144" customFormat="1" ht="19.5" customHeight="1">
      <c r="B229" s="144" t="s">
        <v>1288</v>
      </c>
      <c r="C229" s="147">
        <v>224</v>
      </c>
      <c r="D229" s="185" t="s">
        <v>1289</v>
      </c>
      <c r="E229" s="186" t="s">
        <v>1545</v>
      </c>
      <c r="F229" s="148" t="s">
        <v>4276</v>
      </c>
      <c r="G229" s="189" t="s">
        <v>1581</v>
      </c>
      <c r="H229" s="189" t="s">
        <v>1590</v>
      </c>
      <c r="I229" s="151"/>
      <c r="J229" s="137"/>
      <c r="K229" s="138" t="s">
        <v>1170</v>
      </c>
      <c r="L229" s="189">
        <f t="shared" si="9"/>
        <v>5.2</v>
      </c>
      <c r="M229" s="140">
        <f t="shared" si="10"/>
        <v>1</v>
      </c>
      <c r="N229" s="141">
        <f t="shared" si="11"/>
        <v>5.2</v>
      </c>
      <c r="O229" s="140" t="s">
        <v>1156</v>
      </c>
      <c r="P229" s="183" t="s">
        <v>1294</v>
      </c>
      <c r="Q229" s="184"/>
    </row>
    <row r="230" spans="2:17" s="144" customFormat="1" ht="19.5" customHeight="1">
      <c r="B230" s="144" t="s">
        <v>1288</v>
      </c>
      <c r="C230" s="147">
        <v>225</v>
      </c>
      <c r="D230" s="185" t="s">
        <v>1289</v>
      </c>
      <c r="E230" s="186" t="s">
        <v>1545</v>
      </c>
      <c r="F230" s="148" t="s">
        <v>4277</v>
      </c>
      <c r="G230" s="189" t="s">
        <v>1581</v>
      </c>
      <c r="H230" s="189" t="s">
        <v>1591</v>
      </c>
      <c r="I230" s="151"/>
      <c r="J230" s="137"/>
      <c r="K230" s="138" t="s">
        <v>1170</v>
      </c>
      <c r="L230" s="189">
        <f t="shared" si="9"/>
        <v>5.2</v>
      </c>
      <c r="M230" s="140">
        <f t="shared" si="10"/>
        <v>1</v>
      </c>
      <c r="N230" s="141">
        <f t="shared" si="11"/>
        <v>5.2</v>
      </c>
      <c r="O230" s="140" t="s">
        <v>1156</v>
      </c>
      <c r="P230" s="183" t="s">
        <v>1294</v>
      </c>
      <c r="Q230" s="184"/>
    </row>
    <row r="231" spans="2:17" s="144" customFormat="1" ht="19.5" customHeight="1">
      <c r="B231" s="144" t="s">
        <v>1288</v>
      </c>
      <c r="C231" s="147">
        <v>226</v>
      </c>
      <c r="D231" s="185" t="s">
        <v>1289</v>
      </c>
      <c r="E231" s="186" t="s">
        <v>1545</v>
      </c>
      <c r="F231" s="148" t="s">
        <v>4278</v>
      </c>
      <c r="G231" s="189" t="s">
        <v>1581</v>
      </c>
      <c r="H231" s="189" t="s">
        <v>1592</v>
      </c>
      <c r="I231" s="151"/>
      <c r="J231" s="137"/>
      <c r="K231" s="138" t="s">
        <v>1170</v>
      </c>
      <c r="L231" s="189">
        <f t="shared" si="9"/>
        <v>5.2</v>
      </c>
      <c r="M231" s="140">
        <f t="shared" si="10"/>
        <v>1</v>
      </c>
      <c r="N231" s="141">
        <f t="shared" si="11"/>
        <v>5.2</v>
      </c>
      <c r="O231" s="140" t="s">
        <v>1156</v>
      </c>
      <c r="P231" s="183" t="s">
        <v>1294</v>
      </c>
      <c r="Q231" s="184"/>
    </row>
    <row r="232" spans="2:17" s="144" customFormat="1" ht="19.5" customHeight="1">
      <c r="B232" s="144" t="s">
        <v>1288</v>
      </c>
      <c r="C232" s="147">
        <v>227</v>
      </c>
      <c r="D232" s="185" t="s">
        <v>1289</v>
      </c>
      <c r="E232" s="186" t="s">
        <v>1545</v>
      </c>
      <c r="F232" s="148" t="s">
        <v>4279</v>
      </c>
      <c r="G232" s="189" t="s">
        <v>1581</v>
      </c>
      <c r="H232" s="189" t="s">
        <v>1593</v>
      </c>
      <c r="I232" s="151"/>
      <c r="J232" s="137"/>
      <c r="K232" s="138" t="s">
        <v>1170</v>
      </c>
      <c r="L232" s="189">
        <f t="shared" si="9"/>
        <v>5.2</v>
      </c>
      <c r="M232" s="140">
        <f t="shared" si="10"/>
        <v>1</v>
      </c>
      <c r="N232" s="141">
        <f t="shared" si="11"/>
        <v>5.2</v>
      </c>
      <c r="O232" s="140" t="s">
        <v>1156</v>
      </c>
      <c r="P232" s="183" t="s">
        <v>1294</v>
      </c>
      <c r="Q232" s="184"/>
    </row>
    <row r="233" spans="2:17" s="144" customFormat="1" ht="19.5" customHeight="1">
      <c r="B233" s="144" t="s">
        <v>1288</v>
      </c>
      <c r="C233" s="147">
        <v>228</v>
      </c>
      <c r="D233" s="185" t="s">
        <v>1289</v>
      </c>
      <c r="E233" s="186" t="s">
        <v>1545</v>
      </c>
      <c r="F233" s="148" t="s">
        <v>4280</v>
      </c>
      <c r="G233" s="189" t="s">
        <v>1581</v>
      </c>
      <c r="H233" s="189" t="s">
        <v>1594</v>
      </c>
      <c r="I233" s="151"/>
      <c r="J233" s="137"/>
      <c r="K233" s="138" t="s">
        <v>1170</v>
      </c>
      <c r="L233" s="189">
        <f t="shared" si="9"/>
        <v>5.2</v>
      </c>
      <c r="M233" s="140">
        <f t="shared" si="10"/>
        <v>1</v>
      </c>
      <c r="N233" s="141">
        <f t="shared" si="11"/>
        <v>5.2</v>
      </c>
      <c r="O233" s="140" t="s">
        <v>1156</v>
      </c>
      <c r="P233" s="183" t="s">
        <v>1294</v>
      </c>
      <c r="Q233" s="184"/>
    </row>
    <row r="234" spans="2:17" s="144" customFormat="1" ht="19.5" customHeight="1">
      <c r="B234" s="144" t="s">
        <v>1288</v>
      </c>
      <c r="C234" s="133">
        <v>229</v>
      </c>
      <c r="D234" s="180" t="s">
        <v>1289</v>
      </c>
      <c r="E234" s="181" t="s">
        <v>1545</v>
      </c>
      <c r="F234" s="135" t="s">
        <v>4281</v>
      </c>
      <c r="G234" s="145" t="s">
        <v>1595</v>
      </c>
      <c r="H234" s="145" t="s">
        <v>1596</v>
      </c>
      <c r="I234" s="193"/>
      <c r="J234" s="137"/>
      <c r="K234" s="138" t="s">
        <v>1163</v>
      </c>
      <c r="L234" s="189">
        <f t="shared" si="9"/>
        <v>4</v>
      </c>
      <c r="M234" s="140">
        <f t="shared" si="10"/>
        <v>1</v>
      </c>
      <c r="N234" s="141">
        <f t="shared" si="11"/>
        <v>4</v>
      </c>
      <c r="O234" s="140" t="s">
        <v>1156</v>
      </c>
      <c r="P234" s="183" t="s">
        <v>1294</v>
      </c>
      <c r="Q234" s="184"/>
    </row>
    <row r="235" spans="2:17" s="144" customFormat="1" ht="19.5" customHeight="1">
      <c r="B235" s="144" t="s">
        <v>1288</v>
      </c>
      <c r="C235" s="133">
        <v>230</v>
      </c>
      <c r="D235" s="180" t="s">
        <v>1289</v>
      </c>
      <c r="E235" s="181" t="s">
        <v>1545</v>
      </c>
      <c r="F235" s="135" t="s">
        <v>4282</v>
      </c>
      <c r="G235" s="145" t="s">
        <v>1595</v>
      </c>
      <c r="H235" s="145" t="s">
        <v>1597</v>
      </c>
      <c r="I235" s="193"/>
      <c r="J235" s="137"/>
      <c r="K235" s="138" t="s">
        <v>1170</v>
      </c>
      <c r="L235" s="189">
        <f t="shared" si="9"/>
        <v>5.2</v>
      </c>
      <c r="M235" s="140">
        <f t="shared" si="10"/>
        <v>1</v>
      </c>
      <c r="N235" s="141">
        <f t="shared" si="11"/>
        <v>5.2</v>
      </c>
      <c r="O235" s="140" t="s">
        <v>1156</v>
      </c>
      <c r="P235" s="183" t="s">
        <v>1294</v>
      </c>
      <c r="Q235" s="184"/>
    </row>
    <row r="236" spans="2:17" s="144" customFormat="1" ht="19.5" customHeight="1">
      <c r="B236" s="144" t="s">
        <v>1288</v>
      </c>
      <c r="C236" s="133">
        <v>231</v>
      </c>
      <c r="D236" s="180" t="s">
        <v>1289</v>
      </c>
      <c r="E236" s="181" t="s">
        <v>1545</v>
      </c>
      <c r="F236" s="135" t="s">
        <v>4283</v>
      </c>
      <c r="G236" s="145" t="s">
        <v>1595</v>
      </c>
      <c r="H236" s="145" t="s">
        <v>1598</v>
      </c>
      <c r="I236" s="193"/>
      <c r="J236" s="137"/>
      <c r="K236" s="138" t="s">
        <v>1170</v>
      </c>
      <c r="L236" s="189">
        <f t="shared" si="9"/>
        <v>5.2</v>
      </c>
      <c r="M236" s="140">
        <f t="shared" si="10"/>
        <v>1</v>
      </c>
      <c r="N236" s="141">
        <f t="shared" si="11"/>
        <v>5.2</v>
      </c>
      <c r="O236" s="140" t="s">
        <v>1156</v>
      </c>
      <c r="P236" s="183" t="s">
        <v>1294</v>
      </c>
      <c r="Q236" s="184"/>
    </row>
    <row r="237" spans="2:17" s="144" customFormat="1" ht="19.5" customHeight="1">
      <c r="B237" s="144" t="s">
        <v>1288</v>
      </c>
      <c r="C237" s="133">
        <v>232</v>
      </c>
      <c r="D237" s="180" t="s">
        <v>1289</v>
      </c>
      <c r="E237" s="181" t="s">
        <v>1545</v>
      </c>
      <c r="F237" s="135" t="s">
        <v>4284</v>
      </c>
      <c r="G237" s="145" t="s">
        <v>1595</v>
      </c>
      <c r="H237" s="145" t="s">
        <v>1599</v>
      </c>
      <c r="I237" s="193"/>
      <c r="J237" s="137"/>
      <c r="K237" s="138" t="s">
        <v>1170</v>
      </c>
      <c r="L237" s="189">
        <f t="shared" si="9"/>
        <v>5.2</v>
      </c>
      <c r="M237" s="140">
        <f t="shared" si="10"/>
        <v>1</v>
      </c>
      <c r="N237" s="141">
        <f t="shared" si="11"/>
        <v>5.2</v>
      </c>
      <c r="O237" s="140" t="s">
        <v>1156</v>
      </c>
      <c r="P237" s="183" t="s">
        <v>1294</v>
      </c>
      <c r="Q237" s="184"/>
    </row>
    <row r="238" spans="2:17" s="144" customFormat="1" ht="19.5" customHeight="1">
      <c r="B238" s="144" t="s">
        <v>1288</v>
      </c>
      <c r="C238" s="147">
        <v>233</v>
      </c>
      <c r="D238" s="185" t="s">
        <v>1289</v>
      </c>
      <c r="E238" s="186" t="s">
        <v>1545</v>
      </c>
      <c r="F238" s="148" t="s">
        <v>4285</v>
      </c>
      <c r="G238" s="189" t="s">
        <v>1595</v>
      </c>
      <c r="H238" s="189" t="s">
        <v>1568</v>
      </c>
      <c r="I238" s="151"/>
      <c r="J238" s="137"/>
      <c r="K238" s="138" t="s">
        <v>1163</v>
      </c>
      <c r="L238" s="189">
        <f t="shared" si="9"/>
        <v>4</v>
      </c>
      <c r="M238" s="140">
        <f t="shared" si="10"/>
        <v>1</v>
      </c>
      <c r="N238" s="141">
        <f t="shared" si="11"/>
        <v>4</v>
      </c>
      <c r="O238" s="140" t="s">
        <v>1156</v>
      </c>
      <c r="P238" s="183" t="s">
        <v>1294</v>
      </c>
      <c r="Q238" s="184"/>
    </row>
    <row r="239" spans="2:17" s="144" customFormat="1" ht="19.5" customHeight="1">
      <c r="B239" s="144" t="s">
        <v>1288</v>
      </c>
      <c r="C239" s="147">
        <v>234</v>
      </c>
      <c r="D239" s="185" t="s">
        <v>1289</v>
      </c>
      <c r="E239" s="186" t="s">
        <v>1545</v>
      </c>
      <c r="F239" s="148" t="s">
        <v>4286</v>
      </c>
      <c r="G239" s="189" t="s">
        <v>1595</v>
      </c>
      <c r="H239" s="189" t="s">
        <v>1569</v>
      </c>
      <c r="I239" s="151"/>
      <c r="J239" s="137"/>
      <c r="K239" s="138" t="s">
        <v>1163</v>
      </c>
      <c r="L239" s="189">
        <f t="shared" si="9"/>
        <v>4</v>
      </c>
      <c r="M239" s="140">
        <f t="shared" si="10"/>
        <v>1</v>
      </c>
      <c r="N239" s="141">
        <f t="shared" si="11"/>
        <v>4</v>
      </c>
      <c r="O239" s="140" t="s">
        <v>1156</v>
      </c>
      <c r="P239" s="183" t="s">
        <v>1294</v>
      </c>
      <c r="Q239" s="184"/>
    </row>
    <row r="240" spans="2:17" s="144" customFormat="1" ht="34.9" customHeight="1">
      <c r="B240" s="144" t="s">
        <v>1288</v>
      </c>
      <c r="C240" s="147">
        <v>235</v>
      </c>
      <c r="D240" s="185" t="s">
        <v>1289</v>
      </c>
      <c r="E240" s="186" t="s">
        <v>1545</v>
      </c>
      <c r="F240" s="148" t="s">
        <v>4287</v>
      </c>
      <c r="G240" s="189" t="s">
        <v>1595</v>
      </c>
      <c r="H240" s="189" t="s">
        <v>1600</v>
      </c>
      <c r="I240" s="187" t="s">
        <v>1601</v>
      </c>
      <c r="J240" s="137"/>
      <c r="K240" s="138" t="s">
        <v>1170</v>
      </c>
      <c r="L240" s="189">
        <f t="shared" si="9"/>
        <v>5.2</v>
      </c>
      <c r="M240" s="140">
        <f t="shared" si="10"/>
        <v>1</v>
      </c>
      <c r="N240" s="141">
        <f t="shared" si="11"/>
        <v>5.2</v>
      </c>
      <c r="O240" s="140" t="s">
        <v>1156</v>
      </c>
      <c r="P240" s="183" t="s">
        <v>1294</v>
      </c>
      <c r="Q240" s="184"/>
    </row>
    <row r="241" spans="2:17" s="144" customFormat="1" ht="19.5" customHeight="1">
      <c r="B241" s="144" t="s">
        <v>1288</v>
      </c>
      <c r="C241" s="147">
        <v>236</v>
      </c>
      <c r="D241" s="185" t="s">
        <v>1289</v>
      </c>
      <c r="E241" s="186" t="s">
        <v>1545</v>
      </c>
      <c r="F241" s="148" t="s">
        <v>4288</v>
      </c>
      <c r="G241" s="189" t="s">
        <v>1595</v>
      </c>
      <c r="H241" s="189" t="s">
        <v>1602</v>
      </c>
      <c r="I241" s="151"/>
      <c r="J241" s="137"/>
      <c r="K241" s="138" t="s">
        <v>1163</v>
      </c>
      <c r="L241" s="189">
        <f t="shared" si="9"/>
        <v>4</v>
      </c>
      <c r="M241" s="140">
        <f t="shared" si="10"/>
        <v>1</v>
      </c>
      <c r="N241" s="141">
        <f t="shared" si="11"/>
        <v>4</v>
      </c>
      <c r="O241" s="140" t="s">
        <v>1156</v>
      </c>
      <c r="P241" s="183" t="s">
        <v>1294</v>
      </c>
      <c r="Q241" s="184"/>
    </row>
    <row r="242" spans="2:17" s="144" customFormat="1" ht="19.5" customHeight="1">
      <c r="B242" s="144" t="s">
        <v>1288</v>
      </c>
      <c r="C242" s="147">
        <v>237</v>
      </c>
      <c r="D242" s="185" t="s">
        <v>1289</v>
      </c>
      <c r="E242" s="186" t="s">
        <v>1545</v>
      </c>
      <c r="F242" s="148" t="s">
        <v>4289</v>
      </c>
      <c r="G242" s="189" t="s">
        <v>1595</v>
      </c>
      <c r="H242" s="189" t="s">
        <v>1603</v>
      </c>
      <c r="I242" s="151"/>
      <c r="J242" s="137"/>
      <c r="K242" s="138" t="s">
        <v>1163</v>
      </c>
      <c r="L242" s="189">
        <f t="shared" si="9"/>
        <v>4</v>
      </c>
      <c r="M242" s="140">
        <f t="shared" si="10"/>
        <v>1</v>
      </c>
      <c r="N242" s="141">
        <f t="shared" si="11"/>
        <v>4</v>
      </c>
      <c r="O242" s="140" t="s">
        <v>1156</v>
      </c>
      <c r="P242" s="183" t="s">
        <v>1294</v>
      </c>
      <c r="Q242" s="184"/>
    </row>
    <row r="243" spans="2:17" s="144" customFormat="1" ht="33.4" customHeight="1">
      <c r="B243" s="144" t="s">
        <v>1288</v>
      </c>
      <c r="C243" s="147">
        <v>238</v>
      </c>
      <c r="D243" s="185" t="s">
        <v>1289</v>
      </c>
      <c r="E243" s="186" t="s">
        <v>1545</v>
      </c>
      <c r="F243" s="148" t="s">
        <v>4290</v>
      </c>
      <c r="G243" s="189" t="s">
        <v>1595</v>
      </c>
      <c r="H243" s="189" t="s">
        <v>1604</v>
      </c>
      <c r="I243" s="187" t="s">
        <v>1605</v>
      </c>
      <c r="J243" s="137"/>
      <c r="K243" s="138" t="s">
        <v>1487</v>
      </c>
      <c r="L243" s="189">
        <f t="shared" si="9"/>
        <v>5.4</v>
      </c>
      <c r="M243" s="140">
        <f t="shared" si="10"/>
        <v>1</v>
      </c>
      <c r="N243" s="141">
        <f t="shared" si="11"/>
        <v>5.4</v>
      </c>
      <c r="O243" s="140" t="s">
        <v>1156</v>
      </c>
      <c r="P243" s="183" t="s">
        <v>1294</v>
      </c>
      <c r="Q243" s="184"/>
    </row>
    <row r="244" spans="2:17" s="144" customFormat="1" ht="19.5" customHeight="1">
      <c r="B244" s="144" t="s">
        <v>1288</v>
      </c>
      <c r="C244" s="147">
        <v>239</v>
      </c>
      <c r="D244" s="185" t="s">
        <v>1289</v>
      </c>
      <c r="E244" s="186" t="s">
        <v>1545</v>
      </c>
      <c r="F244" s="148" t="s">
        <v>4291</v>
      </c>
      <c r="G244" s="189" t="s">
        <v>1595</v>
      </c>
      <c r="H244" s="189" t="s">
        <v>1606</v>
      </c>
      <c r="I244" s="151"/>
      <c r="J244" s="137"/>
      <c r="K244" s="138" t="s">
        <v>1607</v>
      </c>
      <c r="L244" s="189">
        <f t="shared" si="9"/>
        <v>5.4</v>
      </c>
      <c r="M244" s="140">
        <f t="shared" si="10"/>
        <v>1</v>
      </c>
      <c r="N244" s="141">
        <f t="shared" si="11"/>
        <v>5.4</v>
      </c>
      <c r="O244" s="140" t="s">
        <v>1156</v>
      </c>
      <c r="P244" s="183" t="s">
        <v>1294</v>
      </c>
      <c r="Q244" s="184"/>
    </row>
    <row r="245" spans="2:17" s="144" customFormat="1" ht="33.6" customHeight="1">
      <c r="B245" s="144" t="s">
        <v>1288</v>
      </c>
      <c r="C245" s="147">
        <v>240</v>
      </c>
      <c r="D245" s="185" t="s">
        <v>1289</v>
      </c>
      <c r="E245" s="186" t="s">
        <v>1545</v>
      </c>
      <c r="F245" s="148" t="s">
        <v>4292</v>
      </c>
      <c r="G245" s="186" t="s">
        <v>1608</v>
      </c>
      <c r="H245" s="197" t="s">
        <v>1609</v>
      </c>
      <c r="I245" s="198" t="s">
        <v>1610</v>
      </c>
      <c r="J245" s="137"/>
      <c r="K245" s="138" t="s">
        <v>1487</v>
      </c>
      <c r="L245" s="189">
        <f t="shared" si="9"/>
        <v>5.4</v>
      </c>
      <c r="M245" s="140">
        <f t="shared" si="10"/>
        <v>1</v>
      </c>
      <c r="N245" s="141">
        <f t="shared" si="11"/>
        <v>5.4</v>
      </c>
      <c r="O245" s="140" t="s">
        <v>1156</v>
      </c>
      <c r="P245" s="183" t="s">
        <v>1294</v>
      </c>
      <c r="Q245" s="184"/>
    </row>
    <row r="246" spans="2:17" s="144" customFormat="1" ht="33.6" customHeight="1">
      <c r="B246" s="144" t="s">
        <v>1288</v>
      </c>
      <c r="C246" s="133">
        <v>241</v>
      </c>
      <c r="D246" s="180" t="s">
        <v>1289</v>
      </c>
      <c r="E246" s="181" t="s">
        <v>1545</v>
      </c>
      <c r="F246" s="135" t="s">
        <v>4293</v>
      </c>
      <c r="G246" s="181" t="s">
        <v>1608</v>
      </c>
      <c r="H246" s="199" t="s">
        <v>1611</v>
      </c>
      <c r="I246" s="200" t="s">
        <v>1612</v>
      </c>
      <c r="J246" s="137"/>
      <c r="K246" s="138" t="s">
        <v>1170</v>
      </c>
      <c r="L246" s="189">
        <f t="shared" si="9"/>
        <v>5.2</v>
      </c>
      <c r="M246" s="140">
        <f t="shared" si="10"/>
        <v>1</v>
      </c>
      <c r="N246" s="141">
        <f t="shared" si="11"/>
        <v>5.2</v>
      </c>
      <c r="O246" s="140" t="s">
        <v>1156</v>
      </c>
      <c r="P246" s="183" t="s">
        <v>1294</v>
      </c>
      <c r="Q246" s="184"/>
    </row>
    <row r="247" spans="2:17" s="144" customFormat="1" ht="19.5" customHeight="1">
      <c r="C247" s="133">
        <v>242</v>
      </c>
      <c r="D247" s="180" t="s">
        <v>1289</v>
      </c>
      <c r="E247" s="181" t="s">
        <v>1545</v>
      </c>
      <c r="F247" s="135" t="s">
        <v>4294</v>
      </c>
      <c r="G247" s="154" t="s">
        <v>1613</v>
      </c>
      <c r="H247" s="154" t="s">
        <v>1614</v>
      </c>
      <c r="I247" s="155"/>
      <c r="J247" s="137"/>
      <c r="K247" s="138" t="s">
        <v>1607</v>
      </c>
      <c r="L247" s="189">
        <f t="shared" si="9"/>
        <v>5.4</v>
      </c>
      <c r="M247" s="140">
        <f t="shared" si="10"/>
        <v>1</v>
      </c>
      <c r="N247" s="141">
        <f t="shared" si="11"/>
        <v>5.4</v>
      </c>
      <c r="O247" s="140" t="s">
        <v>1156</v>
      </c>
      <c r="P247" s="183" t="s">
        <v>1294</v>
      </c>
      <c r="Q247" s="196"/>
    </row>
    <row r="248" spans="2:17" s="144" customFormat="1" ht="19.5" customHeight="1">
      <c r="C248" s="133">
        <v>243</v>
      </c>
      <c r="D248" s="180" t="s">
        <v>1289</v>
      </c>
      <c r="E248" s="181" t="s">
        <v>1545</v>
      </c>
      <c r="F248" s="135" t="s">
        <v>4295</v>
      </c>
      <c r="G248" s="135" t="s">
        <v>1613</v>
      </c>
      <c r="H248" s="154" t="s">
        <v>1615</v>
      </c>
      <c r="I248" s="155"/>
      <c r="J248" s="137"/>
      <c r="K248" s="138" t="s">
        <v>1607</v>
      </c>
      <c r="L248" s="189">
        <f t="shared" si="9"/>
        <v>5.4</v>
      </c>
      <c r="M248" s="140">
        <f t="shared" si="10"/>
        <v>1</v>
      </c>
      <c r="N248" s="141">
        <f t="shared" si="11"/>
        <v>5.4</v>
      </c>
      <c r="O248" s="140" t="s">
        <v>1156</v>
      </c>
      <c r="P248" s="183" t="s">
        <v>1294</v>
      </c>
      <c r="Q248" s="196"/>
    </row>
    <row r="249" spans="2:17" s="144" customFormat="1" ht="19.5" customHeight="1">
      <c r="C249" s="133">
        <v>244</v>
      </c>
      <c r="D249" s="180" t="s">
        <v>1289</v>
      </c>
      <c r="E249" s="181" t="s">
        <v>1545</v>
      </c>
      <c r="F249" s="135" t="s">
        <v>4296</v>
      </c>
      <c r="G249" s="135" t="s">
        <v>1613</v>
      </c>
      <c r="H249" s="154" t="s">
        <v>1616</v>
      </c>
      <c r="I249" s="155"/>
      <c r="J249" s="137"/>
      <c r="K249" s="138" t="s">
        <v>1607</v>
      </c>
      <c r="L249" s="189">
        <f t="shared" si="9"/>
        <v>5.4</v>
      </c>
      <c r="M249" s="140">
        <f t="shared" si="10"/>
        <v>1</v>
      </c>
      <c r="N249" s="141">
        <f t="shared" si="11"/>
        <v>5.4</v>
      </c>
      <c r="O249" s="140" t="s">
        <v>1156</v>
      </c>
      <c r="P249" s="183" t="s">
        <v>1294</v>
      </c>
      <c r="Q249" s="196"/>
    </row>
    <row r="250" spans="2:17" s="144" customFormat="1" ht="19.5" customHeight="1">
      <c r="C250" s="133">
        <v>245</v>
      </c>
      <c r="D250" s="180" t="s">
        <v>1289</v>
      </c>
      <c r="E250" s="181" t="s">
        <v>1545</v>
      </c>
      <c r="F250" s="135" t="s">
        <v>4297</v>
      </c>
      <c r="G250" s="135" t="s">
        <v>1613</v>
      </c>
      <c r="H250" s="154" t="s">
        <v>1617</v>
      </c>
      <c r="I250" s="155"/>
      <c r="J250" s="137"/>
      <c r="K250" s="138" t="s">
        <v>1607</v>
      </c>
      <c r="L250" s="189">
        <f t="shared" si="9"/>
        <v>5.4</v>
      </c>
      <c r="M250" s="140">
        <f t="shared" si="10"/>
        <v>1</v>
      </c>
      <c r="N250" s="141">
        <f t="shared" si="11"/>
        <v>5.4</v>
      </c>
      <c r="O250" s="140" t="s">
        <v>1156</v>
      </c>
      <c r="P250" s="183" t="s">
        <v>1294</v>
      </c>
      <c r="Q250" s="196"/>
    </row>
    <row r="251" spans="2:17" s="144" customFormat="1" ht="19.5" customHeight="1">
      <c r="C251" s="133">
        <v>246</v>
      </c>
      <c r="D251" s="180" t="s">
        <v>1289</v>
      </c>
      <c r="E251" s="181" t="s">
        <v>1545</v>
      </c>
      <c r="F251" s="135" t="s">
        <v>4298</v>
      </c>
      <c r="G251" s="135" t="s">
        <v>1613</v>
      </c>
      <c r="H251" s="154" t="s">
        <v>1618</v>
      </c>
      <c r="I251" s="155"/>
      <c r="J251" s="137"/>
      <c r="K251" s="138" t="s">
        <v>1607</v>
      </c>
      <c r="L251" s="189">
        <f t="shared" si="9"/>
        <v>5.4</v>
      </c>
      <c r="M251" s="140">
        <f t="shared" si="10"/>
        <v>1</v>
      </c>
      <c r="N251" s="141">
        <f t="shared" si="11"/>
        <v>5.4</v>
      </c>
      <c r="O251" s="140" t="s">
        <v>1156</v>
      </c>
      <c r="P251" s="183" t="s">
        <v>1294</v>
      </c>
      <c r="Q251" s="196"/>
    </row>
    <row r="252" spans="2:17" s="144" customFormat="1" ht="19.5" customHeight="1">
      <c r="C252" s="133">
        <v>247</v>
      </c>
      <c r="D252" s="180" t="s">
        <v>1289</v>
      </c>
      <c r="E252" s="181" t="s">
        <v>1545</v>
      </c>
      <c r="F252" s="135" t="s">
        <v>4299</v>
      </c>
      <c r="G252" s="135" t="s">
        <v>1613</v>
      </c>
      <c r="H252" s="154" t="s">
        <v>1619</v>
      </c>
      <c r="I252" s="155"/>
      <c r="J252" s="137"/>
      <c r="K252" s="138" t="s">
        <v>1607</v>
      </c>
      <c r="L252" s="189">
        <f t="shared" si="9"/>
        <v>5.4</v>
      </c>
      <c r="M252" s="140">
        <f t="shared" si="10"/>
        <v>1</v>
      </c>
      <c r="N252" s="141">
        <f t="shared" si="11"/>
        <v>5.4</v>
      </c>
      <c r="O252" s="140" t="s">
        <v>1156</v>
      </c>
      <c r="P252" s="183" t="s">
        <v>1294</v>
      </c>
      <c r="Q252" s="196"/>
    </row>
    <row r="253" spans="2:17" s="144" customFormat="1" ht="19.5" customHeight="1">
      <c r="B253" s="144" t="s">
        <v>1288</v>
      </c>
      <c r="C253" s="133">
        <v>248</v>
      </c>
      <c r="D253" s="180" t="s">
        <v>1289</v>
      </c>
      <c r="E253" s="199" t="s">
        <v>1620</v>
      </c>
      <c r="F253" s="135" t="s">
        <v>4300</v>
      </c>
      <c r="G253" s="181" t="s">
        <v>1621</v>
      </c>
      <c r="H253" s="199" t="s">
        <v>1622</v>
      </c>
      <c r="I253" s="200" t="s">
        <v>1623</v>
      </c>
      <c r="J253" s="137"/>
      <c r="K253" s="201" t="s">
        <v>1155</v>
      </c>
      <c r="L253" s="189">
        <f t="shared" si="9"/>
        <v>7.5</v>
      </c>
      <c r="M253" s="140">
        <f t="shared" si="10"/>
        <v>1</v>
      </c>
      <c r="N253" s="141">
        <f t="shared" si="11"/>
        <v>7.5</v>
      </c>
      <c r="O253" s="140" t="s">
        <v>1156</v>
      </c>
      <c r="P253" s="183" t="s">
        <v>1294</v>
      </c>
      <c r="Q253" s="184"/>
    </row>
    <row r="254" spans="2:17" s="144" customFormat="1" ht="19.5" customHeight="1">
      <c r="B254" s="144" t="s">
        <v>1288</v>
      </c>
      <c r="C254" s="133">
        <v>249</v>
      </c>
      <c r="D254" s="180" t="s">
        <v>1289</v>
      </c>
      <c r="E254" s="199" t="s">
        <v>1620</v>
      </c>
      <c r="F254" s="135" t="s">
        <v>4301</v>
      </c>
      <c r="G254" s="181" t="s">
        <v>1621</v>
      </c>
      <c r="H254" s="199" t="s">
        <v>1624</v>
      </c>
      <c r="I254" s="200"/>
      <c r="J254" s="137"/>
      <c r="K254" s="201" t="s">
        <v>1155</v>
      </c>
      <c r="L254" s="189">
        <f t="shared" si="9"/>
        <v>7.5</v>
      </c>
      <c r="M254" s="140">
        <f t="shared" si="10"/>
        <v>1</v>
      </c>
      <c r="N254" s="141">
        <f t="shared" si="11"/>
        <v>7.5</v>
      </c>
      <c r="O254" s="140" t="s">
        <v>1156</v>
      </c>
      <c r="P254" s="183" t="s">
        <v>1294</v>
      </c>
      <c r="Q254" s="184"/>
    </row>
    <row r="255" spans="2:17" s="144" customFormat="1" ht="19.5" customHeight="1">
      <c r="B255" s="144" t="s">
        <v>1288</v>
      </c>
      <c r="C255" s="133">
        <v>250</v>
      </c>
      <c r="D255" s="180" t="s">
        <v>1289</v>
      </c>
      <c r="E255" s="199" t="s">
        <v>5418</v>
      </c>
      <c r="F255" s="135" t="s">
        <v>3721</v>
      </c>
      <c r="G255" s="181" t="s">
        <v>1625</v>
      </c>
      <c r="H255" s="199" t="s">
        <v>1626</v>
      </c>
      <c r="I255" s="200"/>
      <c r="J255" s="137"/>
      <c r="K255" s="201" t="s">
        <v>1155</v>
      </c>
      <c r="L255" s="189">
        <f t="shared" si="9"/>
        <v>7.5</v>
      </c>
      <c r="M255" s="140">
        <f t="shared" si="10"/>
        <v>1</v>
      </c>
      <c r="N255" s="141">
        <f t="shared" si="11"/>
        <v>7.5</v>
      </c>
      <c r="O255" s="140" t="s">
        <v>1156</v>
      </c>
      <c r="P255" s="183" t="s">
        <v>1294</v>
      </c>
      <c r="Q255" s="184"/>
    </row>
    <row r="256" spans="2:17" s="144" customFormat="1" ht="19.5" customHeight="1">
      <c r="B256" s="144" t="s">
        <v>1288</v>
      </c>
      <c r="C256" s="133">
        <v>251</v>
      </c>
      <c r="D256" s="202" t="s">
        <v>1289</v>
      </c>
      <c r="E256" s="203" t="s">
        <v>1620</v>
      </c>
      <c r="F256" s="135" t="s">
        <v>4302</v>
      </c>
      <c r="G256" s="204" t="s">
        <v>1625</v>
      </c>
      <c r="H256" s="203" t="s">
        <v>1625</v>
      </c>
      <c r="I256" s="205"/>
      <c r="J256" s="137"/>
      <c r="K256" s="206" t="s">
        <v>1155</v>
      </c>
      <c r="L256" s="207">
        <f t="shared" si="9"/>
        <v>7.5</v>
      </c>
      <c r="M256" s="171">
        <f t="shared" si="10"/>
        <v>1</v>
      </c>
      <c r="N256" s="172">
        <f t="shared" si="11"/>
        <v>7.5</v>
      </c>
      <c r="O256" s="171" t="s">
        <v>1156</v>
      </c>
      <c r="P256" s="183" t="s">
        <v>1294</v>
      </c>
      <c r="Q256" s="208"/>
    </row>
  </sheetData>
  <protectedRanges>
    <protectedRange sqref="K253:K256" name="범위1_3_1_3_1_3_3_1"/>
  </protectedRanges>
  <mergeCells count="10">
    <mergeCell ref="I4:I5"/>
    <mergeCell ref="K4:M4"/>
    <mergeCell ref="O4:O5"/>
    <mergeCell ref="P4:P5"/>
    <mergeCell ref="C4:C5"/>
    <mergeCell ref="D4:D5"/>
    <mergeCell ref="E4:E5"/>
    <mergeCell ref="F4:F5"/>
    <mergeCell ref="G4:G5"/>
    <mergeCell ref="H4:H5"/>
  </mergeCells>
  <phoneticPr fontId="15" type="noConversion"/>
  <conditionalFormatting sqref="K4:K5">
    <cfRule type="cellIs" dxfId="170" priority="76" operator="equal">
      <formula>"EIF"</formula>
    </cfRule>
    <cfRule type="cellIs" dxfId="169" priority="77" operator="equal">
      <formula>"ILF"</formula>
    </cfRule>
  </conditionalFormatting>
  <conditionalFormatting sqref="K82:K83">
    <cfRule type="cellIs" dxfId="168" priority="55" operator="equal">
      <formula>"EIF"</formula>
    </cfRule>
    <cfRule type="cellIs" dxfId="167" priority="56" operator="equal">
      <formula>"ILF"</formula>
    </cfRule>
  </conditionalFormatting>
  <conditionalFormatting sqref="K93 K96 K98:K99">
    <cfRule type="cellIs" dxfId="166" priority="37" operator="equal">
      <formula>"EIF"</formula>
    </cfRule>
    <cfRule type="cellIs" dxfId="165" priority="38" operator="equal">
      <formula>"ILF"</formula>
    </cfRule>
  </conditionalFormatting>
  <conditionalFormatting sqref="K103:K104 K108 K113:K114 K119:K120">
    <cfRule type="cellIs" dxfId="164" priority="19" operator="equal">
      <formula>"EIF"</formula>
    </cfRule>
    <cfRule type="cellIs" dxfId="163" priority="20" operator="equal">
      <formula>"ILF"</formula>
    </cfRule>
  </conditionalFormatting>
  <conditionalFormatting sqref="K137:K138 K142:K143 K149:K150 K154:K155 K159:K160 K165:K166">
    <cfRule type="cellIs" dxfId="162" priority="1" operator="equal">
      <formula>"EIF"</formula>
    </cfRule>
    <cfRule type="cellIs" dxfId="161" priority="2" operator="equal">
      <formula>"ILF"</formula>
    </cfRule>
  </conditionalFormatting>
  <dataValidations count="1">
    <dataValidation type="list" allowBlank="1" showInputMessage="1" showErrorMessage="1" sqref="K181:K189 K6:K81 K161:K164 K84:K87 K90 K94:K95 K97 K100:K102 K105:K107 K109:K112 K115:K118 K121 K139:K141 K144:K148 K167 K151:K153 K156:K158 K193:K256">
      <formula1>"ILF,EIF,EI,EO,EQ"</formula1>
    </dataValidation>
  </dataValidations>
  <pageMargins left="0.27559055118110237" right="0.23622047244094491" top="0.27559055118110237" bottom="0.39370078740157483" header="0.19685039370078741" footer="0.31496062992125984"/>
  <pageSetup paperSize="9" scale="50" orientation="landscape" r:id="rId1"/>
  <extLst>
    <ext xmlns:x14="http://schemas.microsoft.com/office/spreadsheetml/2009/9/main" uri="{78C0D931-6437-407d-A8EE-F0AAD7539E65}">
      <x14:conditionalFormattings>
        <x14:conditionalFormatting xmlns:xm="http://schemas.microsoft.com/office/excel/2006/main">
          <x14:cfRule type="cellIs" priority="73" operator="equal" id="{906D45ED-E1C3-457B-8AC4-BA040B1CCB5A}">
            <xm:f>'1-1.클라우드 FP'!#REF!</xm:f>
            <x14:dxf>
              <font>
                <color rgb="FF9C0006"/>
              </font>
              <fill>
                <patternFill>
                  <bgColor rgb="FFFFC7CE"/>
                </patternFill>
              </fill>
            </x14:dxf>
          </x14:cfRule>
          <x14:cfRule type="containsText" priority="74" operator="containsText" id="{9A912F0A-1663-4AAD-8357-355F7E1AA75F}">
            <xm:f>NOT(ISERROR(SEARCH('1-1.클라우드 FP'!#REF!,'1-1.클라우드 FP'!O37)))</xm:f>
            <xm:f>'1-1.클라우드 FP'!#REF!</xm:f>
            <x14:dxf>
              <font>
                <color theme="9" tint="-0.499984740745262"/>
              </font>
              <fill>
                <patternFill>
                  <bgColor rgb="FFFFFF00"/>
                </patternFill>
              </fill>
            </x14:dxf>
          </x14:cfRule>
          <x14:cfRule type="containsText" priority="75" operator="containsText" id="{CFA7B66A-17FF-4CE2-AD71-35B3A9C34D97}">
            <xm:f>NOT(ISERROR(SEARCH('1-1.클라우드 FP'!#REF!+'1-1.클라우드 FP'!#REF!,'1-1.클라우드 FP'!O37)))</xm:f>
            <xm:f>'1-1.클라우드 FP'!#REF!+'1-1.클라우드 FP'!#REF!</xm:f>
            <x14:dxf>
              <font>
                <color rgb="FF002060"/>
              </font>
              <fill>
                <patternFill>
                  <bgColor theme="3" tint="0.59996337778862885"/>
                </patternFill>
              </fill>
            </x14:dxf>
          </x14:cfRule>
          <xm:sqref>O31:O81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Q63"/>
  <sheetViews>
    <sheetView view="pageBreakPreview" topLeftCell="D34" zoomScale="85" zoomScaleNormal="70" zoomScaleSheetLayoutView="85" workbookViewId="0">
      <selection activeCell="G30" sqref="G30"/>
    </sheetView>
  </sheetViews>
  <sheetFormatPr defaultColWidth="8.85546875" defaultRowHeight="13.5"/>
  <cols>
    <col min="1" max="1" width="2.85546875" style="177" customWidth="1"/>
    <col min="2" max="2" width="0" style="177" hidden="1" customWidth="1"/>
    <col min="3" max="3" width="8.85546875" style="177"/>
    <col min="4" max="4" width="18" style="177" customWidth="1"/>
    <col min="5" max="5" width="45.7109375" style="177" customWidth="1"/>
    <col min="6" max="6" width="16.7109375" style="177" bestFit="1" customWidth="1"/>
    <col min="7" max="7" width="22.7109375" style="177" customWidth="1"/>
    <col min="8" max="8" width="36.7109375" style="177" bestFit="1" customWidth="1"/>
    <col min="9" max="9" width="37.7109375" style="177" bestFit="1" customWidth="1"/>
    <col min="10" max="10" width="3.85546875" style="177" customWidth="1"/>
    <col min="11" max="11" width="8.85546875" style="177"/>
    <col min="12" max="12" width="12.28515625" style="177" customWidth="1"/>
    <col min="13" max="13" width="11.42578125" style="177" customWidth="1"/>
    <col min="14" max="14" width="10.28515625" style="177" customWidth="1"/>
    <col min="15" max="15" width="11.28515625" style="209" customWidth="1"/>
    <col min="16" max="16" width="8.85546875" style="177"/>
    <col min="17" max="17" width="0" style="177" hidden="1" customWidth="1"/>
    <col min="18" max="16384" width="8.85546875" style="177"/>
  </cols>
  <sheetData>
    <row r="2" spans="3:17" ht="26.25">
      <c r="C2" s="126" t="s">
        <v>1627</v>
      </c>
    </row>
    <row r="4" spans="3:17" s="127" customFormat="1" ht="22.5" customHeight="1">
      <c r="C4" s="614" t="s">
        <v>1135</v>
      </c>
      <c r="D4" s="616" t="s">
        <v>543</v>
      </c>
      <c r="E4" s="616" t="s">
        <v>1136</v>
      </c>
      <c r="F4" s="618" t="s">
        <v>1628</v>
      </c>
      <c r="G4" s="616" t="s">
        <v>1138</v>
      </c>
      <c r="H4" s="616" t="s">
        <v>1139</v>
      </c>
      <c r="I4" s="607" t="s">
        <v>1140</v>
      </c>
      <c r="K4" s="609" t="s">
        <v>1141</v>
      </c>
      <c r="L4" s="610"/>
      <c r="M4" s="610"/>
      <c r="N4" s="128" t="s">
        <v>1142</v>
      </c>
      <c r="O4" s="610" t="s">
        <v>1143</v>
      </c>
      <c r="P4" s="612" t="s">
        <v>1144</v>
      </c>
      <c r="Q4" s="129" t="s">
        <v>1145</v>
      </c>
    </row>
    <row r="5" spans="3:17" s="127" customFormat="1" ht="22.5" customHeight="1">
      <c r="C5" s="615"/>
      <c r="D5" s="617"/>
      <c r="E5" s="617"/>
      <c r="F5" s="619"/>
      <c r="G5" s="617"/>
      <c r="H5" s="617"/>
      <c r="I5" s="608"/>
      <c r="K5" s="130" t="s">
        <v>1146</v>
      </c>
      <c r="L5" s="131" t="s">
        <v>1147</v>
      </c>
      <c r="M5" s="131" t="s">
        <v>1148</v>
      </c>
      <c r="N5" s="131" t="s">
        <v>1149</v>
      </c>
      <c r="O5" s="611"/>
      <c r="P5" s="613"/>
      <c r="Q5" s="132"/>
    </row>
    <row r="6" spans="3:17" s="144" customFormat="1" ht="19.5" customHeight="1">
      <c r="C6" s="133">
        <v>1</v>
      </c>
      <c r="D6" s="134" t="s">
        <v>1629</v>
      </c>
      <c r="E6" s="135" t="s">
        <v>1630</v>
      </c>
      <c r="F6" s="135" t="s">
        <v>4001</v>
      </c>
      <c r="G6" s="210" t="s">
        <v>1631</v>
      </c>
      <c r="H6" s="210" t="s">
        <v>1632</v>
      </c>
      <c r="I6" s="211" t="s">
        <v>1633</v>
      </c>
      <c r="J6" s="137"/>
      <c r="K6" s="146" t="s">
        <v>1607</v>
      </c>
      <c r="L6" s="139">
        <f t="shared" ref="L6:L63" si="0">IF(K6="","",IF(K6="EI",4,IF(K6="EO",5.2,IF(K6="EQ",3.9,IF(K6="ILF",7.5,IF(K6="EIF",5.4))))))</f>
        <v>5.4</v>
      </c>
      <c r="M6" s="140">
        <f t="shared" ref="M6:M63" si="1">IF(O6="","",IF(O6="신규",1,IF(O6="고도화",1.04,IF(O6="재사용",0.25))))</f>
        <v>1</v>
      </c>
      <c r="N6" s="141">
        <f t="shared" ref="N6:N63" si="2">L6*M6</f>
        <v>5.4</v>
      </c>
      <c r="O6" s="142" t="s">
        <v>1156</v>
      </c>
      <c r="P6" s="143" t="s">
        <v>1532</v>
      </c>
    </row>
    <row r="7" spans="3:17" s="144" customFormat="1" ht="19.5" customHeight="1">
      <c r="C7" s="133">
        <v>2</v>
      </c>
      <c r="D7" s="134" t="s">
        <v>1629</v>
      </c>
      <c r="E7" s="135" t="s">
        <v>1630</v>
      </c>
      <c r="F7" s="135" t="s">
        <v>4002</v>
      </c>
      <c r="G7" s="210" t="s">
        <v>1634</v>
      </c>
      <c r="H7" s="210" t="s">
        <v>1632</v>
      </c>
      <c r="I7" s="211" t="s">
        <v>1635</v>
      </c>
      <c r="J7" s="137"/>
      <c r="K7" s="146" t="s">
        <v>1607</v>
      </c>
      <c r="L7" s="139">
        <f t="shared" si="0"/>
        <v>5.4</v>
      </c>
      <c r="M7" s="140">
        <f t="shared" si="1"/>
        <v>1</v>
      </c>
      <c r="N7" s="141">
        <f t="shared" si="2"/>
        <v>5.4</v>
      </c>
      <c r="O7" s="142" t="s">
        <v>1156</v>
      </c>
      <c r="P7" s="143" t="s">
        <v>1532</v>
      </c>
    </row>
    <row r="8" spans="3:17" s="144" customFormat="1" ht="19.5" customHeight="1">
      <c r="C8" s="133">
        <v>3</v>
      </c>
      <c r="D8" s="134" t="s">
        <v>1629</v>
      </c>
      <c r="E8" s="135" t="s">
        <v>1630</v>
      </c>
      <c r="F8" s="135" t="s">
        <v>4003</v>
      </c>
      <c r="G8" s="210" t="s">
        <v>1634</v>
      </c>
      <c r="H8" s="210" t="s">
        <v>1632</v>
      </c>
      <c r="I8" s="211" t="s">
        <v>1636</v>
      </c>
      <c r="J8" s="137"/>
      <c r="K8" s="146" t="s">
        <v>1607</v>
      </c>
      <c r="L8" s="139">
        <f t="shared" si="0"/>
        <v>5.4</v>
      </c>
      <c r="M8" s="140">
        <f t="shared" si="1"/>
        <v>1</v>
      </c>
      <c r="N8" s="141">
        <f t="shared" si="2"/>
        <v>5.4</v>
      </c>
      <c r="O8" s="142" t="s">
        <v>1156</v>
      </c>
      <c r="P8" s="143" t="s">
        <v>1532</v>
      </c>
    </row>
    <row r="9" spans="3:17" s="144" customFormat="1" ht="19.5" customHeight="1">
      <c r="C9" s="133">
        <v>4</v>
      </c>
      <c r="D9" s="134" t="s">
        <v>1629</v>
      </c>
      <c r="E9" s="135" t="s">
        <v>1630</v>
      </c>
      <c r="F9" s="135" t="s">
        <v>4004</v>
      </c>
      <c r="G9" s="210" t="s">
        <v>1634</v>
      </c>
      <c r="H9" s="210" t="s">
        <v>1632</v>
      </c>
      <c r="I9" s="211" t="s">
        <v>1637</v>
      </c>
      <c r="J9" s="137"/>
      <c r="K9" s="146" t="s">
        <v>1607</v>
      </c>
      <c r="L9" s="139">
        <f t="shared" si="0"/>
        <v>5.4</v>
      </c>
      <c r="M9" s="140">
        <f t="shared" si="1"/>
        <v>1</v>
      </c>
      <c r="N9" s="141">
        <f t="shared" si="2"/>
        <v>5.4</v>
      </c>
      <c r="O9" s="142" t="s">
        <v>1156</v>
      </c>
      <c r="P9" s="143" t="s">
        <v>1532</v>
      </c>
    </row>
    <row r="10" spans="3:17" s="144" customFormat="1" ht="19.5" customHeight="1">
      <c r="C10" s="133">
        <v>5</v>
      </c>
      <c r="D10" s="134" t="s">
        <v>1629</v>
      </c>
      <c r="E10" s="135" t="s">
        <v>1630</v>
      </c>
      <c r="F10" s="135" t="s">
        <v>4005</v>
      </c>
      <c r="G10" s="210" t="s">
        <v>1634</v>
      </c>
      <c r="H10" s="210" t="s">
        <v>1632</v>
      </c>
      <c r="I10" s="211" t="s">
        <v>1638</v>
      </c>
      <c r="J10" s="137"/>
      <c r="K10" s="146" t="s">
        <v>1607</v>
      </c>
      <c r="L10" s="139">
        <f t="shared" si="0"/>
        <v>5.4</v>
      </c>
      <c r="M10" s="140">
        <f t="shared" si="1"/>
        <v>1</v>
      </c>
      <c r="N10" s="141">
        <f t="shared" si="2"/>
        <v>5.4</v>
      </c>
      <c r="O10" s="142" t="s">
        <v>1156</v>
      </c>
      <c r="P10" s="143" t="s">
        <v>1532</v>
      </c>
    </row>
    <row r="11" spans="3:17" s="144" customFormat="1" ht="19.5" customHeight="1">
      <c r="C11" s="133">
        <v>6</v>
      </c>
      <c r="D11" s="134" t="s">
        <v>1629</v>
      </c>
      <c r="E11" s="135" t="s">
        <v>1630</v>
      </c>
      <c r="F11" s="135" t="s">
        <v>4006</v>
      </c>
      <c r="G11" s="210" t="s">
        <v>1634</v>
      </c>
      <c r="H11" s="210" t="s">
        <v>1632</v>
      </c>
      <c r="I11" s="211" t="s">
        <v>1639</v>
      </c>
      <c r="J11" s="137"/>
      <c r="K11" s="146" t="s">
        <v>1607</v>
      </c>
      <c r="L11" s="139">
        <f t="shared" si="0"/>
        <v>5.4</v>
      </c>
      <c r="M11" s="140">
        <f t="shared" si="1"/>
        <v>1</v>
      </c>
      <c r="N11" s="141">
        <f t="shared" si="2"/>
        <v>5.4</v>
      </c>
      <c r="O11" s="142" t="s">
        <v>1156</v>
      </c>
      <c r="P11" s="143" t="s">
        <v>1532</v>
      </c>
    </row>
    <row r="12" spans="3:17" s="144" customFormat="1" ht="19.5" customHeight="1">
      <c r="C12" s="147">
        <v>7</v>
      </c>
      <c r="D12" s="142" t="s">
        <v>1629</v>
      </c>
      <c r="E12" s="148" t="s">
        <v>1630</v>
      </c>
      <c r="F12" s="378" t="s">
        <v>4007</v>
      </c>
      <c r="G12" s="212" t="s">
        <v>1634</v>
      </c>
      <c r="H12" s="212" t="s">
        <v>1640</v>
      </c>
      <c r="I12" s="213" t="s">
        <v>1641</v>
      </c>
      <c r="J12" s="137"/>
      <c r="K12" s="146" t="s">
        <v>1607</v>
      </c>
      <c r="L12" s="139">
        <f t="shared" si="0"/>
        <v>5.4</v>
      </c>
      <c r="M12" s="140">
        <f t="shared" si="1"/>
        <v>1</v>
      </c>
      <c r="N12" s="141">
        <f t="shared" si="2"/>
        <v>5.4</v>
      </c>
      <c r="O12" s="142" t="s">
        <v>1156</v>
      </c>
      <c r="P12" s="143" t="s">
        <v>1532</v>
      </c>
    </row>
    <row r="13" spans="3:17" s="144" customFormat="1" ht="19.5" customHeight="1">
      <c r="C13" s="147">
        <v>8</v>
      </c>
      <c r="D13" s="142" t="s">
        <v>1629</v>
      </c>
      <c r="E13" s="148" t="s">
        <v>1630</v>
      </c>
      <c r="F13" s="378" t="s">
        <v>4008</v>
      </c>
      <c r="G13" s="212" t="s">
        <v>1634</v>
      </c>
      <c r="H13" s="212" t="s">
        <v>1642</v>
      </c>
      <c r="I13" s="214" t="s">
        <v>1643</v>
      </c>
      <c r="J13" s="137"/>
      <c r="K13" s="146" t="s">
        <v>1607</v>
      </c>
      <c r="L13" s="139">
        <f t="shared" si="0"/>
        <v>5.4</v>
      </c>
      <c r="M13" s="140">
        <f t="shared" si="1"/>
        <v>1</v>
      </c>
      <c r="N13" s="141">
        <f t="shared" si="2"/>
        <v>5.4</v>
      </c>
      <c r="O13" s="142" t="s">
        <v>1156</v>
      </c>
      <c r="P13" s="143" t="s">
        <v>1532</v>
      </c>
    </row>
    <row r="14" spans="3:17" s="144" customFormat="1" ht="19.5" customHeight="1">
      <c r="C14" s="147">
        <v>9</v>
      </c>
      <c r="D14" s="142" t="s">
        <v>1629</v>
      </c>
      <c r="E14" s="148" t="s">
        <v>1630</v>
      </c>
      <c r="F14" s="378" t="s">
        <v>4009</v>
      </c>
      <c r="G14" s="212" t="s">
        <v>1634</v>
      </c>
      <c r="H14" s="212" t="s">
        <v>1642</v>
      </c>
      <c r="I14" s="214" t="s">
        <v>1644</v>
      </c>
      <c r="J14" s="137"/>
      <c r="K14" s="146" t="s">
        <v>1607</v>
      </c>
      <c r="L14" s="139">
        <f t="shared" si="0"/>
        <v>5.4</v>
      </c>
      <c r="M14" s="140">
        <f t="shared" si="1"/>
        <v>1</v>
      </c>
      <c r="N14" s="141">
        <f t="shared" si="2"/>
        <v>5.4</v>
      </c>
      <c r="O14" s="142" t="s">
        <v>1156</v>
      </c>
      <c r="P14" s="143" t="s">
        <v>1532</v>
      </c>
    </row>
    <row r="15" spans="3:17" s="144" customFormat="1" ht="19.5" customHeight="1">
      <c r="C15" s="147">
        <v>10</v>
      </c>
      <c r="D15" s="142" t="s">
        <v>1629</v>
      </c>
      <c r="E15" s="148" t="s">
        <v>1630</v>
      </c>
      <c r="F15" s="378" t="s">
        <v>4010</v>
      </c>
      <c r="G15" s="212" t="s">
        <v>1634</v>
      </c>
      <c r="H15" s="212" t="s">
        <v>1642</v>
      </c>
      <c r="I15" s="214" t="s">
        <v>1645</v>
      </c>
      <c r="J15" s="137"/>
      <c r="K15" s="146" t="s">
        <v>1607</v>
      </c>
      <c r="L15" s="139">
        <f t="shared" si="0"/>
        <v>5.4</v>
      </c>
      <c r="M15" s="140">
        <f t="shared" si="1"/>
        <v>1</v>
      </c>
      <c r="N15" s="141">
        <f t="shared" si="2"/>
        <v>5.4</v>
      </c>
      <c r="O15" s="142" t="s">
        <v>1156</v>
      </c>
      <c r="P15" s="143" t="s">
        <v>1532</v>
      </c>
    </row>
    <row r="16" spans="3:17" s="144" customFormat="1" ht="19.5" customHeight="1">
      <c r="C16" s="147">
        <v>11</v>
      </c>
      <c r="D16" s="142" t="s">
        <v>1629</v>
      </c>
      <c r="E16" s="148" t="s">
        <v>1630</v>
      </c>
      <c r="F16" s="378" t="s">
        <v>4011</v>
      </c>
      <c r="G16" s="212" t="s">
        <v>1634</v>
      </c>
      <c r="H16" s="212" t="s">
        <v>1642</v>
      </c>
      <c r="I16" s="214" t="s">
        <v>1646</v>
      </c>
      <c r="J16" s="137"/>
      <c r="K16" s="146" t="s">
        <v>1607</v>
      </c>
      <c r="L16" s="139">
        <f t="shared" si="0"/>
        <v>5.4</v>
      </c>
      <c r="M16" s="140">
        <f t="shared" si="1"/>
        <v>1</v>
      </c>
      <c r="N16" s="141">
        <f t="shared" si="2"/>
        <v>5.4</v>
      </c>
      <c r="O16" s="142" t="s">
        <v>1156</v>
      </c>
      <c r="P16" s="143" t="s">
        <v>1532</v>
      </c>
    </row>
    <row r="17" spans="3:16" s="144" customFormat="1" ht="19.5" customHeight="1">
      <c r="C17" s="147">
        <v>12</v>
      </c>
      <c r="D17" s="142" t="s">
        <v>1629</v>
      </c>
      <c r="E17" s="148" t="s">
        <v>1630</v>
      </c>
      <c r="F17" s="378" t="s">
        <v>4012</v>
      </c>
      <c r="G17" s="212" t="s">
        <v>1634</v>
      </c>
      <c r="H17" s="212" t="s">
        <v>1642</v>
      </c>
      <c r="I17" s="214" t="s">
        <v>1647</v>
      </c>
      <c r="J17" s="137"/>
      <c r="K17" s="146" t="s">
        <v>1160</v>
      </c>
      <c r="L17" s="139">
        <f t="shared" si="0"/>
        <v>3.9</v>
      </c>
      <c r="M17" s="140">
        <f t="shared" si="1"/>
        <v>1</v>
      </c>
      <c r="N17" s="141">
        <f t="shared" si="2"/>
        <v>3.9</v>
      </c>
      <c r="O17" s="142" t="s">
        <v>1156</v>
      </c>
      <c r="P17" s="143" t="s">
        <v>1532</v>
      </c>
    </row>
    <row r="18" spans="3:16" s="144" customFormat="1" ht="19.5" customHeight="1">
      <c r="C18" s="147">
        <v>13</v>
      </c>
      <c r="D18" s="142" t="s">
        <v>1629</v>
      </c>
      <c r="E18" s="148" t="s">
        <v>1630</v>
      </c>
      <c r="F18" s="378" t="s">
        <v>4013</v>
      </c>
      <c r="G18" s="212" t="s">
        <v>1634</v>
      </c>
      <c r="H18" s="212" t="s">
        <v>1648</v>
      </c>
      <c r="I18" s="214" t="s">
        <v>1649</v>
      </c>
      <c r="J18" s="137"/>
      <c r="K18" s="146" t="s">
        <v>1160</v>
      </c>
      <c r="L18" s="139">
        <f t="shared" si="0"/>
        <v>3.9</v>
      </c>
      <c r="M18" s="140">
        <f t="shared" si="1"/>
        <v>1</v>
      </c>
      <c r="N18" s="141">
        <f t="shared" si="2"/>
        <v>3.9</v>
      </c>
      <c r="O18" s="142" t="s">
        <v>1156</v>
      </c>
      <c r="P18" s="143" t="s">
        <v>1532</v>
      </c>
    </row>
    <row r="19" spans="3:16" s="144" customFormat="1" ht="19.5" customHeight="1">
      <c r="C19" s="147">
        <v>14</v>
      </c>
      <c r="D19" s="142" t="s">
        <v>1629</v>
      </c>
      <c r="E19" s="148" t="s">
        <v>1630</v>
      </c>
      <c r="F19" s="378" t="s">
        <v>4014</v>
      </c>
      <c r="G19" s="212" t="s">
        <v>1634</v>
      </c>
      <c r="H19" s="212" t="s">
        <v>1650</v>
      </c>
      <c r="I19" s="214" t="s">
        <v>1651</v>
      </c>
      <c r="J19" s="137"/>
      <c r="K19" s="146" t="s">
        <v>1163</v>
      </c>
      <c r="L19" s="139">
        <f t="shared" si="0"/>
        <v>4</v>
      </c>
      <c r="M19" s="140">
        <f t="shared" si="1"/>
        <v>1</v>
      </c>
      <c r="N19" s="141">
        <f t="shared" si="2"/>
        <v>4</v>
      </c>
      <c r="O19" s="142" t="s">
        <v>1156</v>
      </c>
      <c r="P19" s="143" t="s">
        <v>1532</v>
      </c>
    </row>
    <row r="20" spans="3:16" s="144" customFormat="1" ht="19.5" customHeight="1">
      <c r="C20" s="147">
        <v>15</v>
      </c>
      <c r="D20" s="142" t="s">
        <v>1629</v>
      </c>
      <c r="E20" s="148" t="s">
        <v>1630</v>
      </c>
      <c r="F20" s="378" t="s">
        <v>4015</v>
      </c>
      <c r="G20" s="212" t="s">
        <v>1634</v>
      </c>
      <c r="H20" s="212" t="s">
        <v>1650</v>
      </c>
      <c r="I20" s="214" t="s">
        <v>1652</v>
      </c>
      <c r="J20" s="137"/>
      <c r="K20" s="146" t="s">
        <v>1170</v>
      </c>
      <c r="L20" s="139">
        <f t="shared" si="0"/>
        <v>5.2</v>
      </c>
      <c r="M20" s="140">
        <f t="shared" si="1"/>
        <v>1</v>
      </c>
      <c r="N20" s="141">
        <f t="shared" si="2"/>
        <v>5.2</v>
      </c>
      <c r="O20" s="142" t="s">
        <v>1156</v>
      </c>
      <c r="P20" s="143" t="s">
        <v>1532</v>
      </c>
    </row>
    <row r="21" spans="3:16" s="144" customFormat="1" ht="19.5" customHeight="1">
      <c r="C21" s="147">
        <v>16</v>
      </c>
      <c r="D21" s="142" t="s">
        <v>1629</v>
      </c>
      <c r="E21" s="148" t="s">
        <v>1630</v>
      </c>
      <c r="F21" s="378" t="s">
        <v>4016</v>
      </c>
      <c r="G21" s="212" t="s">
        <v>1634</v>
      </c>
      <c r="H21" s="212" t="s">
        <v>1650</v>
      </c>
      <c r="I21" s="214" t="s">
        <v>1653</v>
      </c>
      <c r="J21" s="137"/>
      <c r="K21" s="146" t="s">
        <v>1170</v>
      </c>
      <c r="L21" s="139">
        <f t="shared" si="0"/>
        <v>5.2</v>
      </c>
      <c r="M21" s="140">
        <f t="shared" si="1"/>
        <v>1</v>
      </c>
      <c r="N21" s="141">
        <f t="shared" si="2"/>
        <v>5.2</v>
      </c>
      <c r="O21" s="142" t="s">
        <v>1156</v>
      </c>
      <c r="P21" s="143" t="s">
        <v>1532</v>
      </c>
    </row>
    <row r="22" spans="3:16" s="144" customFormat="1" ht="19.5" customHeight="1">
      <c r="C22" s="147">
        <v>17</v>
      </c>
      <c r="D22" s="142" t="s">
        <v>1629</v>
      </c>
      <c r="E22" s="148" t="s">
        <v>1630</v>
      </c>
      <c r="F22" s="378" t="s">
        <v>4017</v>
      </c>
      <c r="G22" s="212" t="s">
        <v>1634</v>
      </c>
      <c r="H22" s="212" t="s">
        <v>1650</v>
      </c>
      <c r="I22" s="214" t="s">
        <v>1654</v>
      </c>
      <c r="J22" s="137"/>
      <c r="K22" s="146" t="s">
        <v>1170</v>
      </c>
      <c r="L22" s="139">
        <f t="shared" si="0"/>
        <v>5.2</v>
      </c>
      <c r="M22" s="140">
        <f t="shared" si="1"/>
        <v>1</v>
      </c>
      <c r="N22" s="141">
        <f t="shared" si="2"/>
        <v>5.2</v>
      </c>
      <c r="O22" s="142" t="s">
        <v>1156</v>
      </c>
      <c r="P22" s="143" t="s">
        <v>1532</v>
      </c>
    </row>
    <row r="23" spans="3:16" s="144" customFormat="1" ht="19.5" customHeight="1">
      <c r="C23" s="147">
        <v>18</v>
      </c>
      <c r="D23" s="142" t="s">
        <v>1629</v>
      </c>
      <c r="E23" s="148" t="s">
        <v>1630</v>
      </c>
      <c r="F23" s="378" t="s">
        <v>4018</v>
      </c>
      <c r="G23" s="212" t="s">
        <v>1634</v>
      </c>
      <c r="H23" s="212" t="s">
        <v>1650</v>
      </c>
      <c r="I23" s="214" t="s">
        <v>1655</v>
      </c>
      <c r="J23" s="137"/>
      <c r="K23" s="146" t="s">
        <v>1170</v>
      </c>
      <c r="L23" s="139">
        <f t="shared" si="0"/>
        <v>5.2</v>
      </c>
      <c r="M23" s="140">
        <f t="shared" si="1"/>
        <v>1</v>
      </c>
      <c r="N23" s="141">
        <f t="shared" si="2"/>
        <v>5.2</v>
      </c>
      <c r="O23" s="142" t="s">
        <v>1156</v>
      </c>
      <c r="P23" s="143" t="s">
        <v>1532</v>
      </c>
    </row>
    <row r="24" spans="3:16" s="144" customFormat="1" ht="19.5" customHeight="1">
      <c r="C24" s="147">
        <v>19</v>
      </c>
      <c r="D24" s="142" t="s">
        <v>1629</v>
      </c>
      <c r="E24" s="148" t="s">
        <v>1630</v>
      </c>
      <c r="F24" s="378" t="s">
        <v>4019</v>
      </c>
      <c r="G24" s="212" t="s">
        <v>1634</v>
      </c>
      <c r="H24" s="212" t="s">
        <v>1650</v>
      </c>
      <c r="I24" s="214" t="s">
        <v>1656</v>
      </c>
      <c r="J24" s="137"/>
      <c r="K24" s="146" t="s">
        <v>1170</v>
      </c>
      <c r="L24" s="139">
        <f t="shared" si="0"/>
        <v>5.2</v>
      </c>
      <c r="M24" s="140">
        <f t="shared" si="1"/>
        <v>1</v>
      </c>
      <c r="N24" s="141">
        <f t="shared" si="2"/>
        <v>5.2</v>
      </c>
      <c r="O24" s="142" t="s">
        <v>1156</v>
      </c>
      <c r="P24" s="143" t="s">
        <v>1532</v>
      </c>
    </row>
    <row r="25" spans="3:16" s="144" customFormat="1" ht="19.5" customHeight="1">
      <c r="C25" s="147">
        <v>20</v>
      </c>
      <c r="D25" s="142" t="s">
        <v>1629</v>
      </c>
      <c r="E25" s="148" t="s">
        <v>1630</v>
      </c>
      <c r="F25" s="378" t="s">
        <v>4020</v>
      </c>
      <c r="G25" s="212" t="s">
        <v>1634</v>
      </c>
      <c r="H25" s="212" t="s">
        <v>1650</v>
      </c>
      <c r="I25" s="214" t="s">
        <v>1657</v>
      </c>
      <c r="J25" s="137"/>
      <c r="K25" s="146" t="s">
        <v>1170</v>
      </c>
      <c r="L25" s="139">
        <f t="shared" si="0"/>
        <v>5.2</v>
      </c>
      <c r="M25" s="140">
        <f t="shared" si="1"/>
        <v>1</v>
      </c>
      <c r="N25" s="141">
        <f t="shared" si="2"/>
        <v>5.2</v>
      </c>
      <c r="O25" s="142" t="s">
        <v>1156</v>
      </c>
      <c r="P25" s="143" t="s">
        <v>1532</v>
      </c>
    </row>
    <row r="26" spans="3:16" s="144" customFormat="1" ht="19.5" customHeight="1">
      <c r="C26" s="147">
        <v>21</v>
      </c>
      <c r="D26" s="142" t="s">
        <v>1629</v>
      </c>
      <c r="E26" s="148" t="s">
        <v>1630</v>
      </c>
      <c r="F26" s="378" t="s">
        <v>4021</v>
      </c>
      <c r="G26" s="212" t="s">
        <v>1634</v>
      </c>
      <c r="H26" s="212" t="s">
        <v>1650</v>
      </c>
      <c r="I26" s="214" t="s">
        <v>1658</v>
      </c>
      <c r="J26" s="137"/>
      <c r="K26" s="146" t="s">
        <v>1607</v>
      </c>
      <c r="L26" s="139">
        <f t="shared" si="0"/>
        <v>5.4</v>
      </c>
      <c r="M26" s="140">
        <f t="shared" si="1"/>
        <v>1</v>
      </c>
      <c r="N26" s="141">
        <f t="shared" si="2"/>
        <v>5.4</v>
      </c>
      <c r="O26" s="142" t="s">
        <v>1156</v>
      </c>
      <c r="P26" s="143" t="s">
        <v>1532</v>
      </c>
    </row>
    <row r="27" spans="3:16" s="144" customFormat="1" ht="19.5" customHeight="1">
      <c r="C27" s="147">
        <v>22</v>
      </c>
      <c r="D27" s="142" t="s">
        <v>1629</v>
      </c>
      <c r="E27" s="148" t="s">
        <v>1630</v>
      </c>
      <c r="F27" s="148" t="s">
        <v>4022</v>
      </c>
      <c r="G27" s="212" t="s">
        <v>1634</v>
      </c>
      <c r="H27" s="212" t="s">
        <v>1659</v>
      </c>
      <c r="I27" s="214" t="s">
        <v>1660</v>
      </c>
      <c r="J27" s="137"/>
      <c r="K27" s="146" t="s">
        <v>1607</v>
      </c>
      <c r="L27" s="139">
        <f t="shared" si="0"/>
        <v>5.4</v>
      </c>
      <c r="M27" s="140">
        <f t="shared" si="1"/>
        <v>1</v>
      </c>
      <c r="N27" s="141">
        <f t="shared" si="2"/>
        <v>5.4</v>
      </c>
      <c r="O27" s="142" t="s">
        <v>1156</v>
      </c>
      <c r="P27" s="143" t="s">
        <v>1532</v>
      </c>
    </row>
    <row r="28" spans="3:16" s="144" customFormat="1" ht="19.5" customHeight="1">
      <c r="C28" s="147">
        <v>23</v>
      </c>
      <c r="D28" s="142" t="s">
        <v>1629</v>
      </c>
      <c r="E28" s="148" t="s">
        <v>1630</v>
      </c>
      <c r="F28" s="148" t="s">
        <v>4023</v>
      </c>
      <c r="G28" s="212" t="s">
        <v>1634</v>
      </c>
      <c r="H28" s="212" t="s">
        <v>1661</v>
      </c>
      <c r="I28" s="214" t="s">
        <v>1662</v>
      </c>
      <c r="J28" s="137"/>
      <c r="K28" s="146" t="s">
        <v>1155</v>
      </c>
      <c r="L28" s="139">
        <f t="shared" si="0"/>
        <v>7.5</v>
      </c>
      <c r="M28" s="140">
        <f t="shared" si="1"/>
        <v>1</v>
      </c>
      <c r="N28" s="141">
        <f t="shared" si="2"/>
        <v>7.5</v>
      </c>
      <c r="O28" s="142" t="s">
        <v>1156</v>
      </c>
      <c r="P28" s="143" t="s">
        <v>1532</v>
      </c>
    </row>
    <row r="29" spans="3:16" s="144" customFormat="1" ht="19.5" customHeight="1">
      <c r="C29" s="147">
        <v>24</v>
      </c>
      <c r="D29" s="142" t="s">
        <v>1629</v>
      </c>
      <c r="E29" s="148" t="s">
        <v>1630</v>
      </c>
      <c r="F29" s="148" t="s">
        <v>4024</v>
      </c>
      <c r="G29" s="212" t="s">
        <v>1634</v>
      </c>
      <c r="H29" s="212" t="s">
        <v>1661</v>
      </c>
      <c r="I29" s="214" t="s">
        <v>1663</v>
      </c>
      <c r="J29" s="137"/>
      <c r="K29" s="146" t="s">
        <v>1607</v>
      </c>
      <c r="L29" s="139">
        <f t="shared" si="0"/>
        <v>5.4</v>
      </c>
      <c r="M29" s="140">
        <f t="shared" si="1"/>
        <v>1</v>
      </c>
      <c r="N29" s="141">
        <f t="shared" si="2"/>
        <v>5.4</v>
      </c>
      <c r="O29" s="142" t="s">
        <v>1156</v>
      </c>
      <c r="P29" s="143" t="s">
        <v>1532</v>
      </c>
    </row>
    <row r="30" spans="3:16" s="144" customFormat="1" ht="19.5" customHeight="1">
      <c r="C30" s="147">
        <v>25</v>
      </c>
      <c r="D30" s="142" t="s">
        <v>1629</v>
      </c>
      <c r="E30" s="148" t="s">
        <v>1630</v>
      </c>
      <c r="F30" s="148" t="s">
        <v>4025</v>
      </c>
      <c r="G30" s="212" t="s">
        <v>1634</v>
      </c>
      <c r="H30" s="212" t="s">
        <v>1661</v>
      </c>
      <c r="I30" s="214" t="s">
        <v>1664</v>
      </c>
      <c r="J30" s="137"/>
      <c r="K30" s="146" t="s">
        <v>1170</v>
      </c>
      <c r="L30" s="139">
        <f t="shared" si="0"/>
        <v>5.2</v>
      </c>
      <c r="M30" s="140">
        <f t="shared" si="1"/>
        <v>1</v>
      </c>
      <c r="N30" s="141">
        <f t="shared" si="2"/>
        <v>5.2</v>
      </c>
      <c r="O30" s="142" t="s">
        <v>1156</v>
      </c>
      <c r="P30" s="143" t="s">
        <v>1532</v>
      </c>
    </row>
    <row r="31" spans="3:16" s="144" customFormat="1" ht="19.5" customHeight="1">
      <c r="C31" s="147">
        <v>26</v>
      </c>
      <c r="D31" s="142" t="s">
        <v>1629</v>
      </c>
      <c r="E31" s="148" t="s">
        <v>1630</v>
      </c>
      <c r="F31" s="148" t="s">
        <v>4026</v>
      </c>
      <c r="G31" s="212" t="s">
        <v>1634</v>
      </c>
      <c r="H31" s="212" t="s">
        <v>1661</v>
      </c>
      <c r="I31" s="214" t="s">
        <v>1665</v>
      </c>
      <c r="J31" s="137"/>
      <c r="K31" s="146" t="s">
        <v>1607</v>
      </c>
      <c r="L31" s="139">
        <f t="shared" si="0"/>
        <v>5.4</v>
      </c>
      <c r="M31" s="140">
        <f t="shared" si="1"/>
        <v>1</v>
      </c>
      <c r="N31" s="141">
        <f t="shared" si="2"/>
        <v>5.4</v>
      </c>
      <c r="O31" s="142" t="s">
        <v>1156</v>
      </c>
      <c r="P31" s="143" t="s">
        <v>1532</v>
      </c>
    </row>
    <row r="32" spans="3:16" s="144" customFormat="1" ht="19.5" customHeight="1">
      <c r="C32" s="147">
        <v>27</v>
      </c>
      <c r="D32" s="142" t="s">
        <v>1629</v>
      </c>
      <c r="E32" s="148" t="s">
        <v>1630</v>
      </c>
      <c r="F32" s="148" t="s">
        <v>4027</v>
      </c>
      <c r="G32" s="212" t="s">
        <v>1634</v>
      </c>
      <c r="H32" s="212" t="s">
        <v>1661</v>
      </c>
      <c r="I32" s="214" t="s">
        <v>1666</v>
      </c>
      <c r="J32" s="137"/>
      <c r="K32" s="146" t="s">
        <v>1170</v>
      </c>
      <c r="L32" s="139">
        <f t="shared" si="0"/>
        <v>5.2</v>
      </c>
      <c r="M32" s="140">
        <f t="shared" si="1"/>
        <v>1</v>
      </c>
      <c r="N32" s="141">
        <f t="shared" si="2"/>
        <v>5.2</v>
      </c>
      <c r="O32" s="142" t="s">
        <v>1156</v>
      </c>
      <c r="P32" s="143" t="s">
        <v>1532</v>
      </c>
    </row>
    <row r="33" spans="3:16" s="144" customFormat="1" ht="19.5" customHeight="1">
      <c r="C33" s="147">
        <v>28</v>
      </c>
      <c r="D33" s="142" t="s">
        <v>1629</v>
      </c>
      <c r="E33" s="148" t="s">
        <v>1630</v>
      </c>
      <c r="F33" s="148" t="s">
        <v>4028</v>
      </c>
      <c r="G33" s="212" t="s">
        <v>1634</v>
      </c>
      <c r="H33" s="212" t="s">
        <v>1661</v>
      </c>
      <c r="I33" s="214" t="s">
        <v>1667</v>
      </c>
      <c r="J33" s="137"/>
      <c r="K33" s="146" t="s">
        <v>1607</v>
      </c>
      <c r="L33" s="139">
        <f t="shared" si="0"/>
        <v>5.4</v>
      </c>
      <c r="M33" s="140">
        <f t="shared" si="1"/>
        <v>1</v>
      </c>
      <c r="N33" s="141">
        <f t="shared" si="2"/>
        <v>5.4</v>
      </c>
      <c r="O33" s="142" t="s">
        <v>1156</v>
      </c>
      <c r="P33" s="143" t="s">
        <v>1532</v>
      </c>
    </row>
    <row r="34" spans="3:16" s="144" customFormat="1" ht="19.5" customHeight="1">
      <c r="C34" s="147">
        <v>29</v>
      </c>
      <c r="D34" s="142" t="s">
        <v>1629</v>
      </c>
      <c r="E34" s="148" t="s">
        <v>1630</v>
      </c>
      <c r="F34" s="148" t="s">
        <v>4029</v>
      </c>
      <c r="G34" s="212" t="s">
        <v>1634</v>
      </c>
      <c r="H34" s="212" t="s">
        <v>1661</v>
      </c>
      <c r="I34" s="214" t="s">
        <v>1668</v>
      </c>
      <c r="J34" s="137"/>
      <c r="K34" s="146" t="s">
        <v>1607</v>
      </c>
      <c r="L34" s="139">
        <f t="shared" si="0"/>
        <v>5.4</v>
      </c>
      <c r="M34" s="140">
        <f t="shared" si="1"/>
        <v>1</v>
      </c>
      <c r="N34" s="141">
        <f t="shared" si="2"/>
        <v>5.4</v>
      </c>
      <c r="O34" s="142" t="s">
        <v>1156</v>
      </c>
      <c r="P34" s="143" t="s">
        <v>1532</v>
      </c>
    </row>
    <row r="35" spans="3:16" s="144" customFormat="1" ht="19.5" customHeight="1">
      <c r="C35" s="147">
        <v>30</v>
      </c>
      <c r="D35" s="142" t="s">
        <v>1629</v>
      </c>
      <c r="E35" s="148" t="s">
        <v>1630</v>
      </c>
      <c r="F35" s="378" t="s">
        <v>4030</v>
      </c>
      <c r="G35" s="212" t="s">
        <v>1634</v>
      </c>
      <c r="H35" s="212" t="s">
        <v>1661</v>
      </c>
      <c r="I35" s="214" t="s">
        <v>1669</v>
      </c>
      <c r="J35" s="137"/>
      <c r="K35" s="146" t="s">
        <v>1607</v>
      </c>
      <c r="L35" s="139">
        <f t="shared" si="0"/>
        <v>5.4</v>
      </c>
      <c r="M35" s="140">
        <f t="shared" si="1"/>
        <v>1</v>
      </c>
      <c r="N35" s="141">
        <f t="shared" si="2"/>
        <v>5.4</v>
      </c>
      <c r="O35" s="142" t="s">
        <v>1156</v>
      </c>
      <c r="P35" s="143" t="s">
        <v>1532</v>
      </c>
    </row>
    <row r="36" spans="3:16" s="144" customFormat="1" ht="19.5" customHeight="1">
      <c r="C36" s="147">
        <v>31</v>
      </c>
      <c r="D36" s="142" t="s">
        <v>1629</v>
      </c>
      <c r="E36" s="148" t="s">
        <v>1630</v>
      </c>
      <c r="F36" s="378" t="s">
        <v>4031</v>
      </c>
      <c r="G36" s="212" t="s">
        <v>1634</v>
      </c>
      <c r="H36" s="212" t="s">
        <v>1661</v>
      </c>
      <c r="I36" s="214" t="s">
        <v>1670</v>
      </c>
      <c r="J36" s="137"/>
      <c r="K36" s="146" t="s">
        <v>1607</v>
      </c>
      <c r="L36" s="139">
        <f t="shared" si="0"/>
        <v>5.4</v>
      </c>
      <c r="M36" s="140">
        <f t="shared" si="1"/>
        <v>1</v>
      </c>
      <c r="N36" s="141">
        <f t="shared" si="2"/>
        <v>5.4</v>
      </c>
      <c r="O36" s="142" t="s">
        <v>1156</v>
      </c>
      <c r="P36" s="143" t="s">
        <v>1532</v>
      </c>
    </row>
    <row r="37" spans="3:16" s="144" customFormat="1" ht="19.5" customHeight="1">
      <c r="C37" s="147">
        <v>32</v>
      </c>
      <c r="D37" s="142" t="s">
        <v>1629</v>
      </c>
      <c r="E37" s="148" t="s">
        <v>1630</v>
      </c>
      <c r="F37" s="378" t="s">
        <v>4032</v>
      </c>
      <c r="G37" s="212" t="s">
        <v>1634</v>
      </c>
      <c r="H37" s="212" t="s">
        <v>1661</v>
      </c>
      <c r="I37" s="214" t="s">
        <v>1671</v>
      </c>
      <c r="J37" s="137"/>
      <c r="K37" s="146" t="s">
        <v>1163</v>
      </c>
      <c r="L37" s="139">
        <f t="shared" si="0"/>
        <v>4</v>
      </c>
      <c r="M37" s="140">
        <f t="shared" si="1"/>
        <v>1</v>
      </c>
      <c r="N37" s="141">
        <f t="shared" si="2"/>
        <v>4</v>
      </c>
      <c r="O37" s="142" t="s">
        <v>1156</v>
      </c>
      <c r="P37" s="143" t="s">
        <v>1532</v>
      </c>
    </row>
    <row r="38" spans="3:16" s="144" customFormat="1" ht="19.5" customHeight="1">
      <c r="C38" s="147">
        <v>33</v>
      </c>
      <c r="D38" s="142" t="s">
        <v>1629</v>
      </c>
      <c r="E38" s="148" t="s">
        <v>1630</v>
      </c>
      <c r="F38" s="378" t="s">
        <v>4033</v>
      </c>
      <c r="G38" s="212" t="s">
        <v>1634</v>
      </c>
      <c r="H38" s="212" t="s">
        <v>1661</v>
      </c>
      <c r="I38" s="214" t="s">
        <v>1672</v>
      </c>
      <c r="J38" s="137"/>
      <c r="K38" s="146" t="s">
        <v>1160</v>
      </c>
      <c r="L38" s="139">
        <f t="shared" si="0"/>
        <v>3.9</v>
      </c>
      <c r="M38" s="140">
        <f t="shared" si="1"/>
        <v>1</v>
      </c>
      <c r="N38" s="141">
        <f t="shared" si="2"/>
        <v>3.9</v>
      </c>
      <c r="O38" s="142" t="s">
        <v>1156</v>
      </c>
      <c r="P38" s="143" t="s">
        <v>1532</v>
      </c>
    </row>
    <row r="39" spans="3:16" s="144" customFormat="1" ht="19.5" customHeight="1">
      <c r="C39" s="147">
        <v>34</v>
      </c>
      <c r="D39" s="142" t="s">
        <v>1629</v>
      </c>
      <c r="E39" s="148" t="s">
        <v>1630</v>
      </c>
      <c r="F39" s="148" t="s">
        <v>4034</v>
      </c>
      <c r="G39" s="212" t="s">
        <v>1634</v>
      </c>
      <c r="H39" s="212" t="s">
        <v>1673</v>
      </c>
      <c r="I39" s="214" t="s">
        <v>1674</v>
      </c>
      <c r="J39" s="137"/>
      <c r="K39" s="146" t="s">
        <v>1155</v>
      </c>
      <c r="L39" s="139">
        <f t="shared" si="0"/>
        <v>7.5</v>
      </c>
      <c r="M39" s="140">
        <f t="shared" si="1"/>
        <v>1</v>
      </c>
      <c r="N39" s="141">
        <f t="shared" si="2"/>
        <v>7.5</v>
      </c>
      <c r="O39" s="142" t="s">
        <v>1156</v>
      </c>
      <c r="P39" s="143" t="s">
        <v>1532</v>
      </c>
    </row>
    <row r="40" spans="3:16" s="144" customFormat="1" ht="19.5" customHeight="1">
      <c r="C40" s="147">
        <v>35</v>
      </c>
      <c r="D40" s="142" t="s">
        <v>1629</v>
      </c>
      <c r="E40" s="148" t="s">
        <v>1630</v>
      </c>
      <c r="F40" s="148" t="s">
        <v>4035</v>
      </c>
      <c r="G40" s="212" t="s">
        <v>1634</v>
      </c>
      <c r="H40" s="212" t="s">
        <v>1675</v>
      </c>
      <c r="I40" s="214" t="s">
        <v>1676</v>
      </c>
      <c r="J40" s="137"/>
      <c r="K40" s="146" t="s">
        <v>1155</v>
      </c>
      <c r="L40" s="139">
        <f t="shared" si="0"/>
        <v>7.5</v>
      </c>
      <c r="M40" s="140">
        <f t="shared" si="1"/>
        <v>1</v>
      </c>
      <c r="N40" s="141">
        <f t="shared" si="2"/>
        <v>7.5</v>
      </c>
      <c r="O40" s="142" t="s">
        <v>1156</v>
      </c>
      <c r="P40" s="143" t="s">
        <v>1532</v>
      </c>
    </row>
    <row r="41" spans="3:16" s="144" customFormat="1" ht="19.5" customHeight="1">
      <c r="C41" s="147">
        <v>36</v>
      </c>
      <c r="D41" s="142" t="s">
        <v>1629</v>
      </c>
      <c r="E41" s="148" t="s">
        <v>1630</v>
      </c>
      <c r="F41" s="148" t="s">
        <v>4036</v>
      </c>
      <c r="G41" s="212" t="s">
        <v>1634</v>
      </c>
      <c r="H41" s="212" t="s">
        <v>1675</v>
      </c>
      <c r="I41" s="214" t="s">
        <v>1677</v>
      </c>
      <c r="J41" s="137"/>
      <c r="K41" s="146" t="s">
        <v>1155</v>
      </c>
      <c r="L41" s="139">
        <f t="shared" si="0"/>
        <v>7.5</v>
      </c>
      <c r="M41" s="140">
        <f t="shared" si="1"/>
        <v>1</v>
      </c>
      <c r="N41" s="141">
        <f t="shared" si="2"/>
        <v>7.5</v>
      </c>
      <c r="O41" s="142" t="s">
        <v>1156</v>
      </c>
      <c r="P41" s="143" t="s">
        <v>1532</v>
      </c>
    </row>
    <row r="42" spans="3:16" s="144" customFormat="1" ht="19.5" customHeight="1">
      <c r="C42" s="147">
        <v>37</v>
      </c>
      <c r="D42" s="142" t="s">
        <v>1629</v>
      </c>
      <c r="E42" s="148" t="s">
        <v>1630</v>
      </c>
      <c r="F42" s="148" t="s">
        <v>4037</v>
      </c>
      <c r="G42" s="212" t="s">
        <v>1634</v>
      </c>
      <c r="H42" s="212" t="s">
        <v>1675</v>
      </c>
      <c r="I42" s="214" t="s">
        <v>1678</v>
      </c>
      <c r="J42" s="137"/>
      <c r="K42" s="146" t="s">
        <v>1155</v>
      </c>
      <c r="L42" s="139">
        <f t="shared" si="0"/>
        <v>7.5</v>
      </c>
      <c r="M42" s="140">
        <f t="shared" si="1"/>
        <v>1</v>
      </c>
      <c r="N42" s="141">
        <f t="shared" si="2"/>
        <v>7.5</v>
      </c>
      <c r="O42" s="142" t="s">
        <v>1156</v>
      </c>
      <c r="P42" s="143" t="s">
        <v>1532</v>
      </c>
    </row>
    <row r="43" spans="3:16" s="144" customFormat="1" ht="19.5" customHeight="1">
      <c r="C43" s="147">
        <v>38</v>
      </c>
      <c r="D43" s="142" t="s">
        <v>1629</v>
      </c>
      <c r="E43" s="148" t="s">
        <v>1630</v>
      </c>
      <c r="F43" s="148" t="s">
        <v>4038</v>
      </c>
      <c r="G43" s="212" t="s">
        <v>1634</v>
      </c>
      <c r="H43" s="212" t="s">
        <v>1675</v>
      </c>
      <c r="I43" s="214" t="s">
        <v>1679</v>
      </c>
      <c r="J43" s="137"/>
      <c r="K43" s="146" t="s">
        <v>1155</v>
      </c>
      <c r="L43" s="139">
        <f t="shared" si="0"/>
        <v>7.5</v>
      </c>
      <c r="M43" s="140">
        <f t="shared" si="1"/>
        <v>1</v>
      </c>
      <c r="N43" s="141">
        <f t="shared" si="2"/>
        <v>7.5</v>
      </c>
      <c r="O43" s="142" t="s">
        <v>1156</v>
      </c>
      <c r="P43" s="143" t="s">
        <v>1532</v>
      </c>
    </row>
    <row r="44" spans="3:16" s="144" customFormat="1" ht="19.5" customHeight="1">
      <c r="C44" s="147">
        <v>39</v>
      </c>
      <c r="D44" s="142" t="s">
        <v>1629</v>
      </c>
      <c r="E44" s="148" t="s">
        <v>1630</v>
      </c>
      <c r="F44" s="148" t="s">
        <v>4039</v>
      </c>
      <c r="G44" s="212" t="s">
        <v>1634</v>
      </c>
      <c r="H44" s="212" t="s">
        <v>1675</v>
      </c>
      <c r="I44" s="214" t="s">
        <v>1680</v>
      </c>
      <c r="J44" s="137"/>
      <c r="K44" s="146" t="s">
        <v>1155</v>
      </c>
      <c r="L44" s="139">
        <f t="shared" si="0"/>
        <v>7.5</v>
      </c>
      <c r="M44" s="140">
        <f t="shared" si="1"/>
        <v>1</v>
      </c>
      <c r="N44" s="141">
        <f t="shared" si="2"/>
        <v>7.5</v>
      </c>
      <c r="O44" s="142" t="s">
        <v>1156</v>
      </c>
      <c r="P44" s="143" t="s">
        <v>1532</v>
      </c>
    </row>
    <row r="45" spans="3:16" s="144" customFormat="1" ht="19.5" customHeight="1">
      <c r="C45" s="147">
        <v>40</v>
      </c>
      <c r="D45" s="142" t="s">
        <v>1629</v>
      </c>
      <c r="E45" s="148" t="s">
        <v>1630</v>
      </c>
      <c r="F45" s="148" t="s">
        <v>4040</v>
      </c>
      <c r="G45" s="212" t="s">
        <v>1634</v>
      </c>
      <c r="H45" s="212" t="s">
        <v>1675</v>
      </c>
      <c r="I45" s="214" t="s">
        <v>1681</v>
      </c>
      <c r="J45" s="137"/>
      <c r="K45" s="146" t="s">
        <v>1155</v>
      </c>
      <c r="L45" s="139">
        <f t="shared" si="0"/>
        <v>7.5</v>
      </c>
      <c r="M45" s="140">
        <f t="shared" si="1"/>
        <v>1</v>
      </c>
      <c r="N45" s="141">
        <f t="shared" si="2"/>
        <v>7.5</v>
      </c>
      <c r="O45" s="142" t="s">
        <v>1156</v>
      </c>
      <c r="P45" s="143" t="s">
        <v>1532</v>
      </c>
    </row>
    <row r="46" spans="3:16" s="144" customFormat="1" ht="19.5" customHeight="1">
      <c r="C46" s="147">
        <v>41</v>
      </c>
      <c r="D46" s="142" t="s">
        <v>1629</v>
      </c>
      <c r="E46" s="148" t="s">
        <v>1630</v>
      </c>
      <c r="F46" s="148" t="s">
        <v>4041</v>
      </c>
      <c r="G46" s="212" t="s">
        <v>1634</v>
      </c>
      <c r="H46" s="212" t="s">
        <v>1675</v>
      </c>
      <c r="I46" s="214" t="s">
        <v>1682</v>
      </c>
      <c r="J46" s="137"/>
      <c r="K46" s="146" t="s">
        <v>1155</v>
      </c>
      <c r="L46" s="139">
        <f t="shared" si="0"/>
        <v>7.5</v>
      </c>
      <c r="M46" s="140">
        <f t="shared" si="1"/>
        <v>1</v>
      </c>
      <c r="N46" s="141">
        <f t="shared" si="2"/>
        <v>7.5</v>
      </c>
      <c r="O46" s="142" t="s">
        <v>1156</v>
      </c>
      <c r="P46" s="143" t="s">
        <v>1532</v>
      </c>
    </row>
    <row r="47" spans="3:16" s="144" customFormat="1" ht="19.5" customHeight="1">
      <c r="C47" s="147">
        <v>42</v>
      </c>
      <c r="D47" s="142" t="s">
        <v>1629</v>
      </c>
      <c r="E47" s="148" t="s">
        <v>1630</v>
      </c>
      <c r="F47" s="148" t="s">
        <v>4042</v>
      </c>
      <c r="G47" s="212" t="s">
        <v>1634</v>
      </c>
      <c r="H47" s="212" t="s">
        <v>1675</v>
      </c>
      <c r="I47" s="214" t="s">
        <v>1683</v>
      </c>
      <c r="J47" s="137"/>
      <c r="K47" s="146" t="s">
        <v>1155</v>
      </c>
      <c r="L47" s="139">
        <f t="shared" si="0"/>
        <v>7.5</v>
      </c>
      <c r="M47" s="140">
        <f t="shared" si="1"/>
        <v>1</v>
      </c>
      <c r="N47" s="141">
        <f t="shared" si="2"/>
        <v>7.5</v>
      </c>
      <c r="O47" s="142" t="s">
        <v>1156</v>
      </c>
      <c r="P47" s="143" t="s">
        <v>1532</v>
      </c>
    </row>
    <row r="48" spans="3:16" s="144" customFormat="1" ht="19.5" customHeight="1">
      <c r="C48" s="147">
        <v>43</v>
      </c>
      <c r="D48" s="142" t="s">
        <v>1629</v>
      </c>
      <c r="E48" s="148" t="s">
        <v>1630</v>
      </c>
      <c r="F48" s="148" t="s">
        <v>4043</v>
      </c>
      <c r="G48" s="212" t="s">
        <v>1634</v>
      </c>
      <c r="H48" s="189" t="s">
        <v>1684</v>
      </c>
      <c r="I48" s="151" t="s">
        <v>1685</v>
      </c>
      <c r="J48" s="137"/>
      <c r="K48" s="146" t="s">
        <v>1607</v>
      </c>
      <c r="L48" s="139">
        <f t="shared" si="0"/>
        <v>5.4</v>
      </c>
      <c r="M48" s="140">
        <f t="shared" si="1"/>
        <v>1</v>
      </c>
      <c r="N48" s="141">
        <f t="shared" si="2"/>
        <v>5.4</v>
      </c>
      <c r="O48" s="142" t="s">
        <v>1156</v>
      </c>
      <c r="P48" s="143" t="s">
        <v>1532</v>
      </c>
    </row>
    <row r="49" spans="3:16" s="144" customFormat="1" ht="19.5" customHeight="1">
      <c r="C49" s="147">
        <v>44</v>
      </c>
      <c r="D49" s="142" t="s">
        <v>1629</v>
      </c>
      <c r="E49" s="148" t="s">
        <v>1630</v>
      </c>
      <c r="F49" s="148" t="s">
        <v>4044</v>
      </c>
      <c r="G49" s="212" t="s">
        <v>1634</v>
      </c>
      <c r="H49" s="212" t="s">
        <v>1686</v>
      </c>
      <c r="I49" s="151" t="s">
        <v>1687</v>
      </c>
      <c r="J49" s="137"/>
      <c r="K49" s="146" t="s">
        <v>1607</v>
      </c>
      <c r="L49" s="139">
        <f t="shared" si="0"/>
        <v>5.4</v>
      </c>
      <c r="M49" s="140">
        <f t="shared" si="1"/>
        <v>1</v>
      </c>
      <c r="N49" s="141">
        <f t="shared" si="2"/>
        <v>5.4</v>
      </c>
      <c r="O49" s="142" t="s">
        <v>1156</v>
      </c>
      <c r="P49" s="143" t="s">
        <v>1532</v>
      </c>
    </row>
    <row r="50" spans="3:16" s="144" customFormat="1" ht="19.5" customHeight="1">
      <c r="C50" s="147">
        <v>45</v>
      </c>
      <c r="D50" s="142" t="s">
        <v>1629</v>
      </c>
      <c r="E50" s="148" t="s">
        <v>1630</v>
      </c>
      <c r="F50" s="148" t="s">
        <v>4045</v>
      </c>
      <c r="G50" s="212" t="s">
        <v>1634</v>
      </c>
      <c r="H50" s="212" t="s">
        <v>1686</v>
      </c>
      <c r="I50" s="151" t="s">
        <v>1688</v>
      </c>
      <c r="J50" s="137"/>
      <c r="K50" s="146" t="s">
        <v>1607</v>
      </c>
      <c r="L50" s="139">
        <f t="shared" si="0"/>
        <v>5.4</v>
      </c>
      <c r="M50" s="140">
        <f t="shared" si="1"/>
        <v>1</v>
      </c>
      <c r="N50" s="141">
        <f t="shared" si="2"/>
        <v>5.4</v>
      </c>
      <c r="O50" s="142" t="s">
        <v>1156</v>
      </c>
      <c r="P50" s="143" t="s">
        <v>1532</v>
      </c>
    </row>
    <row r="51" spans="3:16" s="144" customFormat="1" ht="19.5" customHeight="1">
      <c r="C51" s="147">
        <v>46</v>
      </c>
      <c r="D51" s="142" t="s">
        <v>1629</v>
      </c>
      <c r="E51" s="148" t="s">
        <v>1630</v>
      </c>
      <c r="F51" s="148" t="s">
        <v>4046</v>
      </c>
      <c r="G51" s="212" t="s">
        <v>1634</v>
      </c>
      <c r="H51" s="212" t="s">
        <v>1686</v>
      </c>
      <c r="I51" s="151" t="s">
        <v>1689</v>
      </c>
      <c r="J51" s="137"/>
      <c r="K51" s="146" t="s">
        <v>1607</v>
      </c>
      <c r="L51" s="139">
        <f t="shared" si="0"/>
        <v>5.4</v>
      </c>
      <c r="M51" s="140">
        <f t="shared" si="1"/>
        <v>1</v>
      </c>
      <c r="N51" s="141">
        <f t="shared" si="2"/>
        <v>5.4</v>
      </c>
      <c r="O51" s="142" t="s">
        <v>1156</v>
      </c>
      <c r="P51" s="143" t="s">
        <v>1532</v>
      </c>
    </row>
    <row r="52" spans="3:16" s="144" customFormat="1" ht="19.5" customHeight="1">
      <c r="C52" s="147">
        <v>47</v>
      </c>
      <c r="D52" s="142" t="s">
        <v>1629</v>
      </c>
      <c r="E52" s="148" t="s">
        <v>1630</v>
      </c>
      <c r="F52" s="148" t="s">
        <v>4047</v>
      </c>
      <c r="G52" s="212" t="s">
        <v>1634</v>
      </c>
      <c r="H52" s="212" t="s">
        <v>1690</v>
      </c>
      <c r="I52" s="214" t="s">
        <v>1691</v>
      </c>
      <c r="J52" s="137"/>
      <c r="K52" s="146" t="s">
        <v>1607</v>
      </c>
      <c r="L52" s="139">
        <f t="shared" si="0"/>
        <v>5.4</v>
      </c>
      <c r="M52" s="140">
        <f t="shared" si="1"/>
        <v>1</v>
      </c>
      <c r="N52" s="141">
        <f t="shared" si="2"/>
        <v>5.4</v>
      </c>
      <c r="O52" s="142" t="s">
        <v>1156</v>
      </c>
      <c r="P52" s="143" t="s">
        <v>1532</v>
      </c>
    </row>
    <row r="53" spans="3:16" s="144" customFormat="1" ht="19.5" customHeight="1">
      <c r="C53" s="147">
        <v>48</v>
      </c>
      <c r="D53" s="142" t="s">
        <v>1629</v>
      </c>
      <c r="E53" s="148" t="s">
        <v>1630</v>
      </c>
      <c r="F53" s="148" t="s">
        <v>4048</v>
      </c>
      <c r="G53" s="212" t="s">
        <v>1634</v>
      </c>
      <c r="H53" s="212" t="s">
        <v>1692</v>
      </c>
      <c r="I53" s="214" t="s">
        <v>1693</v>
      </c>
      <c r="J53" s="137"/>
      <c r="K53" s="146" t="s">
        <v>1607</v>
      </c>
      <c r="L53" s="139">
        <f t="shared" si="0"/>
        <v>5.4</v>
      </c>
      <c r="M53" s="140">
        <f t="shared" si="1"/>
        <v>1</v>
      </c>
      <c r="N53" s="141">
        <f t="shared" si="2"/>
        <v>5.4</v>
      </c>
      <c r="O53" s="142" t="s">
        <v>1156</v>
      </c>
      <c r="P53" s="143" t="s">
        <v>1532</v>
      </c>
    </row>
    <row r="54" spans="3:16" s="144" customFormat="1" ht="19.5" customHeight="1">
      <c r="C54" s="147">
        <v>49</v>
      </c>
      <c r="D54" s="142" t="s">
        <v>1629</v>
      </c>
      <c r="E54" s="148" t="s">
        <v>1630</v>
      </c>
      <c r="F54" s="148" t="s">
        <v>4049</v>
      </c>
      <c r="G54" s="212" t="s">
        <v>1634</v>
      </c>
      <c r="H54" s="212" t="s">
        <v>1692</v>
      </c>
      <c r="I54" s="214" t="s">
        <v>1694</v>
      </c>
      <c r="J54" s="137"/>
      <c r="K54" s="146" t="s">
        <v>1607</v>
      </c>
      <c r="L54" s="139">
        <f t="shared" si="0"/>
        <v>5.4</v>
      </c>
      <c r="M54" s="140">
        <f t="shared" si="1"/>
        <v>1</v>
      </c>
      <c r="N54" s="141">
        <f t="shared" si="2"/>
        <v>5.4</v>
      </c>
      <c r="O54" s="142" t="s">
        <v>1156</v>
      </c>
      <c r="P54" s="143" t="s">
        <v>1532</v>
      </c>
    </row>
    <row r="55" spans="3:16" s="144" customFormat="1" ht="19.5" customHeight="1">
      <c r="C55" s="147">
        <v>50</v>
      </c>
      <c r="D55" s="142" t="s">
        <v>1629</v>
      </c>
      <c r="E55" s="148" t="s">
        <v>1630</v>
      </c>
      <c r="F55" s="148" t="s">
        <v>4050</v>
      </c>
      <c r="G55" s="212" t="s">
        <v>1634</v>
      </c>
      <c r="H55" s="212" t="s">
        <v>1692</v>
      </c>
      <c r="I55" s="214" t="s">
        <v>1695</v>
      </c>
      <c r="J55" s="137"/>
      <c r="K55" s="146" t="s">
        <v>1607</v>
      </c>
      <c r="L55" s="139">
        <f t="shared" si="0"/>
        <v>5.4</v>
      </c>
      <c r="M55" s="140">
        <f t="shared" si="1"/>
        <v>1</v>
      </c>
      <c r="N55" s="141">
        <f t="shared" si="2"/>
        <v>5.4</v>
      </c>
      <c r="O55" s="142" t="s">
        <v>1156</v>
      </c>
      <c r="P55" s="143" t="s">
        <v>1532</v>
      </c>
    </row>
    <row r="56" spans="3:16" s="144" customFormat="1" ht="19.5" customHeight="1">
      <c r="C56" s="147">
        <v>51</v>
      </c>
      <c r="D56" s="142" t="s">
        <v>1629</v>
      </c>
      <c r="E56" s="148" t="s">
        <v>1630</v>
      </c>
      <c r="F56" s="148" t="s">
        <v>4051</v>
      </c>
      <c r="G56" s="212" t="s">
        <v>1634</v>
      </c>
      <c r="H56" s="212" t="s">
        <v>1692</v>
      </c>
      <c r="I56" s="214" t="s">
        <v>1696</v>
      </c>
      <c r="J56" s="137"/>
      <c r="K56" s="146" t="s">
        <v>1607</v>
      </c>
      <c r="L56" s="139">
        <f t="shared" si="0"/>
        <v>5.4</v>
      </c>
      <c r="M56" s="140">
        <f t="shared" si="1"/>
        <v>1</v>
      </c>
      <c r="N56" s="141">
        <f t="shared" si="2"/>
        <v>5.4</v>
      </c>
      <c r="O56" s="142" t="s">
        <v>1156</v>
      </c>
      <c r="P56" s="143" t="s">
        <v>1532</v>
      </c>
    </row>
    <row r="57" spans="3:16" s="144" customFormat="1" ht="19.5" customHeight="1">
      <c r="C57" s="147">
        <v>52</v>
      </c>
      <c r="D57" s="142" t="s">
        <v>1629</v>
      </c>
      <c r="E57" s="148" t="s">
        <v>1630</v>
      </c>
      <c r="F57" s="148" t="s">
        <v>4052</v>
      </c>
      <c r="G57" s="212" t="s">
        <v>1634</v>
      </c>
      <c r="H57" s="212" t="s">
        <v>1697</v>
      </c>
      <c r="I57" s="214" t="s">
        <v>1698</v>
      </c>
      <c r="J57" s="137"/>
      <c r="K57" s="146" t="s">
        <v>1155</v>
      </c>
      <c r="L57" s="139">
        <f t="shared" si="0"/>
        <v>7.5</v>
      </c>
      <c r="M57" s="140">
        <f t="shared" si="1"/>
        <v>1</v>
      </c>
      <c r="N57" s="141">
        <f t="shared" si="2"/>
        <v>7.5</v>
      </c>
      <c r="O57" s="142" t="s">
        <v>1156</v>
      </c>
      <c r="P57" s="143" t="s">
        <v>1532</v>
      </c>
    </row>
    <row r="58" spans="3:16" s="144" customFormat="1" ht="19.5" customHeight="1">
      <c r="C58" s="147">
        <v>53</v>
      </c>
      <c r="D58" s="142" t="s">
        <v>1629</v>
      </c>
      <c r="E58" s="148" t="s">
        <v>1630</v>
      </c>
      <c r="F58" s="148" t="s">
        <v>4053</v>
      </c>
      <c r="G58" s="212" t="s">
        <v>1634</v>
      </c>
      <c r="H58" s="212" t="s">
        <v>1699</v>
      </c>
      <c r="I58" s="214" t="s">
        <v>1700</v>
      </c>
      <c r="J58" s="137"/>
      <c r="K58" s="146" t="s">
        <v>1155</v>
      </c>
      <c r="L58" s="139">
        <f t="shared" si="0"/>
        <v>7.5</v>
      </c>
      <c r="M58" s="140">
        <f t="shared" si="1"/>
        <v>1</v>
      </c>
      <c r="N58" s="141">
        <f t="shared" si="2"/>
        <v>7.5</v>
      </c>
      <c r="O58" s="142" t="s">
        <v>1156</v>
      </c>
      <c r="P58" s="143" t="s">
        <v>1532</v>
      </c>
    </row>
    <row r="59" spans="3:16" s="144" customFormat="1" ht="19.5" customHeight="1">
      <c r="C59" s="147">
        <v>54</v>
      </c>
      <c r="D59" s="142" t="s">
        <v>1629</v>
      </c>
      <c r="E59" s="148" t="s">
        <v>1630</v>
      </c>
      <c r="F59" s="148" t="s">
        <v>4054</v>
      </c>
      <c r="G59" s="212" t="s">
        <v>1634</v>
      </c>
      <c r="H59" s="212" t="s">
        <v>1699</v>
      </c>
      <c r="I59" s="214" t="s">
        <v>1701</v>
      </c>
      <c r="J59" s="137"/>
      <c r="K59" s="146" t="s">
        <v>1155</v>
      </c>
      <c r="L59" s="139">
        <f t="shared" si="0"/>
        <v>7.5</v>
      </c>
      <c r="M59" s="140">
        <f t="shared" si="1"/>
        <v>1</v>
      </c>
      <c r="N59" s="141">
        <f t="shared" si="2"/>
        <v>7.5</v>
      </c>
      <c r="O59" s="142" t="s">
        <v>1156</v>
      </c>
      <c r="P59" s="143" t="s">
        <v>1532</v>
      </c>
    </row>
    <row r="60" spans="3:16" s="144" customFormat="1" ht="19.5" customHeight="1">
      <c r="C60" s="147">
        <v>55</v>
      </c>
      <c r="D60" s="142" t="s">
        <v>1629</v>
      </c>
      <c r="E60" s="148" t="s">
        <v>1630</v>
      </c>
      <c r="F60" s="148" t="s">
        <v>4055</v>
      </c>
      <c r="G60" s="212" t="s">
        <v>1634</v>
      </c>
      <c r="H60" s="212" t="s">
        <v>1699</v>
      </c>
      <c r="I60" s="214" t="s">
        <v>1702</v>
      </c>
      <c r="J60" s="137"/>
      <c r="K60" s="146" t="s">
        <v>1155</v>
      </c>
      <c r="L60" s="139">
        <f t="shared" si="0"/>
        <v>7.5</v>
      </c>
      <c r="M60" s="140">
        <f t="shared" si="1"/>
        <v>1</v>
      </c>
      <c r="N60" s="141">
        <f t="shared" si="2"/>
        <v>7.5</v>
      </c>
      <c r="O60" s="142" t="s">
        <v>1156</v>
      </c>
      <c r="P60" s="143" t="s">
        <v>1532</v>
      </c>
    </row>
    <row r="61" spans="3:16" s="144" customFormat="1" ht="19.5" customHeight="1">
      <c r="C61" s="147">
        <v>56</v>
      </c>
      <c r="D61" s="142" t="s">
        <v>1629</v>
      </c>
      <c r="E61" s="148" t="s">
        <v>1630</v>
      </c>
      <c r="F61" s="148" t="s">
        <v>4056</v>
      </c>
      <c r="G61" s="212" t="s">
        <v>1634</v>
      </c>
      <c r="H61" s="212" t="s">
        <v>1699</v>
      </c>
      <c r="I61" s="151" t="s">
        <v>1703</v>
      </c>
      <c r="J61" s="137"/>
      <c r="K61" s="146" t="s">
        <v>1155</v>
      </c>
      <c r="L61" s="139">
        <f t="shared" si="0"/>
        <v>7.5</v>
      </c>
      <c r="M61" s="140">
        <f t="shared" si="1"/>
        <v>1</v>
      </c>
      <c r="N61" s="141">
        <f t="shared" si="2"/>
        <v>7.5</v>
      </c>
      <c r="O61" s="142" t="s">
        <v>1156</v>
      </c>
      <c r="P61" s="143" t="s">
        <v>1532</v>
      </c>
    </row>
    <row r="62" spans="3:16" s="144" customFormat="1" ht="19.5" customHeight="1">
      <c r="C62" s="147">
        <v>57</v>
      </c>
      <c r="D62" s="142" t="s">
        <v>1629</v>
      </c>
      <c r="E62" s="148" t="s">
        <v>1630</v>
      </c>
      <c r="F62" s="148" t="s">
        <v>4057</v>
      </c>
      <c r="G62" s="212" t="s">
        <v>1634</v>
      </c>
      <c r="H62" s="212" t="s">
        <v>1699</v>
      </c>
      <c r="I62" s="151" t="s">
        <v>1704</v>
      </c>
      <c r="J62" s="137"/>
      <c r="K62" s="146" t="s">
        <v>1155</v>
      </c>
      <c r="L62" s="139">
        <f t="shared" si="0"/>
        <v>7.5</v>
      </c>
      <c r="M62" s="140">
        <f t="shared" si="1"/>
        <v>1</v>
      </c>
      <c r="N62" s="141">
        <f t="shared" si="2"/>
        <v>7.5</v>
      </c>
      <c r="O62" s="142" t="s">
        <v>1156</v>
      </c>
      <c r="P62" s="143" t="s">
        <v>1532</v>
      </c>
    </row>
    <row r="63" spans="3:16" s="144" customFormat="1" ht="19.5" customHeight="1">
      <c r="C63" s="147">
        <v>58</v>
      </c>
      <c r="D63" s="142" t="s">
        <v>1629</v>
      </c>
      <c r="E63" s="148" t="s">
        <v>1630</v>
      </c>
      <c r="F63" s="148" t="s">
        <v>4058</v>
      </c>
      <c r="G63" s="212" t="s">
        <v>1634</v>
      </c>
      <c r="H63" s="212" t="s">
        <v>1699</v>
      </c>
      <c r="I63" s="151" t="s">
        <v>1705</v>
      </c>
      <c r="J63" s="137"/>
      <c r="K63" s="146" t="s">
        <v>1155</v>
      </c>
      <c r="L63" s="139">
        <f t="shared" si="0"/>
        <v>7.5</v>
      </c>
      <c r="M63" s="140">
        <f t="shared" si="1"/>
        <v>1</v>
      </c>
      <c r="N63" s="141">
        <f t="shared" si="2"/>
        <v>7.5</v>
      </c>
      <c r="O63" s="142" t="s">
        <v>1156</v>
      </c>
      <c r="P63" s="143" t="s">
        <v>1532</v>
      </c>
    </row>
  </sheetData>
  <mergeCells count="10">
    <mergeCell ref="I4:I5"/>
    <mergeCell ref="K4:M4"/>
    <mergeCell ref="O4:O5"/>
    <mergeCell ref="P4:P5"/>
    <mergeCell ref="C4:C5"/>
    <mergeCell ref="D4:D5"/>
    <mergeCell ref="E4:E5"/>
    <mergeCell ref="F4:F5"/>
    <mergeCell ref="G4:G5"/>
    <mergeCell ref="H4:H5"/>
  </mergeCells>
  <phoneticPr fontId="15" type="noConversion"/>
  <conditionalFormatting sqref="K4:K5">
    <cfRule type="cellIs" dxfId="157" priority="1" operator="equal">
      <formula>"EIF"</formula>
    </cfRule>
    <cfRule type="cellIs" dxfId="156" priority="2" operator="equal">
      <formula>"ILF"</formula>
    </cfRule>
  </conditionalFormatting>
  <dataValidations count="1">
    <dataValidation type="list" allowBlank="1" showInputMessage="1" showErrorMessage="1" sqref="K6:K63">
      <formula1>"ILF,EIF,EI,EO,EQ"</formula1>
    </dataValidation>
  </dataValidations>
  <pageMargins left="0.19685039370078741" right="0.23622047244094491" top="0.27559055118110237" bottom="0.39370078740157483" header="0.19685039370078741"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U335"/>
  <sheetViews>
    <sheetView view="pageBreakPreview" topLeftCell="A304" zoomScale="85" zoomScaleNormal="70" zoomScaleSheetLayoutView="85" workbookViewId="0">
      <selection activeCell="O15" sqref="O15"/>
    </sheetView>
  </sheetViews>
  <sheetFormatPr defaultColWidth="8.85546875" defaultRowHeight="13.5"/>
  <cols>
    <col min="1" max="1" width="2.5703125" style="177" customWidth="1"/>
    <col min="2" max="2" width="0" style="177" hidden="1" customWidth="1"/>
    <col min="3" max="3" width="4.7109375" style="177" bestFit="1" customWidth="1"/>
    <col min="4" max="4" width="20" style="177" customWidth="1"/>
    <col min="5" max="5" width="48.5703125" style="177" customWidth="1"/>
    <col min="6" max="6" width="16.7109375" style="177" bestFit="1" customWidth="1"/>
    <col min="7" max="7" width="25" style="177" bestFit="1" customWidth="1"/>
    <col min="8" max="8" width="31.28515625" style="177" bestFit="1" customWidth="1"/>
    <col min="9" max="9" width="53.28515625" style="177" customWidth="1"/>
    <col min="10" max="10" width="3.42578125" style="177" customWidth="1"/>
    <col min="11" max="11" width="8.85546875" style="177"/>
    <col min="12" max="12" width="12.42578125" style="177" customWidth="1"/>
    <col min="13" max="13" width="12" style="177" customWidth="1"/>
    <col min="14" max="14" width="8.85546875" style="177"/>
    <col min="15" max="15" width="13.28515625" style="177" customWidth="1"/>
    <col min="16" max="16" width="8.85546875" style="177"/>
    <col min="17" max="17" width="0" style="177" hidden="1" customWidth="1"/>
    <col min="18" max="18" width="17.28515625" style="177" bestFit="1" customWidth="1"/>
    <col min="19" max="16384" width="8.85546875" style="177"/>
  </cols>
  <sheetData>
    <row r="2" spans="3:18" ht="26.25">
      <c r="C2" s="126" t="s">
        <v>1706</v>
      </c>
    </row>
    <row r="4" spans="3:18" s="127" customFormat="1" ht="22.5" customHeight="1">
      <c r="C4" s="614" t="s">
        <v>1135</v>
      </c>
      <c r="D4" s="616" t="s">
        <v>543</v>
      </c>
      <c r="E4" s="616" t="s">
        <v>1136</v>
      </c>
      <c r="F4" s="618" t="s">
        <v>1628</v>
      </c>
      <c r="G4" s="616" t="s">
        <v>1138</v>
      </c>
      <c r="H4" s="616" t="s">
        <v>1139</v>
      </c>
      <c r="I4" s="607" t="s">
        <v>1140</v>
      </c>
      <c r="K4" s="609" t="s">
        <v>1141</v>
      </c>
      <c r="L4" s="610"/>
      <c r="M4" s="610"/>
      <c r="N4" s="128" t="s">
        <v>1142</v>
      </c>
      <c r="O4" s="610" t="s">
        <v>1143</v>
      </c>
      <c r="P4" s="612" t="s">
        <v>1144</v>
      </c>
      <c r="Q4" s="129" t="s">
        <v>1145</v>
      </c>
      <c r="R4" s="177"/>
    </row>
    <row r="5" spans="3:18" s="127" customFormat="1" ht="22.5" customHeight="1">
      <c r="C5" s="615"/>
      <c r="D5" s="617"/>
      <c r="E5" s="617"/>
      <c r="F5" s="619"/>
      <c r="G5" s="617"/>
      <c r="H5" s="617"/>
      <c r="I5" s="608"/>
      <c r="K5" s="130" t="s">
        <v>1146</v>
      </c>
      <c r="L5" s="131" t="s">
        <v>1147</v>
      </c>
      <c r="M5" s="131" t="s">
        <v>1148</v>
      </c>
      <c r="N5" s="131" t="s">
        <v>1149</v>
      </c>
      <c r="O5" s="611"/>
      <c r="P5" s="613"/>
      <c r="Q5" s="132"/>
      <c r="R5" s="177"/>
    </row>
    <row r="6" spans="3:18" s="144" customFormat="1" ht="19.5" customHeight="1">
      <c r="C6" s="147">
        <v>1</v>
      </c>
      <c r="D6" s="142" t="s">
        <v>1707</v>
      </c>
      <c r="E6" s="142" t="s">
        <v>1708</v>
      </c>
      <c r="F6" s="142" t="s">
        <v>3672</v>
      </c>
      <c r="G6" s="215" t="s">
        <v>1709</v>
      </c>
      <c r="H6" s="215" t="s">
        <v>1710</v>
      </c>
      <c r="I6" s="216" t="s">
        <v>1711</v>
      </c>
      <c r="J6" s="217"/>
      <c r="K6" s="218" t="s">
        <v>1155</v>
      </c>
      <c r="L6" s="189">
        <f>IF(K6="","",IF(K6="EI",4,IF(K6="EO",5.2,IF(K6="EQ",3.9,IF(K6="ILF",7.5,IF(K6="EIF",5.4))))))</f>
        <v>7.5</v>
      </c>
      <c r="M6" s="140">
        <f t="shared" ref="M6:M69" si="0">IF(O6="","",IF(O6="신규",1,IF(O6="고도화",1.04,IF(O6="재사용",0.25))))</f>
        <v>1</v>
      </c>
      <c r="N6" s="141">
        <f t="shared" ref="N6:N69" si="1">L6*M6</f>
        <v>7.5</v>
      </c>
      <c r="O6" s="140" t="s">
        <v>1156</v>
      </c>
      <c r="P6" s="143" t="s">
        <v>1532</v>
      </c>
      <c r="R6" s="177"/>
    </row>
    <row r="7" spans="3:18" s="144" customFormat="1" ht="19.5" customHeight="1">
      <c r="C7" s="147">
        <v>2</v>
      </c>
      <c r="D7" s="142" t="s">
        <v>1707</v>
      </c>
      <c r="E7" s="142" t="s">
        <v>1708</v>
      </c>
      <c r="F7" s="142" t="s">
        <v>3673</v>
      </c>
      <c r="G7" s="215" t="s">
        <v>1709</v>
      </c>
      <c r="H7" s="215" t="s">
        <v>1710</v>
      </c>
      <c r="I7" s="216" t="s">
        <v>1712</v>
      </c>
      <c r="J7" s="217"/>
      <c r="K7" s="218" t="s">
        <v>1155</v>
      </c>
      <c r="L7" s="189">
        <f t="shared" ref="L7:L70" si="2">IF(K7="","",IF(K7="EI",4,IF(K7="EO",5.2,IF(K7="EQ",3.9,IF(K7="ILF",7.5,IF(K7="EIF",5.4))))))</f>
        <v>7.5</v>
      </c>
      <c r="M7" s="140">
        <f t="shared" si="0"/>
        <v>1</v>
      </c>
      <c r="N7" s="141">
        <f t="shared" si="1"/>
        <v>7.5</v>
      </c>
      <c r="O7" s="140" t="s">
        <v>1156</v>
      </c>
      <c r="P7" s="143" t="s">
        <v>1532</v>
      </c>
      <c r="R7" s="177"/>
    </row>
    <row r="8" spans="3:18" s="144" customFormat="1" ht="19.5" customHeight="1">
      <c r="C8" s="147">
        <v>3</v>
      </c>
      <c r="D8" s="142" t="s">
        <v>1707</v>
      </c>
      <c r="E8" s="142" t="s">
        <v>1708</v>
      </c>
      <c r="F8" s="142" t="s">
        <v>3674</v>
      </c>
      <c r="G8" s="215" t="s">
        <v>1709</v>
      </c>
      <c r="H8" s="215" t="s">
        <v>1710</v>
      </c>
      <c r="I8" s="216" t="s">
        <v>1713</v>
      </c>
      <c r="J8" s="217"/>
      <c r="K8" s="146" t="s">
        <v>1607</v>
      </c>
      <c r="L8" s="189">
        <f>IF(K8="","",IF(K8="EI",4,IF(K8="EO",5.2,IF(K8="EQ",3.9,IF(K8="ILF",7.5,IF(K8="EIF",5.4))))))</f>
        <v>5.4</v>
      </c>
      <c r="M8" s="140">
        <f t="shared" si="0"/>
        <v>1</v>
      </c>
      <c r="N8" s="141">
        <f>L8*M8</f>
        <v>5.4</v>
      </c>
      <c r="O8" s="140" t="s">
        <v>1156</v>
      </c>
      <c r="P8" s="143" t="s">
        <v>1532</v>
      </c>
      <c r="R8" s="177"/>
    </row>
    <row r="9" spans="3:18" s="144" customFormat="1" ht="19.5" customHeight="1">
      <c r="C9" s="147">
        <v>4</v>
      </c>
      <c r="D9" s="142" t="s">
        <v>1707</v>
      </c>
      <c r="E9" s="142" t="s">
        <v>1708</v>
      </c>
      <c r="F9" s="142" t="s">
        <v>3675</v>
      </c>
      <c r="G9" s="215" t="s">
        <v>1709</v>
      </c>
      <c r="H9" s="215" t="s">
        <v>1714</v>
      </c>
      <c r="I9" s="219" t="s">
        <v>1715</v>
      </c>
      <c r="J9" s="220"/>
      <c r="K9" s="218" t="s">
        <v>1155</v>
      </c>
      <c r="L9" s="189">
        <f t="shared" si="2"/>
        <v>7.5</v>
      </c>
      <c r="M9" s="140">
        <f t="shared" si="0"/>
        <v>1</v>
      </c>
      <c r="N9" s="141">
        <f t="shared" si="1"/>
        <v>7.5</v>
      </c>
      <c r="O9" s="140" t="s">
        <v>1156</v>
      </c>
      <c r="P9" s="143" t="s">
        <v>1532</v>
      </c>
      <c r="R9" s="177"/>
    </row>
    <row r="10" spans="3:18" s="144" customFormat="1" ht="19.5" customHeight="1">
      <c r="C10" s="147">
        <v>5</v>
      </c>
      <c r="D10" s="142" t="s">
        <v>1707</v>
      </c>
      <c r="E10" s="142" t="s">
        <v>1708</v>
      </c>
      <c r="F10" s="142" t="s">
        <v>3676</v>
      </c>
      <c r="G10" s="215" t="s">
        <v>1709</v>
      </c>
      <c r="H10" s="215" t="s">
        <v>1714</v>
      </c>
      <c r="I10" s="219" t="s">
        <v>1716</v>
      </c>
      <c r="J10" s="220"/>
      <c r="K10" s="146" t="s">
        <v>1170</v>
      </c>
      <c r="L10" s="189">
        <f>IF(K10="","",IF(K10="EI",4,IF(K10="EO",5.2,IF(K10="EQ",3.9,IF(K10="ILF",7.5,IF(K10="EIF",5.4))))))</f>
        <v>5.2</v>
      </c>
      <c r="M10" s="140">
        <f t="shared" si="0"/>
        <v>1</v>
      </c>
      <c r="N10" s="141">
        <f t="shared" si="1"/>
        <v>5.2</v>
      </c>
      <c r="O10" s="140" t="s">
        <v>1156</v>
      </c>
      <c r="P10" s="143" t="s">
        <v>1532</v>
      </c>
      <c r="R10" s="177"/>
    </row>
    <row r="11" spans="3:18" s="144" customFormat="1" ht="19.5" customHeight="1">
      <c r="C11" s="147">
        <v>6</v>
      </c>
      <c r="D11" s="142" t="s">
        <v>1707</v>
      </c>
      <c r="E11" s="142" t="s">
        <v>1708</v>
      </c>
      <c r="F11" s="142" t="s">
        <v>3677</v>
      </c>
      <c r="G11" s="215" t="s">
        <v>1709</v>
      </c>
      <c r="H11" s="215" t="s">
        <v>1714</v>
      </c>
      <c r="I11" s="216" t="s">
        <v>1717</v>
      </c>
      <c r="J11" s="217"/>
      <c r="K11" s="146" t="s">
        <v>1607</v>
      </c>
      <c r="L11" s="189">
        <f t="shared" si="2"/>
        <v>5.4</v>
      </c>
      <c r="M11" s="140">
        <f t="shared" si="0"/>
        <v>1</v>
      </c>
      <c r="N11" s="141">
        <f t="shared" si="1"/>
        <v>5.4</v>
      </c>
      <c r="O11" s="140" t="s">
        <v>1156</v>
      </c>
      <c r="P11" s="143" t="s">
        <v>1532</v>
      </c>
      <c r="R11" s="177"/>
    </row>
    <row r="12" spans="3:18" s="144" customFormat="1" ht="19.5" customHeight="1">
      <c r="C12" s="147">
        <v>7</v>
      </c>
      <c r="D12" s="142" t="s">
        <v>1707</v>
      </c>
      <c r="E12" s="142" t="s">
        <v>1708</v>
      </c>
      <c r="F12" s="142" t="s">
        <v>3678</v>
      </c>
      <c r="G12" s="215" t="s">
        <v>1709</v>
      </c>
      <c r="H12" s="221" t="s">
        <v>1718</v>
      </c>
      <c r="I12" s="222" t="s">
        <v>1719</v>
      </c>
      <c r="J12" s="223"/>
      <c r="K12" s="201" t="s">
        <v>1155</v>
      </c>
      <c r="L12" s="189">
        <f t="shared" si="2"/>
        <v>7.5</v>
      </c>
      <c r="M12" s="140">
        <f t="shared" si="0"/>
        <v>1</v>
      </c>
      <c r="N12" s="141">
        <f t="shared" si="1"/>
        <v>7.5</v>
      </c>
      <c r="O12" s="140" t="s">
        <v>1156</v>
      </c>
      <c r="P12" s="143" t="s">
        <v>1532</v>
      </c>
      <c r="R12" s="177"/>
    </row>
    <row r="13" spans="3:18" s="144" customFormat="1" ht="19.5" customHeight="1">
      <c r="C13" s="147">
        <v>8</v>
      </c>
      <c r="D13" s="142" t="s">
        <v>1707</v>
      </c>
      <c r="E13" s="142" t="s">
        <v>1708</v>
      </c>
      <c r="F13" s="142" t="s">
        <v>3679</v>
      </c>
      <c r="G13" s="215" t="s">
        <v>1709</v>
      </c>
      <c r="H13" s="221" t="s">
        <v>1718</v>
      </c>
      <c r="I13" s="222" t="s">
        <v>1720</v>
      </c>
      <c r="J13" s="224"/>
      <c r="K13" s="146" t="s">
        <v>1607</v>
      </c>
      <c r="L13" s="189">
        <f t="shared" si="2"/>
        <v>5.4</v>
      </c>
      <c r="M13" s="140">
        <f t="shared" si="0"/>
        <v>1</v>
      </c>
      <c r="N13" s="141">
        <f t="shared" si="1"/>
        <v>5.4</v>
      </c>
      <c r="O13" s="140" t="s">
        <v>1156</v>
      </c>
      <c r="P13" s="143" t="s">
        <v>1532</v>
      </c>
      <c r="R13" s="177"/>
    </row>
    <row r="14" spans="3:18" s="144" customFormat="1" ht="19.5" customHeight="1">
      <c r="C14" s="147">
        <v>9</v>
      </c>
      <c r="D14" s="142" t="s">
        <v>1707</v>
      </c>
      <c r="E14" s="142" t="s">
        <v>1708</v>
      </c>
      <c r="F14" s="142" t="s">
        <v>3680</v>
      </c>
      <c r="G14" s="215" t="s">
        <v>1709</v>
      </c>
      <c r="H14" s="221" t="s">
        <v>1721</v>
      </c>
      <c r="I14" s="222" t="s">
        <v>1722</v>
      </c>
      <c r="J14" s="224"/>
      <c r="K14" s="218" t="s">
        <v>1163</v>
      </c>
      <c r="L14" s="189">
        <f t="shared" si="2"/>
        <v>4</v>
      </c>
      <c r="M14" s="140">
        <f t="shared" si="0"/>
        <v>1</v>
      </c>
      <c r="N14" s="141">
        <f t="shared" si="1"/>
        <v>4</v>
      </c>
      <c r="O14" s="140" t="s">
        <v>1156</v>
      </c>
      <c r="P14" s="143" t="s">
        <v>1532</v>
      </c>
      <c r="R14" s="177"/>
    </row>
    <row r="15" spans="3:18" s="144" customFormat="1" ht="19.5" customHeight="1">
      <c r="C15" s="147">
        <v>10</v>
      </c>
      <c r="D15" s="142" t="s">
        <v>1707</v>
      </c>
      <c r="E15" s="142" t="s">
        <v>1708</v>
      </c>
      <c r="F15" s="142" t="s">
        <v>3681</v>
      </c>
      <c r="G15" s="215" t="s">
        <v>1709</v>
      </c>
      <c r="H15" s="221" t="s">
        <v>1723</v>
      </c>
      <c r="I15" s="222" t="s">
        <v>1724</v>
      </c>
      <c r="J15" s="224"/>
      <c r="K15" s="146" t="s">
        <v>1607</v>
      </c>
      <c r="L15" s="189">
        <f t="shared" si="2"/>
        <v>5.4</v>
      </c>
      <c r="M15" s="140">
        <f t="shared" si="0"/>
        <v>1</v>
      </c>
      <c r="N15" s="141">
        <f t="shared" si="1"/>
        <v>5.4</v>
      </c>
      <c r="O15" s="140" t="s">
        <v>1156</v>
      </c>
      <c r="P15" s="143" t="s">
        <v>1532</v>
      </c>
      <c r="R15" s="177"/>
    </row>
    <row r="16" spans="3:18" s="144" customFormat="1" ht="19.5" customHeight="1">
      <c r="C16" s="147">
        <v>11</v>
      </c>
      <c r="D16" s="142" t="s">
        <v>1707</v>
      </c>
      <c r="E16" s="142" t="s">
        <v>1708</v>
      </c>
      <c r="F16" s="142" t="s">
        <v>3682</v>
      </c>
      <c r="G16" s="215" t="s">
        <v>1709</v>
      </c>
      <c r="H16" s="221" t="s">
        <v>1723</v>
      </c>
      <c r="I16" s="222" t="s">
        <v>1725</v>
      </c>
      <c r="J16" s="224"/>
      <c r="K16" s="146" t="s">
        <v>1607</v>
      </c>
      <c r="L16" s="189">
        <f t="shared" si="2"/>
        <v>5.4</v>
      </c>
      <c r="M16" s="140">
        <f t="shared" si="0"/>
        <v>1</v>
      </c>
      <c r="N16" s="141">
        <f t="shared" si="1"/>
        <v>5.4</v>
      </c>
      <c r="O16" s="140" t="s">
        <v>1156</v>
      </c>
      <c r="P16" s="143" t="s">
        <v>1532</v>
      </c>
      <c r="R16" s="177"/>
    </row>
    <row r="17" spans="3:18" s="144" customFormat="1" ht="19.5" customHeight="1">
      <c r="C17" s="147">
        <v>12</v>
      </c>
      <c r="D17" s="142" t="s">
        <v>1707</v>
      </c>
      <c r="E17" s="142" t="s">
        <v>1708</v>
      </c>
      <c r="F17" s="142" t="s">
        <v>3683</v>
      </c>
      <c r="G17" s="215" t="s">
        <v>1709</v>
      </c>
      <c r="H17" s="221" t="s">
        <v>1723</v>
      </c>
      <c r="I17" s="222" t="s">
        <v>1726</v>
      </c>
      <c r="J17" s="224"/>
      <c r="K17" s="218" t="s">
        <v>1163</v>
      </c>
      <c r="L17" s="189">
        <f t="shared" si="2"/>
        <v>4</v>
      </c>
      <c r="M17" s="140">
        <f t="shared" si="0"/>
        <v>1</v>
      </c>
      <c r="N17" s="141">
        <f t="shared" si="1"/>
        <v>4</v>
      </c>
      <c r="O17" s="140" t="s">
        <v>1156</v>
      </c>
      <c r="P17" s="143" t="s">
        <v>1532</v>
      </c>
      <c r="R17" s="177"/>
    </row>
    <row r="18" spans="3:18" s="144" customFormat="1" ht="19.5" customHeight="1">
      <c r="C18" s="147">
        <v>13</v>
      </c>
      <c r="D18" s="142" t="s">
        <v>1707</v>
      </c>
      <c r="E18" s="142" t="s">
        <v>1708</v>
      </c>
      <c r="F18" s="142" t="s">
        <v>3684</v>
      </c>
      <c r="G18" s="215" t="s">
        <v>1709</v>
      </c>
      <c r="H18" s="221" t="s">
        <v>1723</v>
      </c>
      <c r="I18" s="222" t="s">
        <v>1727</v>
      </c>
      <c r="J18" s="224"/>
      <c r="K18" s="218" t="s">
        <v>1163</v>
      </c>
      <c r="L18" s="189">
        <f t="shared" si="2"/>
        <v>4</v>
      </c>
      <c r="M18" s="140">
        <f t="shared" si="0"/>
        <v>1</v>
      </c>
      <c r="N18" s="141">
        <f t="shared" si="1"/>
        <v>4</v>
      </c>
      <c r="O18" s="140" t="s">
        <v>1156</v>
      </c>
      <c r="P18" s="143" t="s">
        <v>1532</v>
      </c>
      <c r="R18" s="177"/>
    </row>
    <row r="19" spans="3:18" s="144" customFormat="1" ht="19.5" customHeight="1">
      <c r="C19" s="147">
        <v>14</v>
      </c>
      <c r="D19" s="142" t="s">
        <v>1707</v>
      </c>
      <c r="E19" s="142" t="s">
        <v>1708</v>
      </c>
      <c r="F19" s="142" t="s">
        <v>3685</v>
      </c>
      <c r="G19" s="215" t="s">
        <v>1709</v>
      </c>
      <c r="H19" s="221" t="s">
        <v>1728</v>
      </c>
      <c r="I19" s="225" t="s">
        <v>1729</v>
      </c>
      <c r="J19" s="226"/>
      <c r="K19" s="146" t="s">
        <v>1607</v>
      </c>
      <c r="L19" s="189">
        <f t="shared" si="2"/>
        <v>5.4</v>
      </c>
      <c r="M19" s="140">
        <f t="shared" si="0"/>
        <v>1</v>
      </c>
      <c r="N19" s="141">
        <f t="shared" si="1"/>
        <v>5.4</v>
      </c>
      <c r="O19" s="140" t="s">
        <v>1156</v>
      </c>
      <c r="P19" s="143" t="s">
        <v>1532</v>
      </c>
      <c r="R19" s="177"/>
    </row>
    <row r="20" spans="3:18" s="144" customFormat="1" ht="19.5" customHeight="1">
      <c r="C20" s="147">
        <v>15</v>
      </c>
      <c r="D20" s="142" t="s">
        <v>1707</v>
      </c>
      <c r="E20" s="142" t="s">
        <v>1708</v>
      </c>
      <c r="F20" s="142" t="s">
        <v>3686</v>
      </c>
      <c r="G20" s="215" t="s">
        <v>1709</v>
      </c>
      <c r="H20" s="221" t="s">
        <v>1728</v>
      </c>
      <c r="I20" s="225" t="s">
        <v>1730</v>
      </c>
      <c r="J20" s="226"/>
      <c r="K20" s="218" t="s">
        <v>1163</v>
      </c>
      <c r="L20" s="189">
        <f t="shared" si="2"/>
        <v>4</v>
      </c>
      <c r="M20" s="140">
        <f t="shared" si="0"/>
        <v>1</v>
      </c>
      <c r="N20" s="141">
        <f t="shared" si="1"/>
        <v>4</v>
      </c>
      <c r="O20" s="140" t="s">
        <v>1156</v>
      </c>
      <c r="P20" s="143" t="s">
        <v>1532</v>
      </c>
      <c r="R20" s="177"/>
    </row>
    <row r="21" spans="3:18" s="144" customFormat="1" ht="19.5" customHeight="1">
      <c r="C21" s="147">
        <v>16</v>
      </c>
      <c r="D21" s="142" t="s">
        <v>1707</v>
      </c>
      <c r="E21" s="142" t="s">
        <v>1708</v>
      </c>
      <c r="F21" s="142" t="s">
        <v>3687</v>
      </c>
      <c r="G21" s="215" t="s">
        <v>1709</v>
      </c>
      <c r="H21" s="221" t="s">
        <v>1728</v>
      </c>
      <c r="I21" s="225" t="s">
        <v>1731</v>
      </c>
      <c r="J21" s="226"/>
      <c r="K21" s="146" t="s">
        <v>1607</v>
      </c>
      <c r="L21" s="189">
        <f t="shared" si="2"/>
        <v>5.4</v>
      </c>
      <c r="M21" s="140">
        <f t="shared" si="0"/>
        <v>1</v>
      </c>
      <c r="N21" s="141">
        <f t="shared" si="1"/>
        <v>5.4</v>
      </c>
      <c r="O21" s="140" t="s">
        <v>1156</v>
      </c>
      <c r="P21" s="143" t="s">
        <v>1532</v>
      </c>
      <c r="R21" s="177"/>
    </row>
    <row r="22" spans="3:18" s="144" customFormat="1" ht="19.5" customHeight="1">
      <c r="C22" s="147">
        <v>17</v>
      </c>
      <c r="D22" s="142" t="s">
        <v>1707</v>
      </c>
      <c r="E22" s="142" t="s">
        <v>1708</v>
      </c>
      <c r="F22" s="142" t="s">
        <v>3688</v>
      </c>
      <c r="G22" s="215" t="s">
        <v>1709</v>
      </c>
      <c r="H22" s="221" t="s">
        <v>1728</v>
      </c>
      <c r="I22" s="225" t="s">
        <v>1732</v>
      </c>
      <c r="J22" s="226"/>
      <c r="K22" s="218" t="s">
        <v>1163</v>
      </c>
      <c r="L22" s="189">
        <f t="shared" si="2"/>
        <v>4</v>
      </c>
      <c r="M22" s="140">
        <f t="shared" si="0"/>
        <v>1</v>
      </c>
      <c r="N22" s="141">
        <f t="shared" si="1"/>
        <v>4</v>
      </c>
      <c r="O22" s="140" t="s">
        <v>1156</v>
      </c>
      <c r="P22" s="143" t="s">
        <v>1532</v>
      </c>
      <c r="R22" s="177"/>
    </row>
    <row r="23" spans="3:18" s="144" customFormat="1" ht="19.5" customHeight="1">
      <c r="C23" s="147">
        <v>18</v>
      </c>
      <c r="D23" s="142" t="s">
        <v>1707</v>
      </c>
      <c r="E23" s="142" t="s">
        <v>1708</v>
      </c>
      <c r="F23" s="142" t="s">
        <v>3689</v>
      </c>
      <c r="G23" s="215" t="s">
        <v>1709</v>
      </c>
      <c r="H23" s="221" t="s">
        <v>1728</v>
      </c>
      <c r="I23" s="225" t="s">
        <v>1733</v>
      </c>
      <c r="J23" s="226"/>
      <c r="K23" s="146" t="s">
        <v>1607</v>
      </c>
      <c r="L23" s="189">
        <f t="shared" si="2"/>
        <v>5.4</v>
      </c>
      <c r="M23" s="140">
        <f t="shared" si="0"/>
        <v>1</v>
      </c>
      <c r="N23" s="141">
        <f t="shared" si="1"/>
        <v>5.4</v>
      </c>
      <c r="O23" s="140" t="s">
        <v>1156</v>
      </c>
      <c r="P23" s="143" t="s">
        <v>1532</v>
      </c>
      <c r="R23" s="177"/>
    </row>
    <row r="24" spans="3:18" s="144" customFormat="1" ht="19.5" customHeight="1">
      <c r="C24" s="147">
        <v>19</v>
      </c>
      <c r="D24" s="142" t="s">
        <v>1707</v>
      </c>
      <c r="E24" s="142" t="s">
        <v>1708</v>
      </c>
      <c r="F24" s="142" t="s">
        <v>3690</v>
      </c>
      <c r="G24" s="215" t="s">
        <v>1709</v>
      </c>
      <c r="H24" s="221" t="s">
        <v>1728</v>
      </c>
      <c r="I24" s="225" t="s">
        <v>1734</v>
      </c>
      <c r="J24" s="226"/>
      <c r="K24" s="218" t="s">
        <v>1163</v>
      </c>
      <c r="L24" s="189">
        <f t="shared" si="2"/>
        <v>4</v>
      </c>
      <c r="M24" s="140">
        <f t="shared" si="0"/>
        <v>1</v>
      </c>
      <c r="N24" s="141">
        <f t="shared" si="1"/>
        <v>4</v>
      </c>
      <c r="O24" s="140" t="s">
        <v>1156</v>
      </c>
      <c r="P24" s="143" t="s">
        <v>1532</v>
      </c>
      <c r="R24" s="177"/>
    </row>
    <row r="25" spans="3:18" s="144" customFormat="1" ht="19.5" customHeight="1">
      <c r="C25" s="147">
        <v>20</v>
      </c>
      <c r="D25" s="142" t="s">
        <v>1707</v>
      </c>
      <c r="E25" s="142" t="s">
        <v>1708</v>
      </c>
      <c r="F25" s="142" t="s">
        <v>3691</v>
      </c>
      <c r="G25" s="215" t="s">
        <v>1709</v>
      </c>
      <c r="H25" s="221" t="s">
        <v>1735</v>
      </c>
      <c r="I25" s="225" t="s">
        <v>1736</v>
      </c>
      <c r="J25" s="226"/>
      <c r="K25" s="218" t="s">
        <v>1202</v>
      </c>
      <c r="L25" s="189">
        <f t="shared" si="2"/>
        <v>7.5</v>
      </c>
      <c r="M25" s="140">
        <f t="shared" si="0"/>
        <v>1</v>
      </c>
      <c r="N25" s="141">
        <f t="shared" si="1"/>
        <v>7.5</v>
      </c>
      <c r="O25" s="140" t="s">
        <v>1156</v>
      </c>
      <c r="P25" s="143" t="s">
        <v>1532</v>
      </c>
      <c r="R25" s="177"/>
    </row>
    <row r="26" spans="3:18" s="144" customFormat="1" ht="19.5" customHeight="1">
      <c r="C26" s="147">
        <v>21</v>
      </c>
      <c r="D26" s="142" t="s">
        <v>1707</v>
      </c>
      <c r="E26" s="142" t="s">
        <v>1708</v>
      </c>
      <c r="F26" s="142" t="s">
        <v>3692</v>
      </c>
      <c r="G26" s="215" t="s">
        <v>1709</v>
      </c>
      <c r="H26" s="221" t="s">
        <v>1735</v>
      </c>
      <c r="I26" s="225" t="s">
        <v>1737</v>
      </c>
      <c r="J26" s="226"/>
      <c r="K26" s="218" t="s">
        <v>1202</v>
      </c>
      <c r="L26" s="189">
        <f t="shared" si="2"/>
        <v>7.5</v>
      </c>
      <c r="M26" s="140">
        <f t="shared" si="0"/>
        <v>1</v>
      </c>
      <c r="N26" s="141">
        <f t="shared" si="1"/>
        <v>7.5</v>
      </c>
      <c r="O26" s="140" t="s">
        <v>1156</v>
      </c>
      <c r="P26" s="143" t="s">
        <v>1532</v>
      </c>
      <c r="R26" s="177"/>
    </row>
    <row r="27" spans="3:18" s="144" customFormat="1" ht="19.5" customHeight="1">
      <c r="C27" s="147">
        <v>22</v>
      </c>
      <c r="D27" s="142" t="s">
        <v>1707</v>
      </c>
      <c r="E27" s="142" t="s">
        <v>1708</v>
      </c>
      <c r="F27" s="142" t="s">
        <v>3693</v>
      </c>
      <c r="G27" s="215" t="s">
        <v>1709</v>
      </c>
      <c r="H27" s="221" t="s">
        <v>1738</v>
      </c>
      <c r="I27" s="225" t="s">
        <v>1739</v>
      </c>
      <c r="J27" s="226"/>
      <c r="K27" s="218" t="s">
        <v>1155</v>
      </c>
      <c r="L27" s="189">
        <f t="shared" si="2"/>
        <v>7.5</v>
      </c>
      <c r="M27" s="140">
        <f t="shared" si="0"/>
        <v>1</v>
      </c>
      <c r="N27" s="141">
        <f t="shared" si="1"/>
        <v>7.5</v>
      </c>
      <c r="O27" s="140" t="s">
        <v>1156</v>
      </c>
      <c r="P27" s="143" t="s">
        <v>1532</v>
      </c>
      <c r="R27" s="177"/>
    </row>
    <row r="28" spans="3:18" s="144" customFormat="1" ht="19.5" customHeight="1">
      <c r="C28" s="147">
        <v>23</v>
      </c>
      <c r="D28" s="142" t="s">
        <v>1707</v>
      </c>
      <c r="E28" s="142" t="s">
        <v>1708</v>
      </c>
      <c r="F28" s="142" t="s">
        <v>3694</v>
      </c>
      <c r="G28" s="215" t="s">
        <v>1709</v>
      </c>
      <c r="H28" s="221" t="s">
        <v>1738</v>
      </c>
      <c r="I28" s="225" t="s">
        <v>1740</v>
      </c>
      <c r="J28" s="226"/>
      <c r="K28" s="218" t="s">
        <v>1741</v>
      </c>
      <c r="L28" s="189">
        <f t="shared" si="2"/>
        <v>5.4</v>
      </c>
      <c r="M28" s="140">
        <f t="shared" si="0"/>
        <v>1</v>
      </c>
      <c r="N28" s="141">
        <f t="shared" si="1"/>
        <v>5.4</v>
      </c>
      <c r="O28" s="140" t="s">
        <v>1156</v>
      </c>
      <c r="P28" s="143" t="s">
        <v>1532</v>
      </c>
      <c r="R28" s="177"/>
    </row>
    <row r="29" spans="3:18" s="144" customFormat="1" ht="19.5" customHeight="1">
      <c r="C29" s="147">
        <v>24</v>
      </c>
      <c r="D29" s="142" t="s">
        <v>1707</v>
      </c>
      <c r="E29" s="142" t="s">
        <v>1708</v>
      </c>
      <c r="F29" s="142" t="s">
        <v>3695</v>
      </c>
      <c r="G29" s="215" t="s">
        <v>1709</v>
      </c>
      <c r="H29" s="221" t="s">
        <v>1738</v>
      </c>
      <c r="I29" s="225" t="s">
        <v>1742</v>
      </c>
      <c r="J29" s="226"/>
      <c r="K29" s="218" t="s">
        <v>1741</v>
      </c>
      <c r="L29" s="189">
        <f t="shared" si="2"/>
        <v>5.4</v>
      </c>
      <c r="M29" s="140">
        <f t="shared" si="0"/>
        <v>1</v>
      </c>
      <c r="N29" s="141">
        <f t="shared" si="1"/>
        <v>5.4</v>
      </c>
      <c r="O29" s="140" t="s">
        <v>1156</v>
      </c>
      <c r="P29" s="143" t="s">
        <v>1532</v>
      </c>
      <c r="R29" s="177"/>
    </row>
    <row r="30" spans="3:18" s="144" customFormat="1" ht="19.5" customHeight="1">
      <c r="C30" s="147">
        <v>25</v>
      </c>
      <c r="D30" s="142" t="s">
        <v>1707</v>
      </c>
      <c r="E30" s="142" t="s">
        <v>1708</v>
      </c>
      <c r="F30" s="142" t="s">
        <v>3696</v>
      </c>
      <c r="G30" s="215" t="s">
        <v>1709</v>
      </c>
      <c r="H30" s="221" t="s">
        <v>1743</v>
      </c>
      <c r="I30" s="222" t="s">
        <v>1744</v>
      </c>
      <c r="J30" s="223"/>
      <c r="K30" s="218" t="s">
        <v>1155</v>
      </c>
      <c r="L30" s="189">
        <f t="shared" si="2"/>
        <v>7.5</v>
      </c>
      <c r="M30" s="140">
        <f t="shared" si="0"/>
        <v>1</v>
      </c>
      <c r="N30" s="141">
        <f t="shared" si="1"/>
        <v>7.5</v>
      </c>
      <c r="O30" s="140" t="s">
        <v>1156</v>
      </c>
      <c r="P30" s="143" t="s">
        <v>1532</v>
      </c>
      <c r="R30" s="177"/>
    </row>
    <row r="31" spans="3:18" s="144" customFormat="1" ht="19.5" customHeight="1">
      <c r="C31" s="147">
        <v>26</v>
      </c>
      <c r="D31" s="142" t="s">
        <v>1707</v>
      </c>
      <c r="E31" s="142" t="s">
        <v>1708</v>
      </c>
      <c r="F31" s="142" t="s">
        <v>3697</v>
      </c>
      <c r="G31" s="215" t="s">
        <v>1709</v>
      </c>
      <c r="H31" s="221" t="s">
        <v>1743</v>
      </c>
      <c r="I31" s="219" t="s">
        <v>1745</v>
      </c>
      <c r="J31" s="220"/>
      <c r="K31" s="218" t="s">
        <v>1741</v>
      </c>
      <c r="L31" s="189">
        <f t="shared" si="2"/>
        <v>5.4</v>
      </c>
      <c r="M31" s="140">
        <f t="shared" si="0"/>
        <v>1</v>
      </c>
      <c r="N31" s="141">
        <f t="shared" si="1"/>
        <v>5.4</v>
      </c>
      <c r="O31" s="140" t="s">
        <v>1156</v>
      </c>
      <c r="P31" s="143" t="s">
        <v>1532</v>
      </c>
      <c r="R31" s="177"/>
    </row>
    <row r="32" spans="3:18" s="144" customFormat="1" ht="19.5" customHeight="1">
      <c r="C32" s="147">
        <v>27</v>
      </c>
      <c r="D32" s="142" t="s">
        <v>1707</v>
      </c>
      <c r="E32" s="142" t="s">
        <v>1708</v>
      </c>
      <c r="F32" s="142" t="s">
        <v>3698</v>
      </c>
      <c r="G32" s="215" t="s">
        <v>1709</v>
      </c>
      <c r="H32" s="221" t="s">
        <v>1743</v>
      </c>
      <c r="I32" s="219" t="s">
        <v>1746</v>
      </c>
      <c r="J32" s="220"/>
      <c r="K32" s="218" t="s">
        <v>1741</v>
      </c>
      <c r="L32" s="189">
        <f t="shared" si="2"/>
        <v>5.4</v>
      </c>
      <c r="M32" s="140">
        <f t="shared" si="0"/>
        <v>1</v>
      </c>
      <c r="N32" s="141">
        <f t="shared" si="1"/>
        <v>5.4</v>
      </c>
      <c r="O32" s="140" t="s">
        <v>1156</v>
      </c>
      <c r="P32" s="143" t="s">
        <v>1532</v>
      </c>
      <c r="R32" s="177"/>
    </row>
    <row r="33" spans="3:18" s="144" customFormat="1" ht="19.5" customHeight="1">
      <c r="C33" s="147">
        <v>28</v>
      </c>
      <c r="D33" s="142" t="s">
        <v>1707</v>
      </c>
      <c r="E33" s="142" t="s">
        <v>1708</v>
      </c>
      <c r="F33" s="142" t="s">
        <v>3699</v>
      </c>
      <c r="G33" s="215" t="s">
        <v>1709</v>
      </c>
      <c r="H33" s="221" t="s">
        <v>1743</v>
      </c>
      <c r="I33" s="219" t="s">
        <v>1747</v>
      </c>
      <c r="J33" s="220"/>
      <c r="K33" s="218" t="s">
        <v>1741</v>
      </c>
      <c r="L33" s="189">
        <f t="shared" si="2"/>
        <v>5.4</v>
      </c>
      <c r="M33" s="140">
        <f t="shared" si="0"/>
        <v>1</v>
      </c>
      <c r="N33" s="141">
        <f t="shared" si="1"/>
        <v>5.4</v>
      </c>
      <c r="O33" s="140" t="s">
        <v>1156</v>
      </c>
      <c r="P33" s="143" t="s">
        <v>1532</v>
      </c>
      <c r="R33" s="177"/>
    </row>
    <row r="34" spans="3:18" s="144" customFormat="1" ht="19.5" customHeight="1">
      <c r="C34" s="147">
        <v>29</v>
      </c>
      <c r="D34" s="142" t="s">
        <v>1707</v>
      </c>
      <c r="E34" s="142" t="s">
        <v>1708</v>
      </c>
      <c r="F34" s="142" t="s">
        <v>3700</v>
      </c>
      <c r="G34" s="215" t="s">
        <v>1709</v>
      </c>
      <c r="H34" s="221" t="s">
        <v>1743</v>
      </c>
      <c r="I34" s="219" t="s">
        <v>1748</v>
      </c>
      <c r="J34" s="220"/>
      <c r="K34" s="218" t="s">
        <v>1741</v>
      </c>
      <c r="L34" s="189">
        <f t="shared" si="2"/>
        <v>5.4</v>
      </c>
      <c r="M34" s="140">
        <f t="shared" si="0"/>
        <v>1</v>
      </c>
      <c r="N34" s="141">
        <f t="shared" si="1"/>
        <v>5.4</v>
      </c>
      <c r="O34" s="140" t="s">
        <v>1156</v>
      </c>
      <c r="P34" s="143" t="s">
        <v>1532</v>
      </c>
      <c r="R34" s="177"/>
    </row>
    <row r="35" spans="3:18" s="144" customFormat="1" ht="19.5" customHeight="1">
      <c r="C35" s="147">
        <v>30</v>
      </c>
      <c r="D35" s="142" t="s">
        <v>1707</v>
      </c>
      <c r="E35" s="142" t="s">
        <v>1708</v>
      </c>
      <c r="F35" s="142" t="s">
        <v>3701</v>
      </c>
      <c r="G35" s="215" t="s">
        <v>1709</v>
      </c>
      <c r="H35" s="221" t="s">
        <v>1749</v>
      </c>
      <c r="I35" s="222" t="s">
        <v>1749</v>
      </c>
      <c r="J35" s="223"/>
      <c r="K35" s="218" t="s">
        <v>1155</v>
      </c>
      <c r="L35" s="189">
        <f t="shared" si="2"/>
        <v>7.5</v>
      </c>
      <c r="M35" s="140">
        <f t="shared" si="0"/>
        <v>1</v>
      </c>
      <c r="N35" s="141">
        <f t="shared" si="1"/>
        <v>7.5</v>
      </c>
      <c r="O35" s="140" t="s">
        <v>1156</v>
      </c>
      <c r="P35" s="143" t="s">
        <v>1532</v>
      </c>
      <c r="R35" s="177"/>
    </row>
    <row r="36" spans="3:18" s="144" customFormat="1" ht="19.5" customHeight="1">
      <c r="C36" s="147">
        <v>31</v>
      </c>
      <c r="D36" s="142" t="s">
        <v>1707</v>
      </c>
      <c r="E36" s="142" t="s">
        <v>1708</v>
      </c>
      <c r="F36" s="142" t="s">
        <v>3702</v>
      </c>
      <c r="G36" s="215" t="s">
        <v>1709</v>
      </c>
      <c r="H36" s="221" t="s">
        <v>1750</v>
      </c>
      <c r="I36" s="225" t="s">
        <v>1751</v>
      </c>
      <c r="J36" s="220"/>
      <c r="K36" s="218" t="s">
        <v>1741</v>
      </c>
      <c r="L36" s="189">
        <f t="shared" si="2"/>
        <v>5.4</v>
      </c>
      <c r="M36" s="140">
        <f t="shared" si="0"/>
        <v>1</v>
      </c>
      <c r="N36" s="141">
        <f t="shared" si="1"/>
        <v>5.4</v>
      </c>
      <c r="O36" s="140" t="s">
        <v>1156</v>
      </c>
      <c r="P36" s="143" t="s">
        <v>1532</v>
      </c>
      <c r="R36" s="177"/>
    </row>
    <row r="37" spans="3:18" s="144" customFormat="1" ht="19.5" customHeight="1">
      <c r="C37" s="147">
        <v>32</v>
      </c>
      <c r="D37" s="142" t="s">
        <v>1707</v>
      </c>
      <c r="E37" s="142" t="s">
        <v>1708</v>
      </c>
      <c r="F37" s="142" t="s">
        <v>3703</v>
      </c>
      <c r="G37" s="215" t="s">
        <v>1709</v>
      </c>
      <c r="H37" s="221" t="s">
        <v>1750</v>
      </c>
      <c r="I37" s="225" t="s">
        <v>1752</v>
      </c>
      <c r="J37" s="226"/>
      <c r="K37" s="218" t="s">
        <v>1202</v>
      </c>
      <c r="L37" s="189">
        <f t="shared" si="2"/>
        <v>7.5</v>
      </c>
      <c r="M37" s="140">
        <f t="shared" si="0"/>
        <v>1</v>
      </c>
      <c r="N37" s="141">
        <f t="shared" si="1"/>
        <v>7.5</v>
      </c>
      <c r="O37" s="140" t="s">
        <v>1156</v>
      </c>
      <c r="P37" s="143" t="s">
        <v>1532</v>
      </c>
      <c r="R37" s="177"/>
    </row>
    <row r="38" spans="3:18" s="144" customFormat="1" ht="19.5" customHeight="1">
      <c r="C38" s="147">
        <v>33</v>
      </c>
      <c r="D38" s="142" t="s">
        <v>1707</v>
      </c>
      <c r="E38" s="142" t="s">
        <v>1708</v>
      </c>
      <c r="F38" s="142" t="s">
        <v>3704</v>
      </c>
      <c r="G38" s="215" t="s">
        <v>1709</v>
      </c>
      <c r="H38" s="221" t="s">
        <v>1750</v>
      </c>
      <c r="I38" s="225" t="s">
        <v>1753</v>
      </c>
      <c r="J38" s="220"/>
      <c r="K38" s="218" t="s">
        <v>1741</v>
      </c>
      <c r="L38" s="189">
        <f t="shared" si="2"/>
        <v>5.4</v>
      </c>
      <c r="M38" s="140">
        <f t="shared" si="0"/>
        <v>1</v>
      </c>
      <c r="N38" s="141">
        <f t="shared" si="1"/>
        <v>5.4</v>
      </c>
      <c r="O38" s="140" t="s">
        <v>1156</v>
      </c>
      <c r="P38" s="143" t="s">
        <v>1532</v>
      </c>
      <c r="R38" s="177"/>
    </row>
    <row r="39" spans="3:18" s="144" customFormat="1" ht="19.5" customHeight="1">
      <c r="C39" s="133">
        <v>34</v>
      </c>
      <c r="D39" s="134" t="s">
        <v>1707</v>
      </c>
      <c r="E39" s="134" t="s">
        <v>1708</v>
      </c>
      <c r="F39" s="134" t="s">
        <v>3705</v>
      </c>
      <c r="G39" s="227" t="s">
        <v>1709</v>
      </c>
      <c r="H39" s="228" t="s">
        <v>1754</v>
      </c>
      <c r="I39" s="229" t="s">
        <v>1755</v>
      </c>
      <c r="J39" s="226"/>
      <c r="K39" s="218" t="s">
        <v>1155</v>
      </c>
      <c r="L39" s="189">
        <f t="shared" si="2"/>
        <v>7.5</v>
      </c>
      <c r="M39" s="140">
        <f t="shared" si="0"/>
        <v>1</v>
      </c>
      <c r="N39" s="141">
        <f t="shared" si="1"/>
        <v>7.5</v>
      </c>
      <c r="O39" s="140" t="s">
        <v>1156</v>
      </c>
      <c r="P39" s="143" t="s">
        <v>1532</v>
      </c>
      <c r="R39" s="177"/>
    </row>
    <row r="40" spans="3:18" s="144" customFormat="1" ht="19.5" customHeight="1">
      <c r="C40" s="133">
        <v>35</v>
      </c>
      <c r="D40" s="134" t="s">
        <v>1707</v>
      </c>
      <c r="E40" s="134" t="s">
        <v>1708</v>
      </c>
      <c r="F40" s="134" t="s">
        <v>3706</v>
      </c>
      <c r="G40" s="227" t="s">
        <v>1709</v>
      </c>
      <c r="H40" s="228" t="s">
        <v>1754</v>
      </c>
      <c r="I40" s="229" t="s">
        <v>1756</v>
      </c>
      <c r="J40" s="226"/>
      <c r="K40" s="218" t="s">
        <v>1155</v>
      </c>
      <c r="L40" s="189">
        <f t="shared" si="2"/>
        <v>7.5</v>
      </c>
      <c r="M40" s="140">
        <f t="shared" si="0"/>
        <v>1</v>
      </c>
      <c r="N40" s="141">
        <f t="shared" si="1"/>
        <v>7.5</v>
      </c>
      <c r="O40" s="140" t="s">
        <v>1156</v>
      </c>
      <c r="P40" s="143" t="s">
        <v>1532</v>
      </c>
      <c r="R40" s="177"/>
    </row>
    <row r="41" spans="3:18" s="144" customFormat="1" ht="19.5" customHeight="1">
      <c r="C41" s="133">
        <v>36</v>
      </c>
      <c r="D41" s="134" t="s">
        <v>1707</v>
      </c>
      <c r="E41" s="134" t="s">
        <v>1708</v>
      </c>
      <c r="F41" s="134" t="s">
        <v>3707</v>
      </c>
      <c r="G41" s="227" t="s">
        <v>1709</v>
      </c>
      <c r="H41" s="228" t="s">
        <v>1754</v>
      </c>
      <c r="I41" s="229" t="s">
        <v>1757</v>
      </c>
      <c r="J41" s="226"/>
      <c r="K41" s="218" t="s">
        <v>1155</v>
      </c>
      <c r="L41" s="189">
        <f t="shared" si="2"/>
        <v>7.5</v>
      </c>
      <c r="M41" s="140">
        <f t="shared" si="0"/>
        <v>1</v>
      </c>
      <c r="N41" s="141">
        <f t="shared" si="1"/>
        <v>7.5</v>
      </c>
      <c r="O41" s="140" t="s">
        <v>1156</v>
      </c>
      <c r="P41" s="143" t="s">
        <v>1532</v>
      </c>
      <c r="R41" s="177"/>
    </row>
    <row r="42" spans="3:18" s="144" customFormat="1" ht="19.5" customHeight="1">
      <c r="C42" s="133">
        <v>37</v>
      </c>
      <c r="D42" s="134" t="s">
        <v>1707</v>
      </c>
      <c r="E42" s="134" t="s">
        <v>1708</v>
      </c>
      <c r="F42" s="134" t="s">
        <v>3708</v>
      </c>
      <c r="G42" s="227" t="s">
        <v>1709</v>
      </c>
      <c r="H42" s="228" t="s">
        <v>1754</v>
      </c>
      <c r="I42" s="229" t="s">
        <v>1758</v>
      </c>
      <c r="J42" s="226"/>
      <c r="K42" s="218" t="s">
        <v>1155</v>
      </c>
      <c r="L42" s="189">
        <f t="shared" si="2"/>
        <v>7.5</v>
      </c>
      <c r="M42" s="140">
        <f t="shared" si="0"/>
        <v>1</v>
      </c>
      <c r="N42" s="141">
        <f t="shared" si="1"/>
        <v>7.5</v>
      </c>
      <c r="O42" s="140" t="s">
        <v>1156</v>
      </c>
      <c r="P42" s="143" t="s">
        <v>1532</v>
      </c>
      <c r="R42" s="177"/>
    </row>
    <row r="43" spans="3:18" s="144" customFormat="1" ht="19.5" customHeight="1">
      <c r="C43" s="133">
        <v>38</v>
      </c>
      <c r="D43" s="134" t="s">
        <v>1707</v>
      </c>
      <c r="E43" s="134" t="s">
        <v>1708</v>
      </c>
      <c r="F43" s="134" t="s">
        <v>3709</v>
      </c>
      <c r="G43" s="227" t="s">
        <v>1709</v>
      </c>
      <c r="H43" s="228" t="s">
        <v>1754</v>
      </c>
      <c r="I43" s="229" t="s">
        <v>1759</v>
      </c>
      <c r="J43" s="226"/>
      <c r="K43" s="218" t="s">
        <v>1155</v>
      </c>
      <c r="L43" s="189">
        <f t="shared" si="2"/>
        <v>7.5</v>
      </c>
      <c r="M43" s="140">
        <f t="shared" si="0"/>
        <v>1</v>
      </c>
      <c r="N43" s="141">
        <f t="shared" si="1"/>
        <v>7.5</v>
      </c>
      <c r="O43" s="140" t="s">
        <v>1156</v>
      </c>
      <c r="P43" s="143" t="s">
        <v>1532</v>
      </c>
      <c r="R43" s="177"/>
    </row>
    <row r="44" spans="3:18" s="144" customFormat="1" ht="19.5" customHeight="1">
      <c r="C44" s="133">
        <v>39</v>
      </c>
      <c r="D44" s="134" t="s">
        <v>1707</v>
      </c>
      <c r="E44" s="134" t="s">
        <v>1708</v>
      </c>
      <c r="F44" s="134" t="s">
        <v>3710</v>
      </c>
      <c r="G44" s="227" t="s">
        <v>1709</v>
      </c>
      <c r="H44" s="228" t="s">
        <v>1754</v>
      </c>
      <c r="I44" s="229" t="s">
        <v>1760</v>
      </c>
      <c r="J44" s="226"/>
      <c r="K44" s="218" t="s">
        <v>1155</v>
      </c>
      <c r="L44" s="189">
        <f t="shared" si="2"/>
        <v>7.5</v>
      </c>
      <c r="M44" s="140">
        <f t="shared" si="0"/>
        <v>1</v>
      </c>
      <c r="N44" s="141">
        <f t="shared" si="1"/>
        <v>7.5</v>
      </c>
      <c r="O44" s="140" t="s">
        <v>1156</v>
      </c>
      <c r="P44" s="143" t="s">
        <v>1532</v>
      </c>
      <c r="R44" s="177"/>
    </row>
    <row r="45" spans="3:18" s="144" customFormat="1" ht="19.5" customHeight="1">
      <c r="C45" s="133">
        <v>40</v>
      </c>
      <c r="D45" s="134" t="s">
        <v>1707</v>
      </c>
      <c r="E45" s="134" t="s">
        <v>1708</v>
      </c>
      <c r="F45" s="134" t="s">
        <v>3711</v>
      </c>
      <c r="G45" s="227" t="s">
        <v>1709</v>
      </c>
      <c r="H45" s="228" t="s">
        <v>1754</v>
      </c>
      <c r="I45" s="229" t="s">
        <v>1761</v>
      </c>
      <c r="J45" s="226"/>
      <c r="K45" s="218" t="s">
        <v>1155</v>
      </c>
      <c r="L45" s="189">
        <f t="shared" si="2"/>
        <v>7.5</v>
      </c>
      <c r="M45" s="140">
        <f t="shared" si="0"/>
        <v>1</v>
      </c>
      <c r="N45" s="141">
        <f t="shared" si="1"/>
        <v>7.5</v>
      </c>
      <c r="O45" s="140" t="s">
        <v>1156</v>
      </c>
      <c r="P45" s="143" t="s">
        <v>1532</v>
      </c>
      <c r="R45" s="177"/>
    </row>
    <row r="46" spans="3:18" s="144" customFormat="1" ht="19.5" customHeight="1">
      <c r="C46" s="133">
        <v>41</v>
      </c>
      <c r="D46" s="134" t="s">
        <v>1707</v>
      </c>
      <c r="E46" s="134" t="s">
        <v>1708</v>
      </c>
      <c r="F46" s="134" t="s">
        <v>3712</v>
      </c>
      <c r="G46" s="227" t="s">
        <v>1709</v>
      </c>
      <c r="H46" s="228" t="s">
        <v>1754</v>
      </c>
      <c r="I46" s="229" t="s">
        <v>1762</v>
      </c>
      <c r="J46" s="226"/>
      <c r="K46" s="218" t="s">
        <v>1155</v>
      </c>
      <c r="L46" s="189">
        <f t="shared" si="2"/>
        <v>7.5</v>
      </c>
      <c r="M46" s="140">
        <f t="shared" si="0"/>
        <v>1</v>
      </c>
      <c r="N46" s="141">
        <f t="shared" si="1"/>
        <v>7.5</v>
      </c>
      <c r="O46" s="140" t="s">
        <v>1156</v>
      </c>
      <c r="P46" s="143" t="s">
        <v>1532</v>
      </c>
      <c r="R46" s="177"/>
    </row>
    <row r="47" spans="3:18" s="144" customFormat="1" ht="19.5" customHeight="1">
      <c r="C47" s="133">
        <v>42</v>
      </c>
      <c r="D47" s="134" t="s">
        <v>1707</v>
      </c>
      <c r="E47" s="134" t="s">
        <v>1708</v>
      </c>
      <c r="F47" s="134" t="s">
        <v>3713</v>
      </c>
      <c r="G47" s="227" t="s">
        <v>1709</v>
      </c>
      <c r="H47" s="228" t="s">
        <v>1754</v>
      </c>
      <c r="I47" s="229" t="s">
        <v>1763</v>
      </c>
      <c r="J47" s="226"/>
      <c r="K47" s="218" t="s">
        <v>1155</v>
      </c>
      <c r="L47" s="189">
        <f t="shared" si="2"/>
        <v>7.5</v>
      </c>
      <c r="M47" s="140">
        <f t="shared" si="0"/>
        <v>1</v>
      </c>
      <c r="N47" s="141">
        <f t="shared" si="1"/>
        <v>7.5</v>
      </c>
      <c r="O47" s="140" t="s">
        <v>1156</v>
      </c>
      <c r="P47" s="143" t="s">
        <v>1532</v>
      </c>
      <c r="R47" s="177"/>
    </row>
    <row r="48" spans="3:18" s="144" customFormat="1" ht="19.5" customHeight="1">
      <c r="C48" s="133">
        <v>43</v>
      </c>
      <c r="D48" s="134" t="s">
        <v>1707</v>
      </c>
      <c r="E48" s="134" t="s">
        <v>1708</v>
      </c>
      <c r="F48" s="134" t="s">
        <v>3714</v>
      </c>
      <c r="G48" s="227" t="s">
        <v>1709</v>
      </c>
      <c r="H48" s="228" t="s">
        <v>1754</v>
      </c>
      <c r="I48" s="229" t="s">
        <v>1764</v>
      </c>
      <c r="J48" s="226"/>
      <c r="K48" s="218" t="s">
        <v>1155</v>
      </c>
      <c r="L48" s="189">
        <f t="shared" si="2"/>
        <v>7.5</v>
      </c>
      <c r="M48" s="140">
        <f t="shared" si="0"/>
        <v>1</v>
      </c>
      <c r="N48" s="141">
        <f t="shared" si="1"/>
        <v>7.5</v>
      </c>
      <c r="O48" s="140" t="s">
        <v>1156</v>
      </c>
      <c r="P48" s="143" t="s">
        <v>1532</v>
      </c>
      <c r="R48" s="177"/>
    </row>
    <row r="49" spans="3:21" s="144" customFormat="1" ht="19.5" customHeight="1">
      <c r="C49" s="133">
        <v>44</v>
      </c>
      <c r="D49" s="134" t="s">
        <v>1707</v>
      </c>
      <c r="E49" s="134" t="s">
        <v>1708</v>
      </c>
      <c r="F49" s="134" t="s">
        <v>3715</v>
      </c>
      <c r="G49" s="227" t="s">
        <v>1709</v>
      </c>
      <c r="H49" s="228" t="s">
        <v>1754</v>
      </c>
      <c r="I49" s="229" t="s">
        <v>1765</v>
      </c>
      <c r="J49" s="226"/>
      <c r="K49" s="218" t="s">
        <v>1155</v>
      </c>
      <c r="L49" s="189">
        <f t="shared" si="2"/>
        <v>7.5</v>
      </c>
      <c r="M49" s="140">
        <f t="shared" si="0"/>
        <v>1</v>
      </c>
      <c r="N49" s="141">
        <f t="shared" si="1"/>
        <v>7.5</v>
      </c>
      <c r="O49" s="140" t="s">
        <v>1156</v>
      </c>
      <c r="P49" s="143" t="s">
        <v>1532</v>
      </c>
      <c r="R49" s="177"/>
    </row>
    <row r="50" spans="3:21" s="144" customFormat="1" ht="19.5" customHeight="1">
      <c r="C50" s="133">
        <v>45</v>
      </c>
      <c r="D50" s="134" t="s">
        <v>1707</v>
      </c>
      <c r="E50" s="134" t="s">
        <v>1708</v>
      </c>
      <c r="F50" s="134" t="s">
        <v>3716</v>
      </c>
      <c r="G50" s="227" t="s">
        <v>1709</v>
      </c>
      <c r="H50" s="228" t="s">
        <v>1766</v>
      </c>
      <c r="I50" s="229" t="s">
        <v>1767</v>
      </c>
      <c r="J50" s="226"/>
      <c r="K50" s="218" t="s">
        <v>1155</v>
      </c>
      <c r="L50" s="189">
        <f t="shared" si="2"/>
        <v>7.5</v>
      </c>
      <c r="M50" s="140">
        <f t="shared" si="0"/>
        <v>1</v>
      </c>
      <c r="N50" s="141">
        <f t="shared" si="1"/>
        <v>7.5</v>
      </c>
      <c r="O50" s="140" t="s">
        <v>1156</v>
      </c>
      <c r="P50" s="143" t="s">
        <v>1532</v>
      </c>
      <c r="R50" s="177"/>
    </row>
    <row r="51" spans="3:21" s="144" customFormat="1" ht="19.5" customHeight="1">
      <c r="C51" s="133">
        <v>46</v>
      </c>
      <c r="D51" s="134" t="s">
        <v>1707</v>
      </c>
      <c r="E51" s="134" t="s">
        <v>1708</v>
      </c>
      <c r="F51" s="134" t="s">
        <v>3717</v>
      </c>
      <c r="G51" s="227" t="s">
        <v>1709</v>
      </c>
      <c r="H51" s="228" t="s">
        <v>1766</v>
      </c>
      <c r="I51" s="229" t="s">
        <v>1768</v>
      </c>
      <c r="J51" s="226"/>
      <c r="K51" s="218" t="s">
        <v>1155</v>
      </c>
      <c r="L51" s="189">
        <f t="shared" si="2"/>
        <v>7.5</v>
      </c>
      <c r="M51" s="140">
        <f t="shared" si="0"/>
        <v>1</v>
      </c>
      <c r="N51" s="141">
        <f t="shared" si="1"/>
        <v>7.5</v>
      </c>
      <c r="O51" s="140" t="s">
        <v>1156</v>
      </c>
      <c r="P51" s="143" t="s">
        <v>1532</v>
      </c>
      <c r="R51" s="177"/>
    </row>
    <row r="52" spans="3:21" s="144" customFormat="1" ht="19.5" customHeight="1">
      <c r="C52" s="133">
        <v>47</v>
      </c>
      <c r="D52" s="134" t="s">
        <v>1707</v>
      </c>
      <c r="E52" s="134" t="s">
        <v>1708</v>
      </c>
      <c r="F52" s="134" t="s">
        <v>3718</v>
      </c>
      <c r="G52" s="227" t="s">
        <v>1709</v>
      </c>
      <c r="H52" s="228" t="s">
        <v>1769</v>
      </c>
      <c r="I52" s="230" t="s">
        <v>1770</v>
      </c>
      <c r="J52" s="224"/>
      <c r="K52" s="201" t="s">
        <v>1155</v>
      </c>
      <c r="L52" s="189">
        <f t="shared" si="2"/>
        <v>7.5</v>
      </c>
      <c r="M52" s="140">
        <f t="shared" si="0"/>
        <v>1</v>
      </c>
      <c r="N52" s="141">
        <f t="shared" si="1"/>
        <v>7.5</v>
      </c>
      <c r="O52" s="140" t="s">
        <v>1156</v>
      </c>
      <c r="P52" s="143" t="s">
        <v>1532</v>
      </c>
      <c r="R52" s="177"/>
    </row>
    <row r="53" spans="3:21" s="144" customFormat="1" ht="19.5" customHeight="1">
      <c r="C53" s="133">
        <v>48</v>
      </c>
      <c r="D53" s="134" t="s">
        <v>1707</v>
      </c>
      <c r="E53" s="134" t="s">
        <v>1708</v>
      </c>
      <c r="F53" s="134" t="s">
        <v>3719</v>
      </c>
      <c r="G53" s="227" t="s">
        <v>1709</v>
      </c>
      <c r="H53" s="228" t="s">
        <v>1769</v>
      </c>
      <c r="I53" s="230" t="s">
        <v>1771</v>
      </c>
      <c r="J53" s="224"/>
      <c r="K53" s="201" t="s">
        <v>1155</v>
      </c>
      <c r="L53" s="189">
        <f t="shared" si="2"/>
        <v>7.5</v>
      </c>
      <c r="M53" s="140">
        <f t="shared" si="0"/>
        <v>1</v>
      </c>
      <c r="N53" s="141">
        <f t="shared" si="1"/>
        <v>7.5</v>
      </c>
      <c r="O53" s="140" t="s">
        <v>1156</v>
      </c>
      <c r="P53" s="143" t="s">
        <v>1532</v>
      </c>
      <c r="R53" s="177"/>
    </row>
    <row r="54" spans="3:21" s="144" customFormat="1" ht="19.5" customHeight="1">
      <c r="C54" s="133">
        <v>49</v>
      </c>
      <c r="D54" s="134" t="s">
        <v>1707</v>
      </c>
      <c r="E54" s="134" t="s">
        <v>1708</v>
      </c>
      <c r="F54" s="134" t="s">
        <v>3720</v>
      </c>
      <c r="G54" s="227" t="s">
        <v>1709</v>
      </c>
      <c r="H54" s="228" t="s">
        <v>1769</v>
      </c>
      <c r="I54" s="230" t="s">
        <v>1772</v>
      </c>
      <c r="J54" s="224"/>
      <c r="K54" s="201" t="s">
        <v>1155</v>
      </c>
      <c r="L54" s="189">
        <f t="shared" si="2"/>
        <v>7.5</v>
      </c>
      <c r="M54" s="140">
        <f t="shared" si="0"/>
        <v>1</v>
      </c>
      <c r="N54" s="141">
        <f t="shared" si="1"/>
        <v>7.5</v>
      </c>
      <c r="O54" s="140" t="s">
        <v>1156</v>
      </c>
      <c r="P54" s="143" t="s">
        <v>1532</v>
      </c>
      <c r="R54" s="177"/>
    </row>
    <row r="55" spans="3:21" s="144" customFormat="1" ht="27">
      <c r="C55" s="133">
        <v>50</v>
      </c>
      <c r="D55" s="134" t="s">
        <v>1707</v>
      </c>
      <c r="E55" s="134" t="s">
        <v>1773</v>
      </c>
      <c r="F55" s="134" t="s">
        <v>3721</v>
      </c>
      <c r="G55" s="227" t="s">
        <v>1709</v>
      </c>
      <c r="H55" s="228" t="s">
        <v>1774</v>
      </c>
      <c r="I55" s="230" t="s">
        <v>1775</v>
      </c>
      <c r="J55" s="224"/>
      <c r="K55" s="218" t="s">
        <v>1741</v>
      </c>
      <c r="L55" s="189">
        <f t="shared" si="2"/>
        <v>5.4</v>
      </c>
      <c r="M55" s="140">
        <v>1</v>
      </c>
      <c r="N55" s="141">
        <f t="shared" si="1"/>
        <v>5.4</v>
      </c>
      <c r="O55" s="140" t="s">
        <v>1776</v>
      </c>
      <c r="P55" s="143" t="s">
        <v>1532</v>
      </c>
      <c r="R55" s="177"/>
    </row>
    <row r="56" spans="3:21" s="144" customFormat="1" ht="19.5" customHeight="1">
      <c r="C56" s="133">
        <v>51</v>
      </c>
      <c r="D56" s="134" t="s">
        <v>1707</v>
      </c>
      <c r="E56" s="134" t="s">
        <v>1777</v>
      </c>
      <c r="F56" s="134" t="s">
        <v>3722</v>
      </c>
      <c r="G56" s="227" t="s">
        <v>1709</v>
      </c>
      <c r="H56" s="228" t="s">
        <v>1778</v>
      </c>
      <c r="I56" s="230" t="s">
        <v>1779</v>
      </c>
      <c r="J56" s="224"/>
      <c r="K56" s="138" t="s">
        <v>1170</v>
      </c>
      <c r="L56" s="189">
        <f t="shared" si="2"/>
        <v>5.2</v>
      </c>
      <c r="M56" s="140">
        <v>1</v>
      </c>
      <c r="N56" s="141">
        <f t="shared" si="1"/>
        <v>5.2</v>
      </c>
      <c r="O56" s="140" t="s">
        <v>1776</v>
      </c>
      <c r="P56" s="143" t="s">
        <v>1780</v>
      </c>
      <c r="R56" s="177"/>
    </row>
    <row r="57" spans="3:21" s="144" customFormat="1" ht="19.5" customHeight="1">
      <c r="C57" s="147">
        <v>52</v>
      </c>
      <c r="D57" s="142" t="s">
        <v>1707</v>
      </c>
      <c r="E57" s="197" t="s">
        <v>1781</v>
      </c>
      <c r="F57" s="231" t="s">
        <v>3723</v>
      </c>
      <c r="G57" s="232" t="s">
        <v>1782</v>
      </c>
      <c r="H57" s="232" t="s">
        <v>1783</v>
      </c>
      <c r="I57" s="225" t="s">
        <v>1784</v>
      </c>
      <c r="J57" s="226"/>
      <c r="K57" s="218" t="s">
        <v>1741</v>
      </c>
      <c r="L57" s="189">
        <f t="shared" si="2"/>
        <v>5.4</v>
      </c>
      <c r="M57" s="140">
        <f t="shared" si="0"/>
        <v>1</v>
      </c>
      <c r="N57" s="141">
        <f t="shared" si="1"/>
        <v>5.4</v>
      </c>
      <c r="O57" s="140" t="s">
        <v>1156</v>
      </c>
      <c r="P57" s="143" t="s">
        <v>1780</v>
      </c>
      <c r="R57" s="177"/>
      <c r="S57" s="233"/>
      <c r="T57" s="234"/>
      <c r="U57" s="234"/>
    </row>
    <row r="58" spans="3:21" s="144" customFormat="1" ht="19.5" customHeight="1">
      <c r="C58" s="147">
        <v>53</v>
      </c>
      <c r="D58" s="142" t="s">
        <v>1707</v>
      </c>
      <c r="E58" s="197" t="s">
        <v>1781</v>
      </c>
      <c r="F58" s="231" t="s">
        <v>3724</v>
      </c>
      <c r="G58" s="232" t="s">
        <v>1782</v>
      </c>
      <c r="H58" s="235" t="s">
        <v>1785</v>
      </c>
      <c r="I58" s="225" t="s">
        <v>1786</v>
      </c>
      <c r="J58" s="226"/>
      <c r="K58" s="218" t="s">
        <v>1741</v>
      </c>
      <c r="L58" s="189">
        <f t="shared" si="2"/>
        <v>5.4</v>
      </c>
      <c r="M58" s="140">
        <f t="shared" si="0"/>
        <v>1</v>
      </c>
      <c r="N58" s="141">
        <f t="shared" si="1"/>
        <v>5.4</v>
      </c>
      <c r="O58" s="140" t="s">
        <v>1156</v>
      </c>
      <c r="P58" s="143" t="s">
        <v>1780</v>
      </c>
      <c r="R58" s="177"/>
      <c r="S58" s="233"/>
      <c r="T58" s="234"/>
      <c r="U58" s="234"/>
    </row>
    <row r="59" spans="3:21" s="144" customFormat="1" ht="19.5" customHeight="1">
      <c r="C59" s="147">
        <v>54</v>
      </c>
      <c r="D59" s="142" t="s">
        <v>1707</v>
      </c>
      <c r="E59" s="197" t="s">
        <v>1781</v>
      </c>
      <c r="F59" s="231" t="s">
        <v>3725</v>
      </c>
      <c r="G59" s="232" t="s">
        <v>1782</v>
      </c>
      <c r="H59" s="235" t="s">
        <v>1785</v>
      </c>
      <c r="I59" s="225" t="s">
        <v>1787</v>
      </c>
      <c r="J59" s="226"/>
      <c r="K59" s="218" t="s">
        <v>1160</v>
      </c>
      <c r="L59" s="189">
        <f t="shared" si="2"/>
        <v>3.9</v>
      </c>
      <c r="M59" s="140">
        <f t="shared" si="0"/>
        <v>1</v>
      </c>
      <c r="N59" s="141">
        <f t="shared" si="1"/>
        <v>3.9</v>
      </c>
      <c r="O59" s="140" t="s">
        <v>1156</v>
      </c>
      <c r="P59" s="143" t="s">
        <v>1780</v>
      </c>
      <c r="R59" s="177"/>
      <c r="S59" s="233"/>
      <c r="T59" s="234"/>
      <c r="U59" s="234"/>
    </row>
    <row r="60" spans="3:21" s="144" customFormat="1" ht="19.5" customHeight="1">
      <c r="C60" s="147">
        <v>55</v>
      </c>
      <c r="D60" s="142" t="s">
        <v>1707</v>
      </c>
      <c r="E60" s="197" t="s">
        <v>1781</v>
      </c>
      <c r="F60" s="231" t="s">
        <v>3726</v>
      </c>
      <c r="G60" s="232" t="s">
        <v>1782</v>
      </c>
      <c r="H60" s="235" t="s">
        <v>1788</v>
      </c>
      <c r="I60" s="225" t="s">
        <v>1789</v>
      </c>
      <c r="J60" s="226"/>
      <c r="K60" s="218" t="s">
        <v>1155</v>
      </c>
      <c r="L60" s="189">
        <f t="shared" si="2"/>
        <v>7.5</v>
      </c>
      <c r="M60" s="140">
        <f t="shared" si="0"/>
        <v>1</v>
      </c>
      <c r="N60" s="141">
        <f t="shared" si="1"/>
        <v>7.5</v>
      </c>
      <c r="O60" s="140" t="s">
        <v>1156</v>
      </c>
      <c r="P60" s="143" t="s">
        <v>1780</v>
      </c>
      <c r="R60" s="177"/>
      <c r="S60" s="233"/>
      <c r="T60" s="234"/>
      <c r="U60" s="234"/>
    </row>
    <row r="61" spans="3:21" s="144" customFormat="1" ht="19.5" customHeight="1">
      <c r="C61" s="147">
        <v>56</v>
      </c>
      <c r="D61" s="142" t="s">
        <v>1707</v>
      </c>
      <c r="E61" s="197" t="s">
        <v>1781</v>
      </c>
      <c r="F61" s="231" t="s">
        <v>3727</v>
      </c>
      <c r="G61" s="232" t="s">
        <v>1782</v>
      </c>
      <c r="H61" s="235" t="s">
        <v>1788</v>
      </c>
      <c r="I61" s="225" t="s">
        <v>1790</v>
      </c>
      <c r="J61" s="226"/>
      <c r="K61" s="218" t="s">
        <v>1163</v>
      </c>
      <c r="L61" s="189">
        <f t="shared" si="2"/>
        <v>4</v>
      </c>
      <c r="M61" s="140">
        <f t="shared" si="0"/>
        <v>1</v>
      </c>
      <c r="N61" s="141">
        <f t="shared" si="1"/>
        <v>4</v>
      </c>
      <c r="O61" s="140" t="s">
        <v>1156</v>
      </c>
      <c r="P61" s="143" t="s">
        <v>1780</v>
      </c>
      <c r="R61" s="177"/>
      <c r="S61" s="233"/>
      <c r="T61" s="234"/>
      <c r="U61" s="234"/>
    </row>
    <row r="62" spans="3:21" s="144" customFormat="1" ht="19.5" customHeight="1">
      <c r="C62" s="147">
        <v>57</v>
      </c>
      <c r="D62" s="142" t="s">
        <v>1707</v>
      </c>
      <c r="E62" s="197" t="s">
        <v>1781</v>
      </c>
      <c r="F62" s="231" t="s">
        <v>3728</v>
      </c>
      <c r="G62" s="232" t="s">
        <v>1782</v>
      </c>
      <c r="H62" s="235" t="s">
        <v>1788</v>
      </c>
      <c r="I62" s="225" t="s">
        <v>1791</v>
      </c>
      <c r="J62" s="226"/>
      <c r="K62" s="218" t="s">
        <v>1163</v>
      </c>
      <c r="L62" s="189">
        <f t="shared" si="2"/>
        <v>4</v>
      </c>
      <c r="M62" s="140">
        <f t="shared" si="0"/>
        <v>1</v>
      </c>
      <c r="N62" s="141">
        <f t="shared" si="1"/>
        <v>4</v>
      </c>
      <c r="O62" s="140" t="s">
        <v>1156</v>
      </c>
      <c r="P62" s="143" t="s">
        <v>1780</v>
      </c>
      <c r="R62" s="177"/>
      <c r="S62" s="233"/>
      <c r="T62" s="234"/>
      <c r="U62" s="234"/>
    </row>
    <row r="63" spans="3:21" s="144" customFormat="1" ht="19.5" customHeight="1">
      <c r="C63" s="147">
        <v>58</v>
      </c>
      <c r="D63" s="142" t="s">
        <v>1707</v>
      </c>
      <c r="E63" s="197" t="s">
        <v>1781</v>
      </c>
      <c r="F63" s="231" t="s">
        <v>3729</v>
      </c>
      <c r="G63" s="232" t="s">
        <v>1792</v>
      </c>
      <c r="H63" s="232" t="s">
        <v>1793</v>
      </c>
      <c r="I63" s="236" t="s">
        <v>1794</v>
      </c>
      <c r="J63" s="237"/>
      <c r="K63" s="201" t="s">
        <v>1155</v>
      </c>
      <c r="L63" s="189">
        <f t="shared" si="2"/>
        <v>7.5</v>
      </c>
      <c r="M63" s="140">
        <f t="shared" si="0"/>
        <v>1</v>
      </c>
      <c r="N63" s="141">
        <f t="shared" si="1"/>
        <v>7.5</v>
      </c>
      <c r="O63" s="140" t="s">
        <v>1156</v>
      </c>
      <c r="P63" s="143" t="s">
        <v>1780</v>
      </c>
      <c r="R63" s="177"/>
      <c r="S63" s="233"/>
      <c r="T63" s="234"/>
      <c r="U63" s="234"/>
    </row>
    <row r="64" spans="3:21" s="144" customFormat="1" ht="19.5" customHeight="1">
      <c r="C64" s="147">
        <v>59</v>
      </c>
      <c r="D64" s="142" t="s">
        <v>1707</v>
      </c>
      <c r="E64" s="197" t="s">
        <v>1781</v>
      </c>
      <c r="F64" s="231" t="s">
        <v>3730</v>
      </c>
      <c r="G64" s="232" t="s">
        <v>1792</v>
      </c>
      <c r="H64" s="221" t="s">
        <v>1795</v>
      </c>
      <c r="I64" s="225" t="s">
        <v>1796</v>
      </c>
      <c r="J64" s="226"/>
      <c r="K64" s="218" t="s">
        <v>1741</v>
      </c>
      <c r="L64" s="189">
        <f t="shared" si="2"/>
        <v>5.4</v>
      </c>
      <c r="M64" s="140">
        <f t="shared" si="0"/>
        <v>1</v>
      </c>
      <c r="N64" s="141">
        <f t="shared" si="1"/>
        <v>5.4</v>
      </c>
      <c r="O64" s="140" t="s">
        <v>1156</v>
      </c>
      <c r="P64" s="143" t="s">
        <v>1780</v>
      </c>
      <c r="R64" s="177"/>
      <c r="S64" s="233"/>
      <c r="T64" s="234"/>
      <c r="U64" s="234"/>
    </row>
    <row r="65" spans="3:21" s="144" customFormat="1" ht="19.5" customHeight="1">
      <c r="C65" s="147">
        <v>60</v>
      </c>
      <c r="D65" s="142" t="s">
        <v>1707</v>
      </c>
      <c r="E65" s="197" t="s">
        <v>1781</v>
      </c>
      <c r="F65" s="231" t="s">
        <v>3731</v>
      </c>
      <c r="G65" s="232" t="s">
        <v>1792</v>
      </c>
      <c r="H65" s="221" t="s">
        <v>1795</v>
      </c>
      <c r="I65" s="225" t="s">
        <v>1797</v>
      </c>
      <c r="J65" s="226"/>
      <c r="K65" s="201" t="s">
        <v>1163</v>
      </c>
      <c r="L65" s="189">
        <f t="shared" si="2"/>
        <v>4</v>
      </c>
      <c r="M65" s="140">
        <f t="shared" si="0"/>
        <v>1</v>
      </c>
      <c r="N65" s="141">
        <f t="shared" si="1"/>
        <v>4</v>
      </c>
      <c r="O65" s="140" t="s">
        <v>1156</v>
      </c>
      <c r="P65" s="143" t="s">
        <v>1780</v>
      </c>
      <c r="R65" s="177"/>
      <c r="S65" s="233"/>
      <c r="T65" s="234"/>
      <c r="U65" s="234"/>
    </row>
    <row r="66" spans="3:21" s="144" customFormat="1" ht="19.5" customHeight="1">
      <c r="C66" s="147">
        <v>61</v>
      </c>
      <c r="D66" s="142" t="s">
        <v>1707</v>
      </c>
      <c r="E66" s="197" t="s">
        <v>1781</v>
      </c>
      <c r="F66" s="231" t="s">
        <v>3732</v>
      </c>
      <c r="G66" s="232" t="s">
        <v>1792</v>
      </c>
      <c r="H66" s="221" t="s">
        <v>1795</v>
      </c>
      <c r="I66" s="225" t="s">
        <v>1798</v>
      </c>
      <c r="J66" s="226"/>
      <c r="K66" s="218" t="s">
        <v>1741</v>
      </c>
      <c r="L66" s="189">
        <f t="shared" si="2"/>
        <v>5.4</v>
      </c>
      <c r="M66" s="140">
        <f t="shared" si="0"/>
        <v>1</v>
      </c>
      <c r="N66" s="141">
        <f t="shared" si="1"/>
        <v>5.4</v>
      </c>
      <c r="O66" s="140" t="s">
        <v>1156</v>
      </c>
      <c r="P66" s="143" t="s">
        <v>1780</v>
      </c>
      <c r="R66" s="177"/>
      <c r="S66" s="233"/>
      <c r="T66" s="234"/>
      <c r="U66" s="234"/>
    </row>
    <row r="67" spans="3:21" s="144" customFormat="1" ht="19.5" customHeight="1">
      <c r="C67" s="147">
        <v>62</v>
      </c>
      <c r="D67" s="142" t="s">
        <v>1707</v>
      </c>
      <c r="E67" s="197" t="s">
        <v>1781</v>
      </c>
      <c r="F67" s="231" t="s">
        <v>3733</v>
      </c>
      <c r="G67" s="232" t="s">
        <v>1792</v>
      </c>
      <c r="H67" s="221" t="s">
        <v>1795</v>
      </c>
      <c r="I67" s="225" t="s">
        <v>1799</v>
      </c>
      <c r="J67" s="226"/>
      <c r="K67" s="218" t="s">
        <v>1163</v>
      </c>
      <c r="L67" s="189">
        <f t="shared" si="2"/>
        <v>4</v>
      </c>
      <c r="M67" s="140">
        <f t="shared" si="0"/>
        <v>1</v>
      </c>
      <c r="N67" s="141">
        <f t="shared" si="1"/>
        <v>4</v>
      </c>
      <c r="O67" s="140" t="s">
        <v>1156</v>
      </c>
      <c r="P67" s="143" t="s">
        <v>1780</v>
      </c>
      <c r="R67" s="177"/>
      <c r="S67" s="233"/>
      <c r="T67" s="234"/>
      <c r="U67" s="234"/>
    </row>
    <row r="68" spans="3:21" s="144" customFormat="1" ht="19.5" customHeight="1">
      <c r="C68" s="147">
        <v>63</v>
      </c>
      <c r="D68" s="142" t="s">
        <v>1707</v>
      </c>
      <c r="E68" s="197" t="s">
        <v>1781</v>
      </c>
      <c r="F68" s="231" t="s">
        <v>3734</v>
      </c>
      <c r="G68" s="232" t="s">
        <v>1792</v>
      </c>
      <c r="H68" s="221" t="s">
        <v>1800</v>
      </c>
      <c r="I68" s="225" t="s">
        <v>1801</v>
      </c>
      <c r="J68" s="226"/>
      <c r="K68" s="218" t="s">
        <v>1163</v>
      </c>
      <c r="L68" s="189">
        <f t="shared" si="2"/>
        <v>4</v>
      </c>
      <c r="M68" s="140">
        <f t="shared" si="0"/>
        <v>1</v>
      </c>
      <c r="N68" s="141">
        <f t="shared" si="1"/>
        <v>4</v>
      </c>
      <c r="O68" s="140" t="s">
        <v>1156</v>
      </c>
      <c r="P68" s="143" t="s">
        <v>1780</v>
      </c>
      <c r="R68" s="177"/>
      <c r="S68" s="233"/>
      <c r="T68" s="234"/>
      <c r="U68" s="234"/>
    </row>
    <row r="69" spans="3:21" s="144" customFormat="1" ht="19.5" customHeight="1">
      <c r="C69" s="147">
        <v>64</v>
      </c>
      <c r="D69" s="142" t="s">
        <v>1707</v>
      </c>
      <c r="E69" s="197" t="s">
        <v>1781</v>
      </c>
      <c r="F69" s="231" t="s">
        <v>3735</v>
      </c>
      <c r="G69" s="232" t="s">
        <v>1792</v>
      </c>
      <c r="H69" s="221" t="s">
        <v>1800</v>
      </c>
      <c r="I69" s="225" t="s">
        <v>1802</v>
      </c>
      <c r="J69" s="226"/>
      <c r="K69" s="218" t="s">
        <v>1163</v>
      </c>
      <c r="L69" s="189">
        <f t="shared" si="2"/>
        <v>4</v>
      </c>
      <c r="M69" s="140">
        <f t="shared" si="0"/>
        <v>1</v>
      </c>
      <c r="N69" s="141">
        <f t="shared" si="1"/>
        <v>4</v>
      </c>
      <c r="O69" s="140" t="s">
        <v>1156</v>
      </c>
      <c r="P69" s="143" t="s">
        <v>1780</v>
      </c>
      <c r="R69" s="177"/>
      <c r="S69" s="233"/>
      <c r="T69" s="234"/>
      <c r="U69" s="234"/>
    </row>
    <row r="70" spans="3:21" s="144" customFormat="1" ht="19.5" customHeight="1">
      <c r="C70" s="147">
        <v>65</v>
      </c>
      <c r="D70" s="142" t="s">
        <v>1707</v>
      </c>
      <c r="E70" s="197" t="s">
        <v>1781</v>
      </c>
      <c r="F70" s="231" t="s">
        <v>3736</v>
      </c>
      <c r="G70" s="232" t="s">
        <v>1792</v>
      </c>
      <c r="H70" s="221" t="s">
        <v>1800</v>
      </c>
      <c r="I70" s="225" t="s">
        <v>1803</v>
      </c>
      <c r="J70" s="226"/>
      <c r="K70" s="218" t="s">
        <v>1163</v>
      </c>
      <c r="L70" s="189">
        <f t="shared" si="2"/>
        <v>4</v>
      </c>
      <c r="M70" s="140">
        <f t="shared" ref="M70:M133" si="3">IF(O70="","",IF(O70="신규",1,IF(O70="고도화",1.04,IF(O70="재사용",0.25))))</f>
        <v>1</v>
      </c>
      <c r="N70" s="141">
        <f t="shared" ref="N70:N133" si="4">L70*M70</f>
        <v>4</v>
      </c>
      <c r="O70" s="140" t="s">
        <v>1156</v>
      </c>
      <c r="P70" s="143" t="s">
        <v>1780</v>
      </c>
      <c r="R70" s="177"/>
      <c r="S70" s="233"/>
      <c r="T70" s="234"/>
      <c r="U70" s="234"/>
    </row>
    <row r="71" spans="3:21" s="144" customFormat="1" ht="19.5" customHeight="1">
      <c r="C71" s="147">
        <v>66</v>
      </c>
      <c r="D71" s="142" t="s">
        <v>1707</v>
      </c>
      <c r="E71" s="197" t="s">
        <v>1781</v>
      </c>
      <c r="F71" s="231" t="s">
        <v>3737</v>
      </c>
      <c r="G71" s="232" t="s">
        <v>1792</v>
      </c>
      <c r="H71" s="221" t="s">
        <v>1804</v>
      </c>
      <c r="I71" s="225" t="s">
        <v>1805</v>
      </c>
      <c r="J71" s="226"/>
      <c r="K71" s="218" t="s">
        <v>1163</v>
      </c>
      <c r="L71" s="189">
        <f t="shared" ref="L71:L134" si="5">IF(K71="","",IF(K71="EI",4,IF(K71="EO",5.2,IF(K71="EQ",3.9,IF(K71="ILF",7.5,IF(K71="EIF",5.4))))))</f>
        <v>4</v>
      </c>
      <c r="M71" s="140">
        <f t="shared" si="3"/>
        <v>1</v>
      </c>
      <c r="N71" s="141">
        <f t="shared" si="4"/>
        <v>4</v>
      </c>
      <c r="O71" s="140" t="s">
        <v>1156</v>
      </c>
      <c r="P71" s="143" t="s">
        <v>1780</v>
      </c>
      <c r="R71" s="177"/>
      <c r="S71" s="233"/>
      <c r="T71" s="234"/>
      <c r="U71" s="234"/>
    </row>
    <row r="72" spans="3:21" s="144" customFormat="1" ht="19.5" customHeight="1">
      <c r="C72" s="147">
        <v>67</v>
      </c>
      <c r="D72" s="142" t="s">
        <v>1707</v>
      </c>
      <c r="E72" s="197" t="s">
        <v>1781</v>
      </c>
      <c r="F72" s="231" t="s">
        <v>3738</v>
      </c>
      <c r="G72" s="232" t="s">
        <v>1792</v>
      </c>
      <c r="H72" s="221" t="s">
        <v>1804</v>
      </c>
      <c r="I72" s="225" t="s">
        <v>1806</v>
      </c>
      <c r="J72" s="226"/>
      <c r="K72" s="218" t="s">
        <v>1163</v>
      </c>
      <c r="L72" s="189">
        <f t="shared" si="5"/>
        <v>4</v>
      </c>
      <c r="M72" s="140">
        <f t="shared" si="3"/>
        <v>1</v>
      </c>
      <c r="N72" s="141">
        <f t="shared" si="4"/>
        <v>4</v>
      </c>
      <c r="O72" s="140" t="s">
        <v>1156</v>
      </c>
      <c r="P72" s="143" t="s">
        <v>1780</v>
      </c>
      <c r="R72" s="177"/>
      <c r="S72" s="233"/>
      <c r="T72" s="234"/>
      <c r="U72" s="234"/>
    </row>
    <row r="73" spans="3:21" s="144" customFormat="1" ht="19.5" customHeight="1">
      <c r="C73" s="147">
        <v>68</v>
      </c>
      <c r="D73" s="142" t="s">
        <v>1707</v>
      </c>
      <c r="E73" s="197" t="s">
        <v>1781</v>
      </c>
      <c r="F73" s="231" t="s">
        <v>3739</v>
      </c>
      <c r="G73" s="232" t="s">
        <v>1792</v>
      </c>
      <c r="H73" s="221" t="s">
        <v>1804</v>
      </c>
      <c r="I73" s="225" t="s">
        <v>1807</v>
      </c>
      <c r="J73" s="226"/>
      <c r="K73" s="218" t="s">
        <v>1163</v>
      </c>
      <c r="L73" s="189">
        <f t="shared" si="5"/>
        <v>4</v>
      </c>
      <c r="M73" s="140">
        <f t="shared" si="3"/>
        <v>1</v>
      </c>
      <c r="N73" s="141">
        <f t="shared" si="4"/>
        <v>4</v>
      </c>
      <c r="O73" s="140" t="s">
        <v>1156</v>
      </c>
      <c r="P73" s="143" t="s">
        <v>1780</v>
      </c>
      <c r="R73" s="177"/>
      <c r="S73" s="233"/>
      <c r="T73" s="234"/>
      <c r="U73" s="234"/>
    </row>
    <row r="74" spans="3:21" s="144" customFormat="1" ht="19.5" customHeight="1">
      <c r="C74" s="147">
        <v>69</v>
      </c>
      <c r="D74" s="142" t="s">
        <v>1707</v>
      </c>
      <c r="E74" s="197" t="s">
        <v>1781</v>
      </c>
      <c r="F74" s="231" t="s">
        <v>3740</v>
      </c>
      <c r="G74" s="232" t="s">
        <v>1792</v>
      </c>
      <c r="H74" s="221" t="s">
        <v>1804</v>
      </c>
      <c r="I74" s="225" t="s">
        <v>1808</v>
      </c>
      <c r="J74" s="226"/>
      <c r="K74" s="218" t="s">
        <v>1163</v>
      </c>
      <c r="L74" s="189">
        <f t="shared" si="5"/>
        <v>4</v>
      </c>
      <c r="M74" s="140">
        <f t="shared" si="3"/>
        <v>1</v>
      </c>
      <c r="N74" s="141">
        <f t="shared" si="4"/>
        <v>4</v>
      </c>
      <c r="O74" s="140" t="s">
        <v>1156</v>
      </c>
      <c r="P74" s="143" t="s">
        <v>1780</v>
      </c>
      <c r="R74" s="177"/>
      <c r="S74" s="233"/>
      <c r="T74" s="234"/>
      <c r="U74" s="234"/>
    </row>
    <row r="75" spans="3:21" s="144" customFormat="1" ht="19.5" customHeight="1">
      <c r="C75" s="147">
        <v>70</v>
      </c>
      <c r="D75" s="142" t="s">
        <v>1707</v>
      </c>
      <c r="E75" s="197" t="s">
        <v>1781</v>
      </c>
      <c r="F75" s="231" t="s">
        <v>3741</v>
      </c>
      <c r="G75" s="232" t="s">
        <v>1792</v>
      </c>
      <c r="H75" s="221" t="s">
        <v>1809</v>
      </c>
      <c r="I75" s="225" t="s">
        <v>1810</v>
      </c>
      <c r="J75" s="226"/>
      <c r="K75" s="218" t="s">
        <v>1163</v>
      </c>
      <c r="L75" s="189">
        <f t="shared" si="5"/>
        <v>4</v>
      </c>
      <c r="M75" s="140">
        <f t="shared" si="3"/>
        <v>1</v>
      </c>
      <c r="N75" s="141">
        <f t="shared" si="4"/>
        <v>4</v>
      </c>
      <c r="O75" s="140" t="s">
        <v>1156</v>
      </c>
      <c r="P75" s="143" t="s">
        <v>1780</v>
      </c>
      <c r="R75" s="177"/>
      <c r="S75" s="233"/>
      <c r="T75" s="234"/>
      <c r="U75" s="234"/>
    </row>
    <row r="76" spans="3:21" s="144" customFormat="1" ht="19.5" customHeight="1">
      <c r="C76" s="147">
        <v>71</v>
      </c>
      <c r="D76" s="142" t="s">
        <v>1707</v>
      </c>
      <c r="E76" s="197" t="s">
        <v>1781</v>
      </c>
      <c r="F76" s="231" t="s">
        <v>3742</v>
      </c>
      <c r="G76" s="232" t="s">
        <v>1792</v>
      </c>
      <c r="H76" s="221" t="s">
        <v>1809</v>
      </c>
      <c r="I76" s="225" t="s">
        <v>1811</v>
      </c>
      <c r="J76" s="226"/>
      <c r="K76" s="218" t="s">
        <v>1163</v>
      </c>
      <c r="L76" s="189">
        <f t="shared" si="5"/>
        <v>4</v>
      </c>
      <c r="M76" s="140">
        <f t="shared" si="3"/>
        <v>1</v>
      </c>
      <c r="N76" s="141">
        <f t="shared" si="4"/>
        <v>4</v>
      </c>
      <c r="O76" s="140" t="s">
        <v>1156</v>
      </c>
      <c r="P76" s="143" t="s">
        <v>1780</v>
      </c>
      <c r="R76" s="177"/>
      <c r="S76" s="233"/>
      <c r="T76" s="234"/>
      <c r="U76" s="234"/>
    </row>
    <row r="77" spans="3:21" s="144" customFormat="1" ht="19.5" customHeight="1">
      <c r="C77" s="147">
        <v>72</v>
      </c>
      <c r="D77" s="142" t="s">
        <v>1707</v>
      </c>
      <c r="E77" s="197" t="s">
        <v>1781</v>
      </c>
      <c r="F77" s="231" t="s">
        <v>3743</v>
      </c>
      <c r="G77" s="232" t="s">
        <v>1792</v>
      </c>
      <c r="H77" s="221" t="s">
        <v>1809</v>
      </c>
      <c r="I77" s="225" t="s">
        <v>1812</v>
      </c>
      <c r="J77" s="226"/>
      <c r="K77" s="218" t="s">
        <v>1163</v>
      </c>
      <c r="L77" s="189">
        <f t="shared" si="5"/>
        <v>4</v>
      </c>
      <c r="M77" s="140">
        <f t="shared" si="3"/>
        <v>1</v>
      </c>
      <c r="N77" s="141">
        <f t="shared" si="4"/>
        <v>4</v>
      </c>
      <c r="O77" s="140" t="s">
        <v>1156</v>
      </c>
      <c r="P77" s="143" t="s">
        <v>1780</v>
      </c>
      <c r="R77" s="177"/>
      <c r="S77" s="233"/>
      <c r="T77" s="234"/>
      <c r="U77" s="234"/>
    </row>
    <row r="78" spans="3:21" s="144" customFormat="1" ht="19.5" customHeight="1">
      <c r="C78" s="147">
        <v>73</v>
      </c>
      <c r="D78" s="142" t="s">
        <v>1707</v>
      </c>
      <c r="E78" s="197" t="s">
        <v>1781</v>
      </c>
      <c r="F78" s="231" t="s">
        <v>3744</v>
      </c>
      <c r="G78" s="232" t="s">
        <v>1792</v>
      </c>
      <c r="H78" s="221" t="s">
        <v>1809</v>
      </c>
      <c r="I78" s="225" t="s">
        <v>1813</v>
      </c>
      <c r="J78" s="226"/>
      <c r="K78" s="218" t="s">
        <v>1163</v>
      </c>
      <c r="L78" s="189">
        <f t="shared" si="5"/>
        <v>4</v>
      </c>
      <c r="M78" s="140">
        <f t="shared" si="3"/>
        <v>1</v>
      </c>
      <c r="N78" s="141">
        <f t="shared" si="4"/>
        <v>4</v>
      </c>
      <c r="O78" s="140" t="s">
        <v>1156</v>
      </c>
      <c r="P78" s="143" t="s">
        <v>1780</v>
      </c>
      <c r="R78" s="177"/>
      <c r="S78" s="233"/>
      <c r="T78" s="234"/>
      <c r="U78" s="234"/>
    </row>
    <row r="79" spans="3:21" s="144" customFormat="1" ht="19.5" customHeight="1">
      <c r="C79" s="147">
        <v>74</v>
      </c>
      <c r="D79" s="142" t="s">
        <v>1707</v>
      </c>
      <c r="E79" s="197" t="s">
        <v>1781</v>
      </c>
      <c r="F79" s="231" t="s">
        <v>3745</v>
      </c>
      <c r="G79" s="232" t="s">
        <v>1792</v>
      </c>
      <c r="H79" s="221" t="s">
        <v>1809</v>
      </c>
      <c r="I79" s="225" t="s">
        <v>1814</v>
      </c>
      <c r="J79" s="226"/>
      <c r="K79" s="218" t="s">
        <v>1202</v>
      </c>
      <c r="L79" s="189">
        <f t="shared" si="5"/>
        <v>7.5</v>
      </c>
      <c r="M79" s="140">
        <f t="shared" si="3"/>
        <v>1</v>
      </c>
      <c r="N79" s="141">
        <f t="shared" si="4"/>
        <v>7.5</v>
      </c>
      <c r="O79" s="140" t="s">
        <v>1156</v>
      </c>
      <c r="P79" s="143" t="s">
        <v>1780</v>
      </c>
      <c r="R79" s="177"/>
      <c r="S79" s="233"/>
      <c r="T79" s="234"/>
      <c r="U79" s="234"/>
    </row>
    <row r="80" spans="3:21" s="144" customFormat="1" ht="19.5" customHeight="1">
      <c r="C80" s="147">
        <v>75</v>
      </c>
      <c r="D80" s="142" t="s">
        <v>1707</v>
      </c>
      <c r="E80" s="197" t="s">
        <v>1781</v>
      </c>
      <c r="F80" s="231" t="s">
        <v>3746</v>
      </c>
      <c r="G80" s="232" t="s">
        <v>1792</v>
      </c>
      <c r="H80" s="221" t="s">
        <v>1809</v>
      </c>
      <c r="I80" s="225" t="s">
        <v>1815</v>
      </c>
      <c r="J80" s="226"/>
      <c r="K80" s="138" t="s">
        <v>1170</v>
      </c>
      <c r="L80" s="189">
        <f t="shared" si="5"/>
        <v>5.2</v>
      </c>
      <c r="M80" s="140">
        <f t="shared" si="3"/>
        <v>1</v>
      </c>
      <c r="N80" s="141">
        <f t="shared" si="4"/>
        <v>5.2</v>
      </c>
      <c r="O80" s="140" t="s">
        <v>1156</v>
      </c>
      <c r="P80" s="143" t="s">
        <v>1780</v>
      </c>
      <c r="R80" s="177"/>
      <c r="S80" s="233"/>
      <c r="T80" s="234"/>
      <c r="U80" s="234"/>
    </row>
    <row r="81" spans="3:21" s="144" customFormat="1" ht="19.5" customHeight="1">
      <c r="C81" s="147">
        <v>76</v>
      </c>
      <c r="D81" s="142" t="s">
        <v>1707</v>
      </c>
      <c r="E81" s="197" t="s">
        <v>1781</v>
      </c>
      <c r="F81" s="231" t="s">
        <v>3747</v>
      </c>
      <c r="G81" s="232" t="s">
        <v>1792</v>
      </c>
      <c r="H81" s="221" t="s">
        <v>1809</v>
      </c>
      <c r="I81" s="225" t="s">
        <v>1816</v>
      </c>
      <c r="J81" s="226"/>
      <c r="K81" s="138" t="s">
        <v>1170</v>
      </c>
      <c r="L81" s="189">
        <f t="shared" si="5"/>
        <v>5.2</v>
      </c>
      <c r="M81" s="140">
        <f t="shared" si="3"/>
        <v>1</v>
      </c>
      <c r="N81" s="141">
        <f t="shared" si="4"/>
        <v>5.2</v>
      </c>
      <c r="O81" s="140" t="s">
        <v>1156</v>
      </c>
      <c r="P81" s="143" t="s">
        <v>1780</v>
      </c>
      <c r="R81" s="177"/>
      <c r="S81" s="233"/>
      <c r="T81" s="234"/>
      <c r="U81" s="234"/>
    </row>
    <row r="82" spans="3:21" s="144" customFormat="1" ht="19.5" customHeight="1">
      <c r="C82" s="147">
        <v>77</v>
      </c>
      <c r="D82" s="142" t="s">
        <v>1707</v>
      </c>
      <c r="E82" s="197" t="s">
        <v>1781</v>
      </c>
      <c r="F82" s="231" t="s">
        <v>3748</v>
      </c>
      <c r="G82" s="232" t="s">
        <v>1792</v>
      </c>
      <c r="H82" s="221" t="s">
        <v>1809</v>
      </c>
      <c r="I82" s="225" t="s">
        <v>1817</v>
      </c>
      <c r="J82" s="226"/>
      <c r="K82" s="138" t="s">
        <v>1170</v>
      </c>
      <c r="L82" s="189">
        <f t="shared" si="5"/>
        <v>5.2</v>
      </c>
      <c r="M82" s="140">
        <f t="shared" si="3"/>
        <v>1</v>
      </c>
      <c r="N82" s="141">
        <f t="shared" si="4"/>
        <v>5.2</v>
      </c>
      <c r="O82" s="140" t="s">
        <v>1156</v>
      </c>
      <c r="P82" s="143" t="s">
        <v>1780</v>
      </c>
      <c r="R82" s="177"/>
      <c r="S82" s="233"/>
      <c r="T82" s="234"/>
      <c r="U82" s="234"/>
    </row>
    <row r="83" spans="3:21" s="144" customFormat="1" ht="19.5" customHeight="1">
      <c r="C83" s="147">
        <v>78</v>
      </c>
      <c r="D83" s="142" t="s">
        <v>1707</v>
      </c>
      <c r="E83" s="197" t="s">
        <v>1781</v>
      </c>
      <c r="F83" s="231" t="s">
        <v>3749</v>
      </c>
      <c r="G83" s="232" t="s">
        <v>1792</v>
      </c>
      <c r="H83" s="221" t="s">
        <v>1809</v>
      </c>
      <c r="I83" s="225" t="s">
        <v>1818</v>
      </c>
      <c r="J83" s="226"/>
      <c r="K83" s="138" t="s">
        <v>1170</v>
      </c>
      <c r="L83" s="189">
        <f t="shared" si="5"/>
        <v>5.2</v>
      </c>
      <c r="M83" s="140">
        <f t="shared" si="3"/>
        <v>1</v>
      </c>
      <c r="N83" s="141">
        <f t="shared" si="4"/>
        <v>5.2</v>
      </c>
      <c r="O83" s="140" t="s">
        <v>1156</v>
      </c>
      <c r="P83" s="143" t="s">
        <v>1780</v>
      </c>
      <c r="R83" s="177"/>
      <c r="S83" s="233"/>
      <c r="T83" s="234"/>
      <c r="U83" s="234"/>
    </row>
    <row r="84" spans="3:21" s="144" customFormat="1" ht="19.5" customHeight="1">
      <c r="C84" s="147">
        <v>79</v>
      </c>
      <c r="D84" s="142" t="s">
        <v>1707</v>
      </c>
      <c r="E84" s="197" t="s">
        <v>1781</v>
      </c>
      <c r="F84" s="231" t="s">
        <v>3750</v>
      </c>
      <c r="G84" s="232" t="s">
        <v>1792</v>
      </c>
      <c r="H84" s="221" t="s">
        <v>1809</v>
      </c>
      <c r="I84" s="225" t="s">
        <v>1819</v>
      </c>
      <c r="J84" s="226"/>
      <c r="K84" s="138" t="s">
        <v>1170</v>
      </c>
      <c r="L84" s="189">
        <f t="shared" si="5"/>
        <v>5.2</v>
      </c>
      <c r="M84" s="140">
        <f t="shared" si="3"/>
        <v>1</v>
      </c>
      <c r="N84" s="141">
        <f t="shared" si="4"/>
        <v>5.2</v>
      </c>
      <c r="O84" s="140" t="s">
        <v>1156</v>
      </c>
      <c r="P84" s="143" t="s">
        <v>1780</v>
      </c>
      <c r="R84" s="177"/>
      <c r="S84" s="233"/>
      <c r="T84" s="234"/>
      <c r="U84" s="234"/>
    </row>
    <row r="85" spans="3:21" s="144" customFormat="1" ht="19.5" customHeight="1">
      <c r="C85" s="147">
        <v>80</v>
      </c>
      <c r="D85" s="142" t="s">
        <v>1707</v>
      </c>
      <c r="E85" s="197" t="s">
        <v>1781</v>
      </c>
      <c r="F85" s="231" t="s">
        <v>3751</v>
      </c>
      <c r="G85" s="232" t="s">
        <v>1792</v>
      </c>
      <c r="H85" s="221" t="s">
        <v>1809</v>
      </c>
      <c r="I85" s="225" t="s">
        <v>1820</v>
      </c>
      <c r="J85" s="226"/>
      <c r="K85" s="138" t="s">
        <v>1170</v>
      </c>
      <c r="L85" s="189">
        <f t="shared" si="5"/>
        <v>5.2</v>
      </c>
      <c r="M85" s="140">
        <f t="shared" si="3"/>
        <v>1</v>
      </c>
      <c r="N85" s="141">
        <f t="shared" si="4"/>
        <v>5.2</v>
      </c>
      <c r="O85" s="140" t="s">
        <v>1156</v>
      </c>
      <c r="P85" s="143" t="s">
        <v>1780</v>
      </c>
      <c r="R85" s="177"/>
      <c r="S85" s="233"/>
      <c r="T85" s="234"/>
      <c r="U85" s="234"/>
    </row>
    <row r="86" spans="3:21" s="144" customFormat="1" ht="19.5" customHeight="1">
      <c r="C86" s="147">
        <v>81</v>
      </c>
      <c r="D86" s="142" t="s">
        <v>1707</v>
      </c>
      <c r="E86" s="197" t="s">
        <v>1781</v>
      </c>
      <c r="F86" s="231" t="s">
        <v>3752</v>
      </c>
      <c r="G86" s="232" t="s">
        <v>1792</v>
      </c>
      <c r="H86" s="221" t="s">
        <v>1809</v>
      </c>
      <c r="I86" s="225" t="s">
        <v>1821</v>
      </c>
      <c r="J86" s="226"/>
      <c r="K86" s="218" t="s">
        <v>1155</v>
      </c>
      <c r="L86" s="189">
        <f t="shared" si="5"/>
        <v>7.5</v>
      </c>
      <c r="M86" s="140">
        <f t="shared" si="3"/>
        <v>1</v>
      </c>
      <c r="N86" s="141">
        <f t="shared" si="4"/>
        <v>7.5</v>
      </c>
      <c r="O86" s="140" t="s">
        <v>1156</v>
      </c>
      <c r="P86" s="143" t="s">
        <v>1780</v>
      </c>
      <c r="R86" s="177"/>
      <c r="S86" s="233"/>
      <c r="T86" s="234"/>
      <c r="U86" s="234"/>
    </row>
    <row r="87" spans="3:21" s="144" customFormat="1" ht="19.5" customHeight="1">
      <c r="C87" s="147">
        <v>82</v>
      </c>
      <c r="D87" s="142" t="s">
        <v>1707</v>
      </c>
      <c r="E87" s="197" t="s">
        <v>1781</v>
      </c>
      <c r="F87" s="231" t="s">
        <v>3753</v>
      </c>
      <c r="G87" s="232" t="s">
        <v>1792</v>
      </c>
      <c r="H87" s="221" t="s">
        <v>1809</v>
      </c>
      <c r="I87" s="225" t="s">
        <v>1822</v>
      </c>
      <c r="J87" s="226"/>
      <c r="K87" s="138" t="s">
        <v>1170</v>
      </c>
      <c r="L87" s="189">
        <f t="shared" si="5"/>
        <v>5.2</v>
      </c>
      <c r="M87" s="140">
        <f t="shared" si="3"/>
        <v>1</v>
      </c>
      <c r="N87" s="141">
        <f t="shared" si="4"/>
        <v>5.2</v>
      </c>
      <c r="O87" s="140" t="s">
        <v>1156</v>
      </c>
      <c r="P87" s="143" t="s">
        <v>1780</v>
      </c>
      <c r="R87" s="177"/>
      <c r="S87" s="233"/>
      <c r="T87" s="234"/>
      <c r="U87" s="234"/>
    </row>
    <row r="88" spans="3:21" s="144" customFormat="1" ht="19.5" customHeight="1">
      <c r="C88" s="147">
        <v>83</v>
      </c>
      <c r="D88" s="142" t="s">
        <v>1707</v>
      </c>
      <c r="E88" s="197" t="s">
        <v>1781</v>
      </c>
      <c r="F88" s="231" t="s">
        <v>3754</v>
      </c>
      <c r="G88" s="232" t="s">
        <v>1792</v>
      </c>
      <c r="H88" s="221" t="s">
        <v>1809</v>
      </c>
      <c r="I88" s="225" t="s">
        <v>1823</v>
      </c>
      <c r="J88" s="226"/>
      <c r="K88" s="138" t="s">
        <v>1170</v>
      </c>
      <c r="L88" s="189">
        <f t="shared" si="5"/>
        <v>5.2</v>
      </c>
      <c r="M88" s="140">
        <f t="shared" si="3"/>
        <v>1</v>
      </c>
      <c r="N88" s="141">
        <f t="shared" si="4"/>
        <v>5.2</v>
      </c>
      <c r="O88" s="140" t="s">
        <v>1156</v>
      </c>
      <c r="P88" s="143" t="s">
        <v>1780</v>
      </c>
      <c r="R88" s="177"/>
      <c r="S88" s="233"/>
      <c r="T88" s="234"/>
      <c r="U88" s="234"/>
    </row>
    <row r="89" spans="3:21" s="144" customFormat="1" ht="19.5" customHeight="1">
      <c r="C89" s="147">
        <v>84</v>
      </c>
      <c r="D89" s="142" t="s">
        <v>1707</v>
      </c>
      <c r="E89" s="197" t="s">
        <v>1781</v>
      </c>
      <c r="F89" s="231" t="s">
        <v>3755</v>
      </c>
      <c r="G89" s="232" t="s">
        <v>1792</v>
      </c>
      <c r="H89" s="221" t="s">
        <v>1809</v>
      </c>
      <c r="I89" s="225" t="s">
        <v>1824</v>
      </c>
      <c r="J89" s="226"/>
      <c r="K89" s="138" t="s">
        <v>1170</v>
      </c>
      <c r="L89" s="189">
        <f t="shared" si="5"/>
        <v>5.2</v>
      </c>
      <c r="M89" s="140">
        <f t="shared" si="3"/>
        <v>1</v>
      </c>
      <c r="N89" s="141">
        <f t="shared" si="4"/>
        <v>5.2</v>
      </c>
      <c r="O89" s="140" t="s">
        <v>1156</v>
      </c>
      <c r="P89" s="143" t="s">
        <v>1780</v>
      </c>
      <c r="R89" s="177"/>
      <c r="S89" s="233"/>
      <c r="T89" s="234"/>
      <c r="U89" s="234"/>
    </row>
    <row r="90" spans="3:21" s="144" customFormat="1" ht="19.5" customHeight="1">
      <c r="C90" s="147">
        <v>85</v>
      </c>
      <c r="D90" s="142" t="s">
        <v>1707</v>
      </c>
      <c r="E90" s="197" t="s">
        <v>1781</v>
      </c>
      <c r="F90" s="231" t="s">
        <v>3756</v>
      </c>
      <c r="G90" s="232" t="s">
        <v>1792</v>
      </c>
      <c r="H90" s="221" t="s">
        <v>1809</v>
      </c>
      <c r="I90" s="225" t="s">
        <v>1825</v>
      </c>
      <c r="J90" s="226"/>
      <c r="K90" s="218" t="s">
        <v>1741</v>
      </c>
      <c r="L90" s="189">
        <f t="shared" si="5"/>
        <v>5.4</v>
      </c>
      <c r="M90" s="140">
        <f t="shared" si="3"/>
        <v>1</v>
      </c>
      <c r="N90" s="141">
        <f t="shared" si="4"/>
        <v>5.4</v>
      </c>
      <c r="O90" s="140" t="s">
        <v>1156</v>
      </c>
      <c r="P90" s="143" t="s">
        <v>1780</v>
      </c>
      <c r="R90" s="177"/>
      <c r="S90" s="233"/>
      <c r="T90" s="234"/>
      <c r="U90" s="234"/>
    </row>
    <row r="91" spans="3:21" s="144" customFormat="1" ht="19.5" customHeight="1">
      <c r="C91" s="147">
        <v>86</v>
      </c>
      <c r="D91" s="142" t="s">
        <v>1707</v>
      </c>
      <c r="E91" s="197" t="s">
        <v>1781</v>
      </c>
      <c r="F91" s="231" t="s">
        <v>3757</v>
      </c>
      <c r="G91" s="232" t="s">
        <v>1792</v>
      </c>
      <c r="H91" s="221" t="s">
        <v>1809</v>
      </c>
      <c r="I91" s="225" t="s">
        <v>1826</v>
      </c>
      <c r="J91" s="226"/>
      <c r="K91" s="218" t="s">
        <v>1163</v>
      </c>
      <c r="L91" s="189">
        <f t="shared" si="5"/>
        <v>4</v>
      </c>
      <c r="M91" s="140">
        <f t="shared" si="3"/>
        <v>1</v>
      </c>
      <c r="N91" s="141">
        <f t="shared" si="4"/>
        <v>4</v>
      </c>
      <c r="O91" s="140" t="s">
        <v>1156</v>
      </c>
      <c r="P91" s="143" t="s">
        <v>1780</v>
      </c>
      <c r="R91" s="177"/>
      <c r="S91" s="233"/>
      <c r="T91" s="234"/>
      <c r="U91" s="234"/>
    </row>
    <row r="92" spans="3:21" s="144" customFormat="1" ht="19.5" customHeight="1">
      <c r="C92" s="147">
        <v>87</v>
      </c>
      <c r="D92" s="142" t="s">
        <v>1707</v>
      </c>
      <c r="E92" s="197" t="s">
        <v>1781</v>
      </c>
      <c r="F92" s="231" t="s">
        <v>3758</v>
      </c>
      <c r="G92" s="232" t="s">
        <v>1792</v>
      </c>
      <c r="H92" s="221" t="s">
        <v>1809</v>
      </c>
      <c r="I92" s="225" t="s">
        <v>1827</v>
      </c>
      <c r="J92" s="226"/>
      <c r="K92" s="218" t="s">
        <v>1163</v>
      </c>
      <c r="L92" s="189">
        <f t="shared" si="5"/>
        <v>4</v>
      </c>
      <c r="M92" s="140">
        <f t="shared" si="3"/>
        <v>1</v>
      </c>
      <c r="N92" s="141">
        <f t="shared" si="4"/>
        <v>4</v>
      </c>
      <c r="O92" s="140" t="s">
        <v>1156</v>
      </c>
      <c r="P92" s="143" t="s">
        <v>1780</v>
      </c>
      <c r="R92" s="177"/>
      <c r="S92" s="233"/>
      <c r="T92" s="234"/>
      <c r="U92" s="234"/>
    </row>
    <row r="93" spans="3:21" s="144" customFormat="1" ht="19.5" customHeight="1">
      <c r="C93" s="147">
        <v>88</v>
      </c>
      <c r="D93" s="142" t="s">
        <v>1707</v>
      </c>
      <c r="E93" s="197" t="s">
        <v>1781</v>
      </c>
      <c r="F93" s="231" t="s">
        <v>3759</v>
      </c>
      <c r="G93" s="232" t="s">
        <v>1792</v>
      </c>
      <c r="H93" s="221" t="s">
        <v>1809</v>
      </c>
      <c r="I93" s="225" t="s">
        <v>1828</v>
      </c>
      <c r="J93" s="226"/>
      <c r="K93" s="218" t="s">
        <v>1155</v>
      </c>
      <c r="L93" s="189">
        <f t="shared" si="5"/>
        <v>7.5</v>
      </c>
      <c r="M93" s="140">
        <f t="shared" si="3"/>
        <v>1</v>
      </c>
      <c r="N93" s="141">
        <f t="shared" si="4"/>
        <v>7.5</v>
      </c>
      <c r="O93" s="140" t="s">
        <v>1156</v>
      </c>
      <c r="P93" s="143" t="s">
        <v>1780</v>
      </c>
      <c r="R93" s="177"/>
      <c r="S93" s="233"/>
      <c r="T93" s="234"/>
      <c r="U93" s="234"/>
    </row>
    <row r="94" spans="3:21" s="144" customFormat="1" ht="19.5" customHeight="1">
      <c r="C94" s="147">
        <v>89</v>
      </c>
      <c r="D94" s="142" t="s">
        <v>1707</v>
      </c>
      <c r="E94" s="197" t="s">
        <v>1781</v>
      </c>
      <c r="F94" s="231" t="s">
        <v>3760</v>
      </c>
      <c r="G94" s="232" t="s">
        <v>1792</v>
      </c>
      <c r="H94" s="221" t="s">
        <v>1829</v>
      </c>
      <c r="I94" s="225" t="s">
        <v>1830</v>
      </c>
      <c r="J94" s="217"/>
      <c r="K94" s="138" t="s">
        <v>1170</v>
      </c>
      <c r="L94" s="189">
        <f t="shared" si="5"/>
        <v>5.2</v>
      </c>
      <c r="M94" s="140">
        <f t="shared" si="3"/>
        <v>1</v>
      </c>
      <c r="N94" s="141">
        <f t="shared" si="4"/>
        <v>5.2</v>
      </c>
      <c r="O94" s="140" t="s">
        <v>1156</v>
      </c>
      <c r="P94" s="143" t="s">
        <v>1780</v>
      </c>
      <c r="R94" s="177"/>
      <c r="S94" s="233"/>
      <c r="T94" s="234"/>
      <c r="U94" s="234"/>
    </row>
    <row r="95" spans="3:21" s="144" customFormat="1" ht="19.5" customHeight="1">
      <c r="C95" s="147">
        <v>90</v>
      </c>
      <c r="D95" s="142" t="s">
        <v>1707</v>
      </c>
      <c r="E95" s="197" t="s">
        <v>1781</v>
      </c>
      <c r="F95" s="231" t="s">
        <v>3761</v>
      </c>
      <c r="G95" s="232" t="s">
        <v>1792</v>
      </c>
      <c r="H95" s="221" t="s">
        <v>1829</v>
      </c>
      <c r="I95" s="225" t="s">
        <v>1831</v>
      </c>
      <c r="J95" s="226"/>
      <c r="K95" s="138" t="s">
        <v>1170</v>
      </c>
      <c r="L95" s="189">
        <f t="shared" si="5"/>
        <v>5.2</v>
      </c>
      <c r="M95" s="140">
        <f t="shared" si="3"/>
        <v>1</v>
      </c>
      <c r="N95" s="141">
        <f t="shared" si="4"/>
        <v>5.2</v>
      </c>
      <c r="O95" s="140" t="s">
        <v>1156</v>
      </c>
      <c r="P95" s="143" t="s">
        <v>1780</v>
      </c>
      <c r="R95" s="177"/>
      <c r="S95" s="233"/>
      <c r="T95" s="234"/>
      <c r="U95" s="234"/>
    </row>
    <row r="96" spans="3:21" s="144" customFormat="1" ht="19.5" customHeight="1">
      <c r="C96" s="147">
        <v>91</v>
      </c>
      <c r="D96" s="142" t="s">
        <v>1707</v>
      </c>
      <c r="E96" s="197" t="s">
        <v>1781</v>
      </c>
      <c r="F96" s="231" t="s">
        <v>3762</v>
      </c>
      <c r="G96" s="232" t="s">
        <v>1792</v>
      </c>
      <c r="H96" s="221" t="s">
        <v>1829</v>
      </c>
      <c r="I96" s="225" t="s">
        <v>1832</v>
      </c>
      <c r="J96" s="226"/>
      <c r="K96" s="138" t="s">
        <v>1170</v>
      </c>
      <c r="L96" s="189">
        <f t="shared" si="5"/>
        <v>5.2</v>
      </c>
      <c r="M96" s="140">
        <f t="shared" si="3"/>
        <v>1</v>
      </c>
      <c r="N96" s="141">
        <f t="shared" si="4"/>
        <v>5.2</v>
      </c>
      <c r="O96" s="140" t="s">
        <v>1156</v>
      </c>
      <c r="P96" s="143" t="s">
        <v>1780</v>
      </c>
      <c r="R96" s="177"/>
      <c r="S96" s="233"/>
      <c r="T96" s="234"/>
      <c r="U96" s="234"/>
    </row>
    <row r="97" spans="3:21" s="144" customFormat="1" ht="19.5" customHeight="1">
      <c r="C97" s="147">
        <v>92</v>
      </c>
      <c r="D97" s="142" t="s">
        <v>1707</v>
      </c>
      <c r="E97" s="197" t="s">
        <v>1781</v>
      </c>
      <c r="F97" s="231" t="s">
        <v>3763</v>
      </c>
      <c r="G97" s="232" t="s">
        <v>1792</v>
      </c>
      <c r="H97" s="221" t="s">
        <v>1829</v>
      </c>
      <c r="I97" s="225" t="s">
        <v>1833</v>
      </c>
      <c r="J97" s="226"/>
      <c r="K97" s="138" t="s">
        <v>1170</v>
      </c>
      <c r="L97" s="189">
        <f t="shared" si="5"/>
        <v>5.2</v>
      </c>
      <c r="M97" s="140">
        <f t="shared" si="3"/>
        <v>1</v>
      </c>
      <c r="N97" s="141">
        <f t="shared" si="4"/>
        <v>5.2</v>
      </c>
      <c r="O97" s="140" t="s">
        <v>1156</v>
      </c>
      <c r="P97" s="143" t="s">
        <v>1780</v>
      </c>
      <c r="R97" s="177"/>
      <c r="S97" s="233"/>
      <c r="T97" s="234"/>
      <c r="U97" s="234"/>
    </row>
    <row r="98" spans="3:21" s="144" customFormat="1" ht="19.5" customHeight="1">
      <c r="C98" s="147">
        <v>93</v>
      </c>
      <c r="D98" s="142" t="s">
        <v>1707</v>
      </c>
      <c r="E98" s="197" t="s">
        <v>1781</v>
      </c>
      <c r="F98" s="231" t="s">
        <v>3764</v>
      </c>
      <c r="G98" s="232" t="s">
        <v>1792</v>
      </c>
      <c r="H98" s="221" t="s">
        <v>1834</v>
      </c>
      <c r="I98" s="225" t="s">
        <v>1835</v>
      </c>
      <c r="J98" s="226"/>
      <c r="K98" s="138" t="s">
        <v>1170</v>
      </c>
      <c r="L98" s="189">
        <f t="shared" si="5"/>
        <v>5.2</v>
      </c>
      <c r="M98" s="140">
        <f t="shared" si="3"/>
        <v>1</v>
      </c>
      <c r="N98" s="141">
        <f t="shared" si="4"/>
        <v>5.2</v>
      </c>
      <c r="O98" s="140" t="s">
        <v>1156</v>
      </c>
      <c r="P98" s="143" t="s">
        <v>1780</v>
      </c>
      <c r="R98" s="177"/>
      <c r="S98" s="233"/>
      <c r="T98" s="234"/>
      <c r="U98" s="234"/>
    </row>
    <row r="99" spans="3:21" s="144" customFormat="1" ht="19.5" customHeight="1">
      <c r="C99" s="147">
        <v>94</v>
      </c>
      <c r="D99" s="142" t="s">
        <v>1707</v>
      </c>
      <c r="E99" s="197" t="s">
        <v>1781</v>
      </c>
      <c r="F99" s="231" t="s">
        <v>3765</v>
      </c>
      <c r="G99" s="232" t="s">
        <v>1792</v>
      </c>
      <c r="H99" s="221" t="s">
        <v>1834</v>
      </c>
      <c r="I99" s="225" t="s">
        <v>1836</v>
      </c>
      <c r="J99" s="226"/>
      <c r="K99" s="218" t="s">
        <v>1741</v>
      </c>
      <c r="L99" s="189">
        <f t="shared" si="5"/>
        <v>5.4</v>
      </c>
      <c r="M99" s="140">
        <f t="shared" si="3"/>
        <v>1</v>
      </c>
      <c r="N99" s="141">
        <f t="shared" si="4"/>
        <v>5.4</v>
      </c>
      <c r="O99" s="140" t="s">
        <v>1156</v>
      </c>
      <c r="P99" s="143" t="s">
        <v>1780</v>
      </c>
      <c r="R99" s="177"/>
      <c r="S99" s="233"/>
      <c r="T99" s="234"/>
      <c r="U99" s="234"/>
    </row>
    <row r="100" spans="3:21" s="144" customFormat="1" ht="19.5" customHeight="1">
      <c r="C100" s="147">
        <v>95</v>
      </c>
      <c r="D100" s="142" t="s">
        <v>1707</v>
      </c>
      <c r="E100" s="197" t="s">
        <v>1781</v>
      </c>
      <c r="F100" s="231" t="s">
        <v>3766</v>
      </c>
      <c r="G100" s="232" t="s">
        <v>1792</v>
      </c>
      <c r="H100" s="221" t="s">
        <v>1834</v>
      </c>
      <c r="I100" s="225" t="s">
        <v>1837</v>
      </c>
      <c r="J100" s="226"/>
      <c r="K100" s="218" t="s">
        <v>1741</v>
      </c>
      <c r="L100" s="189">
        <f t="shared" si="5"/>
        <v>5.4</v>
      </c>
      <c r="M100" s="140">
        <f t="shared" si="3"/>
        <v>1</v>
      </c>
      <c r="N100" s="141">
        <f t="shared" si="4"/>
        <v>5.4</v>
      </c>
      <c r="O100" s="140" t="s">
        <v>1156</v>
      </c>
      <c r="P100" s="143" t="s">
        <v>1780</v>
      </c>
      <c r="R100" s="177"/>
      <c r="S100" s="233"/>
      <c r="T100" s="234"/>
      <c r="U100" s="234"/>
    </row>
    <row r="101" spans="3:21" s="144" customFormat="1" ht="19.5" customHeight="1">
      <c r="C101" s="147">
        <v>96</v>
      </c>
      <c r="D101" s="142" t="s">
        <v>1707</v>
      </c>
      <c r="E101" s="197" t="s">
        <v>1781</v>
      </c>
      <c r="F101" s="231" t="s">
        <v>3767</v>
      </c>
      <c r="G101" s="232" t="s">
        <v>1792</v>
      </c>
      <c r="H101" s="221" t="s">
        <v>1834</v>
      </c>
      <c r="I101" s="225" t="s">
        <v>1838</v>
      </c>
      <c r="J101" s="226"/>
      <c r="K101" s="218" t="s">
        <v>1741</v>
      </c>
      <c r="L101" s="189">
        <f t="shared" si="5"/>
        <v>5.4</v>
      </c>
      <c r="M101" s="140">
        <f t="shared" si="3"/>
        <v>1</v>
      </c>
      <c r="N101" s="141">
        <f t="shared" si="4"/>
        <v>5.4</v>
      </c>
      <c r="O101" s="140" t="s">
        <v>1156</v>
      </c>
      <c r="P101" s="143" t="s">
        <v>1780</v>
      </c>
      <c r="R101" s="177"/>
      <c r="S101" s="233"/>
      <c r="T101" s="234"/>
      <c r="U101" s="234"/>
    </row>
    <row r="102" spans="3:21" s="144" customFormat="1" ht="19.5" customHeight="1">
      <c r="C102" s="147">
        <v>97</v>
      </c>
      <c r="D102" s="142" t="s">
        <v>1707</v>
      </c>
      <c r="E102" s="197" t="s">
        <v>1781</v>
      </c>
      <c r="F102" s="231" t="s">
        <v>3768</v>
      </c>
      <c r="G102" s="232" t="s">
        <v>1792</v>
      </c>
      <c r="H102" s="221" t="s">
        <v>1834</v>
      </c>
      <c r="I102" s="225" t="s">
        <v>1839</v>
      </c>
      <c r="J102" s="226"/>
      <c r="K102" s="138" t="s">
        <v>1170</v>
      </c>
      <c r="L102" s="189">
        <f t="shared" si="5"/>
        <v>5.2</v>
      </c>
      <c r="M102" s="140">
        <f t="shared" si="3"/>
        <v>1</v>
      </c>
      <c r="N102" s="141">
        <f t="shared" si="4"/>
        <v>5.2</v>
      </c>
      <c r="O102" s="140" t="s">
        <v>1156</v>
      </c>
      <c r="P102" s="143" t="s">
        <v>1780</v>
      </c>
      <c r="R102" s="177"/>
      <c r="S102" s="233"/>
      <c r="T102" s="234"/>
      <c r="U102" s="234"/>
    </row>
    <row r="103" spans="3:21" s="144" customFormat="1" ht="19.5" customHeight="1">
      <c r="C103" s="147">
        <v>98</v>
      </c>
      <c r="D103" s="142" t="s">
        <v>1707</v>
      </c>
      <c r="E103" s="197" t="s">
        <v>1781</v>
      </c>
      <c r="F103" s="231" t="s">
        <v>3769</v>
      </c>
      <c r="G103" s="232" t="s">
        <v>1792</v>
      </c>
      <c r="H103" s="221" t="s">
        <v>1834</v>
      </c>
      <c r="I103" s="225" t="s">
        <v>1840</v>
      </c>
      <c r="J103" s="226"/>
      <c r="K103" s="138" t="s">
        <v>1170</v>
      </c>
      <c r="L103" s="189">
        <f t="shared" si="5"/>
        <v>5.2</v>
      </c>
      <c r="M103" s="140">
        <f t="shared" si="3"/>
        <v>1</v>
      </c>
      <c r="N103" s="141">
        <f t="shared" si="4"/>
        <v>5.2</v>
      </c>
      <c r="O103" s="140" t="s">
        <v>1156</v>
      </c>
      <c r="P103" s="143" t="s">
        <v>1780</v>
      </c>
      <c r="R103" s="177"/>
      <c r="S103" s="233"/>
      <c r="T103" s="234"/>
      <c r="U103" s="234"/>
    </row>
    <row r="104" spans="3:21" s="144" customFormat="1" ht="19.5" customHeight="1">
      <c r="C104" s="147">
        <v>99</v>
      </c>
      <c r="D104" s="142" t="s">
        <v>1707</v>
      </c>
      <c r="E104" s="197" t="s">
        <v>1781</v>
      </c>
      <c r="F104" s="231" t="s">
        <v>3770</v>
      </c>
      <c r="G104" s="232" t="s">
        <v>1792</v>
      </c>
      <c r="H104" s="221" t="s">
        <v>1841</v>
      </c>
      <c r="I104" s="225" t="s">
        <v>1842</v>
      </c>
      <c r="J104" s="226"/>
      <c r="K104" s="138" t="s">
        <v>1170</v>
      </c>
      <c r="L104" s="189">
        <f t="shared" si="5"/>
        <v>5.2</v>
      </c>
      <c r="M104" s="140">
        <f t="shared" si="3"/>
        <v>1</v>
      </c>
      <c r="N104" s="141">
        <f t="shared" si="4"/>
        <v>5.2</v>
      </c>
      <c r="O104" s="140" t="s">
        <v>1156</v>
      </c>
      <c r="P104" s="143" t="s">
        <v>1780</v>
      </c>
      <c r="R104" s="177"/>
      <c r="S104" s="233"/>
      <c r="T104" s="234"/>
      <c r="U104" s="234"/>
    </row>
    <row r="105" spans="3:21" s="144" customFormat="1" ht="19.5" customHeight="1">
      <c r="C105" s="147">
        <v>100</v>
      </c>
      <c r="D105" s="142" t="s">
        <v>1707</v>
      </c>
      <c r="E105" s="197" t="s">
        <v>1781</v>
      </c>
      <c r="F105" s="231" t="s">
        <v>3771</v>
      </c>
      <c r="G105" s="232" t="s">
        <v>1792</v>
      </c>
      <c r="H105" s="221" t="s">
        <v>1841</v>
      </c>
      <c r="I105" s="225" t="s">
        <v>1843</v>
      </c>
      <c r="J105" s="226"/>
      <c r="K105" s="138" t="s">
        <v>1170</v>
      </c>
      <c r="L105" s="189">
        <f t="shared" si="5"/>
        <v>5.2</v>
      </c>
      <c r="M105" s="140">
        <f t="shared" si="3"/>
        <v>1</v>
      </c>
      <c r="N105" s="141">
        <f t="shared" si="4"/>
        <v>5.2</v>
      </c>
      <c r="O105" s="140" t="s">
        <v>1156</v>
      </c>
      <c r="P105" s="143" t="s">
        <v>1780</v>
      </c>
      <c r="R105" s="177"/>
      <c r="S105" s="233"/>
      <c r="T105" s="234"/>
      <c r="U105" s="234"/>
    </row>
    <row r="106" spans="3:21" s="144" customFormat="1" ht="19.5" customHeight="1">
      <c r="C106" s="147">
        <v>101</v>
      </c>
      <c r="D106" s="142" t="s">
        <v>1707</v>
      </c>
      <c r="E106" s="197" t="s">
        <v>1781</v>
      </c>
      <c r="F106" s="231" t="s">
        <v>3772</v>
      </c>
      <c r="G106" s="232" t="s">
        <v>1792</v>
      </c>
      <c r="H106" s="221" t="s">
        <v>1841</v>
      </c>
      <c r="I106" s="225" t="s">
        <v>1844</v>
      </c>
      <c r="J106" s="226"/>
      <c r="K106" s="218" t="s">
        <v>1155</v>
      </c>
      <c r="L106" s="189">
        <f t="shared" si="5"/>
        <v>7.5</v>
      </c>
      <c r="M106" s="140">
        <f t="shared" si="3"/>
        <v>1</v>
      </c>
      <c r="N106" s="141">
        <f t="shared" si="4"/>
        <v>7.5</v>
      </c>
      <c r="O106" s="140" t="s">
        <v>1156</v>
      </c>
      <c r="P106" s="143" t="s">
        <v>1780</v>
      </c>
      <c r="R106" s="177"/>
      <c r="S106" s="233"/>
      <c r="T106" s="234"/>
      <c r="U106" s="234"/>
    </row>
    <row r="107" spans="3:21" s="144" customFormat="1" ht="19.5" customHeight="1">
      <c r="C107" s="147">
        <v>102</v>
      </c>
      <c r="D107" s="142" t="s">
        <v>1707</v>
      </c>
      <c r="E107" s="197" t="s">
        <v>1781</v>
      </c>
      <c r="F107" s="231" t="s">
        <v>3773</v>
      </c>
      <c r="G107" s="232" t="s">
        <v>1792</v>
      </c>
      <c r="H107" s="221" t="s">
        <v>1841</v>
      </c>
      <c r="I107" s="225" t="s">
        <v>1845</v>
      </c>
      <c r="J107" s="217"/>
      <c r="K107" s="138" t="s">
        <v>1170</v>
      </c>
      <c r="L107" s="189">
        <f t="shared" si="5"/>
        <v>5.2</v>
      </c>
      <c r="M107" s="140">
        <f t="shared" si="3"/>
        <v>1</v>
      </c>
      <c r="N107" s="141">
        <f t="shared" si="4"/>
        <v>5.2</v>
      </c>
      <c r="O107" s="140" t="s">
        <v>1156</v>
      </c>
      <c r="P107" s="143" t="s">
        <v>1780</v>
      </c>
      <c r="R107" s="177"/>
      <c r="S107" s="233"/>
      <c r="T107" s="234"/>
      <c r="U107" s="234"/>
    </row>
    <row r="108" spans="3:21" s="144" customFormat="1" ht="19.5" customHeight="1">
      <c r="C108" s="147">
        <v>103</v>
      </c>
      <c r="D108" s="142" t="s">
        <v>1707</v>
      </c>
      <c r="E108" s="197" t="s">
        <v>1781</v>
      </c>
      <c r="F108" s="231" t="s">
        <v>3774</v>
      </c>
      <c r="G108" s="232" t="s">
        <v>1792</v>
      </c>
      <c r="H108" s="221" t="s">
        <v>1846</v>
      </c>
      <c r="I108" s="225" t="s">
        <v>1847</v>
      </c>
      <c r="J108" s="217"/>
      <c r="K108" s="138" t="s">
        <v>1170</v>
      </c>
      <c r="L108" s="189">
        <f t="shared" si="5"/>
        <v>5.2</v>
      </c>
      <c r="M108" s="140">
        <f t="shared" si="3"/>
        <v>1</v>
      </c>
      <c r="N108" s="141">
        <f t="shared" si="4"/>
        <v>5.2</v>
      </c>
      <c r="O108" s="140" t="s">
        <v>1156</v>
      </c>
      <c r="P108" s="143" t="s">
        <v>1780</v>
      </c>
      <c r="R108" s="177"/>
      <c r="S108" s="233"/>
      <c r="T108" s="234"/>
      <c r="U108" s="234"/>
    </row>
    <row r="109" spans="3:21" s="144" customFormat="1" ht="19.5" customHeight="1">
      <c r="C109" s="147">
        <v>104</v>
      </c>
      <c r="D109" s="142" t="s">
        <v>1707</v>
      </c>
      <c r="E109" s="197" t="s">
        <v>1781</v>
      </c>
      <c r="F109" s="231" t="s">
        <v>3775</v>
      </c>
      <c r="G109" s="232" t="s">
        <v>1792</v>
      </c>
      <c r="H109" s="221" t="s">
        <v>1846</v>
      </c>
      <c r="I109" s="225" t="s">
        <v>1848</v>
      </c>
      <c r="J109" s="226"/>
      <c r="K109" s="138" t="s">
        <v>1170</v>
      </c>
      <c r="L109" s="189">
        <f t="shared" si="5"/>
        <v>5.2</v>
      </c>
      <c r="M109" s="140">
        <f t="shared" si="3"/>
        <v>1</v>
      </c>
      <c r="N109" s="141">
        <f t="shared" si="4"/>
        <v>5.2</v>
      </c>
      <c r="O109" s="140" t="s">
        <v>1156</v>
      </c>
      <c r="P109" s="143" t="s">
        <v>1780</v>
      </c>
      <c r="R109" s="177"/>
      <c r="S109" s="233"/>
      <c r="T109" s="234"/>
      <c r="U109" s="234"/>
    </row>
    <row r="110" spans="3:21" s="144" customFormat="1" ht="19.5" customHeight="1">
      <c r="C110" s="147">
        <v>105</v>
      </c>
      <c r="D110" s="142" t="s">
        <v>1707</v>
      </c>
      <c r="E110" s="197" t="s">
        <v>1781</v>
      </c>
      <c r="F110" s="231" t="s">
        <v>3776</v>
      </c>
      <c r="G110" s="232" t="s">
        <v>1792</v>
      </c>
      <c r="H110" s="221" t="s">
        <v>1846</v>
      </c>
      <c r="I110" s="225" t="s">
        <v>1849</v>
      </c>
      <c r="J110" s="226"/>
      <c r="K110" s="218" t="s">
        <v>1160</v>
      </c>
      <c r="L110" s="189">
        <f t="shared" si="5"/>
        <v>3.9</v>
      </c>
      <c r="M110" s="140">
        <f t="shared" si="3"/>
        <v>1</v>
      </c>
      <c r="N110" s="141">
        <f t="shared" si="4"/>
        <v>3.9</v>
      </c>
      <c r="O110" s="140" t="s">
        <v>1156</v>
      </c>
      <c r="P110" s="143" t="s">
        <v>1780</v>
      </c>
      <c r="R110" s="177"/>
      <c r="S110" s="233"/>
      <c r="T110" s="234"/>
      <c r="U110" s="234"/>
    </row>
    <row r="111" spans="3:21" s="144" customFormat="1" ht="19.5" customHeight="1">
      <c r="C111" s="147">
        <v>106</v>
      </c>
      <c r="D111" s="142" t="s">
        <v>1707</v>
      </c>
      <c r="E111" s="197" t="s">
        <v>1781</v>
      </c>
      <c r="F111" s="231" t="s">
        <v>3777</v>
      </c>
      <c r="G111" s="232" t="s">
        <v>1792</v>
      </c>
      <c r="H111" s="221" t="s">
        <v>1846</v>
      </c>
      <c r="I111" s="225" t="s">
        <v>1850</v>
      </c>
      <c r="J111" s="217"/>
      <c r="K111" s="138" t="s">
        <v>1170</v>
      </c>
      <c r="L111" s="189">
        <f t="shared" si="5"/>
        <v>5.2</v>
      </c>
      <c r="M111" s="140">
        <f t="shared" si="3"/>
        <v>1</v>
      </c>
      <c r="N111" s="141">
        <f t="shared" si="4"/>
        <v>5.2</v>
      </c>
      <c r="O111" s="140" t="s">
        <v>1156</v>
      </c>
      <c r="P111" s="143" t="s">
        <v>1780</v>
      </c>
      <c r="R111" s="177"/>
      <c r="S111" s="233"/>
      <c r="T111" s="234"/>
      <c r="U111" s="234"/>
    </row>
    <row r="112" spans="3:21" s="144" customFormat="1" ht="19.5" customHeight="1">
      <c r="C112" s="147">
        <v>107</v>
      </c>
      <c r="D112" s="142" t="s">
        <v>1707</v>
      </c>
      <c r="E112" s="197" t="s">
        <v>1781</v>
      </c>
      <c r="F112" s="231" t="s">
        <v>3778</v>
      </c>
      <c r="G112" s="232" t="s">
        <v>1792</v>
      </c>
      <c r="H112" s="221" t="s">
        <v>1846</v>
      </c>
      <c r="I112" s="225" t="s">
        <v>1851</v>
      </c>
      <c r="J112" s="217"/>
      <c r="K112" s="138" t="s">
        <v>1170</v>
      </c>
      <c r="L112" s="189">
        <f t="shared" si="5"/>
        <v>5.2</v>
      </c>
      <c r="M112" s="140">
        <f t="shared" si="3"/>
        <v>1</v>
      </c>
      <c r="N112" s="141">
        <f t="shared" si="4"/>
        <v>5.2</v>
      </c>
      <c r="O112" s="140" t="s">
        <v>1156</v>
      </c>
      <c r="P112" s="143" t="s">
        <v>1780</v>
      </c>
      <c r="R112" s="177"/>
      <c r="S112" s="233"/>
      <c r="T112" s="234"/>
      <c r="U112" s="234"/>
    </row>
    <row r="113" spans="3:21" s="144" customFormat="1" ht="19.5" customHeight="1">
      <c r="C113" s="147">
        <v>108</v>
      </c>
      <c r="D113" s="142" t="s">
        <v>1707</v>
      </c>
      <c r="E113" s="197" t="s">
        <v>1781</v>
      </c>
      <c r="F113" s="231" t="s">
        <v>3779</v>
      </c>
      <c r="G113" s="232" t="s">
        <v>1792</v>
      </c>
      <c r="H113" s="221" t="s">
        <v>1852</v>
      </c>
      <c r="I113" s="225" t="s">
        <v>1853</v>
      </c>
      <c r="J113" s="226"/>
      <c r="K113" s="218" t="s">
        <v>1741</v>
      </c>
      <c r="L113" s="189">
        <f t="shared" si="5"/>
        <v>5.4</v>
      </c>
      <c r="M113" s="140">
        <f t="shared" si="3"/>
        <v>1</v>
      </c>
      <c r="N113" s="141">
        <f t="shared" si="4"/>
        <v>5.4</v>
      </c>
      <c r="O113" s="140" t="s">
        <v>1156</v>
      </c>
      <c r="P113" s="143" t="s">
        <v>1780</v>
      </c>
      <c r="R113" s="177"/>
      <c r="S113" s="233"/>
      <c r="T113" s="234"/>
      <c r="U113" s="234"/>
    </row>
    <row r="114" spans="3:21" s="144" customFormat="1" ht="19.5" customHeight="1">
      <c r="C114" s="147">
        <v>109</v>
      </c>
      <c r="D114" s="142" t="s">
        <v>1707</v>
      </c>
      <c r="E114" s="197" t="s">
        <v>1781</v>
      </c>
      <c r="F114" s="231" t="s">
        <v>3780</v>
      </c>
      <c r="G114" s="232" t="s">
        <v>1792</v>
      </c>
      <c r="H114" s="221" t="s">
        <v>1852</v>
      </c>
      <c r="I114" s="225" t="s">
        <v>1854</v>
      </c>
      <c r="J114" s="226"/>
      <c r="K114" s="218" t="s">
        <v>1741</v>
      </c>
      <c r="L114" s="189">
        <f t="shared" si="5"/>
        <v>5.4</v>
      </c>
      <c r="M114" s="140">
        <f t="shared" si="3"/>
        <v>1</v>
      </c>
      <c r="N114" s="141">
        <f t="shared" si="4"/>
        <v>5.4</v>
      </c>
      <c r="O114" s="140" t="s">
        <v>1156</v>
      </c>
      <c r="P114" s="143" t="s">
        <v>1780</v>
      </c>
      <c r="R114" s="177"/>
      <c r="S114" s="238" t="b">
        <f>IF(O114="","",IF(O114="EI",4,IF(O114="EO",5.2,IF(O114="EQ",3.9,IF(O114="ILF",7.5,IF(O114="EIF",5.4))))))</f>
        <v>0</v>
      </c>
      <c r="T114" s="239" t="s">
        <v>1855</v>
      </c>
      <c r="U114" s="240" t="s">
        <v>1856</v>
      </c>
    </row>
    <row r="115" spans="3:21" s="144" customFormat="1" ht="19.5" customHeight="1">
      <c r="C115" s="147">
        <v>110</v>
      </c>
      <c r="D115" s="142" t="s">
        <v>1707</v>
      </c>
      <c r="E115" s="197" t="s">
        <v>1781</v>
      </c>
      <c r="F115" s="231" t="s">
        <v>3781</v>
      </c>
      <c r="G115" s="232" t="s">
        <v>1792</v>
      </c>
      <c r="H115" s="221" t="s">
        <v>1857</v>
      </c>
      <c r="I115" s="225" t="s">
        <v>1858</v>
      </c>
      <c r="J115" s="226"/>
      <c r="K115" s="218" t="s">
        <v>1741</v>
      </c>
      <c r="L115" s="189">
        <f t="shared" si="5"/>
        <v>5.4</v>
      </c>
      <c r="M115" s="140">
        <f t="shared" si="3"/>
        <v>1</v>
      </c>
      <c r="N115" s="141">
        <f t="shared" si="4"/>
        <v>5.4</v>
      </c>
      <c r="O115" s="140" t="s">
        <v>1156</v>
      </c>
      <c r="P115" s="143" t="s">
        <v>1780</v>
      </c>
      <c r="R115" s="177"/>
      <c r="S115" s="233"/>
      <c r="T115" s="234"/>
      <c r="U115" s="234"/>
    </row>
    <row r="116" spans="3:21" s="144" customFormat="1" ht="19.5" customHeight="1">
      <c r="C116" s="147">
        <v>111</v>
      </c>
      <c r="D116" s="142" t="s">
        <v>1707</v>
      </c>
      <c r="E116" s="197" t="s">
        <v>1781</v>
      </c>
      <c r="F116" s="231" t="s">
        <v>3782</v>
      </c>
      <c r="G116" s="232" t="s">
        <v>1792</v>
      </c>
      <c r="H116" s="221" t="s">
        <v>1857</v>
      </c>
      <c r="I116" s="225" t="s">
        <v>1859</v>
      </c>
      <c r="J116" s="226"/>
      <c r="K116" s="218" t="s">
        <v>1741</v>
      </c>
      <c r="L116" s="189">
        <f t="shared" si="5"/>
        <v>5.4</v>
      </c>
      <c r="M116" s="140">
        <f t="shared" si="3"/>
        <v>1</v>
      </c>
      <c r="N116" s="141">
        <f t="shared" si="4"/>
        <v>5.4</v>
      </c>
      <c r="O116" s="140" t="s">
        <v>1156</v>
      </c>
      <c r="P116" s="143" t="s">
        <v>1780</v>
      </c>
      <c r="R116" s="177"/>
      <c r="S116" s="233"/>
      <c r="T116" s="234"/>
      <c r="U116" s="234"/>
    </row>
    <row r="117" spans="3:21" s="144" customFormat="1" ht="19.5" customHeight="1">
      <c r="C117" s="147">
        <v>112</v>
      </c>
      <c r="D117" s="142" t="s">
        <v>1707</v>
      </c>
      <c r="E117" s="197" t="s">
        <v>1781</v>
      </c>
      <c r="F117" s="231" t="s">
        <v>3783</v>
      </c>
      <c r="G117" s="232" t="s">
        <v>1792</v>
      </c>
      <c r="H117" s="221" t="s">
        <v>1860</v>
      </c>
      <c r="I117" s="225" t="s">
        <v>1861</v>
      </c>
      <c r="J117" s="226"/>
      <c r="K117" s="218" t="s">
        <v>1741</v>
      </c>
      <c r="L117" s="189">
        <f t="shared" si="5"/>
        <v>5.4</v>
      </c>
      <c r="M117" s="140">
        <f t="shared" si="3"/>
        <v>1</v>
      </c>
      <c r="N117" s="141">
        <f t="shared" si="4"/>
        <v>5.4</v>
      </c>
      <c r="O117" s="140" t="s">
        <v>1156</v>
      </c>
      <c r="P117" s="143" t="s">
        <v>1780</v>
      </c>
      <c r="R117" s="177"/>
      <c r="S117" s="238" t="b">
        <f>IF(O117="","",IF(O117="EI",4,IF(O117="EO",5.2,IF(O117="EQ",3.9,IF(O117="ILF",7.5,IF(O117="EIF",5.4))))))</f>
        <v>0</v>
      </c>
      <c r="T117" s="239" t="s">
        <v>1855</v>
      </c>
      <c r="U117" s="240" t="s">
        <v>1862</v>
      </c>
    </row>
    <row r="118" spans="3:21" s="144" customFormat="1" ht="19.5" customHeight="1">
      <c r="C118" s="147">
        <v>113</v>
      </c>
      <c r="D118" s="142" t="s">
        <v>1707</v>
      </c>
      <c r="E118" s="197" t="s">
        <v>1781</v>
      </c>
      <c r="F118" s="231" t="s">
        <v>3784</v>
      </c>
      <c r="G118" s="232" t="s">
        <v>1792</v>
      </c>
      <c r="H118" s="221" t="s">
        <v>1860</v>
      </c>
      <c r="I118" s="225" t="s">
        <v>1863</v>
      </c>
      <c r="J118" s="226"/>
      <c r="K118" s="218" t="s">
        <v>1741</v>
      </c>
      <c r="L118" s="189">
        <f t="shared" si="5"/>
        <v>5.4</v>
      </c>
      <c r="M118" s="140">
        <f t="shared" si="3"/>
        <v>1</v>
      </c>
      <c r="N118" s="141">
        <f t="shared" si="4"/>
        <v>5.4</v>
      </c>
      <c r="O118" s="140" t="s">
        <v>1156</v>
      </c>
      <c r="P118" s="143" t="s">
        <v>1780</v>
      </c>
      <c r="R118" s="177"/>
      <c r="S118" s="238" t="b">
        <f>IF(O118="","",IF(O118="EI",4,IF(O118="EO",5.2,IF(O118="EQ",3.9,IF(O118="ILF",7.5,IF(O118="EIF",5.4))))))</f>
        <v>0</v>
      </c>
      <c r="T118" s="239" t="s">
        <v>1855</v>
      </c>
      <c r="U118" s="240" t="s">
        <v>1864</v>
      </c>
    </row>
    <row r="119" spans="3:21" s="144" customFormat="1" ht="19.5" customHeight="1">
      <c r="C119" s="147">
        <v>114</v>
      </c>
      <c r="D119" s="142" t="s">
        <v>1707</v>
      </c>
      <c r="E119" s="197" t="s">
        <v>1781</v>
      </c>
      <c r="F119" s="231" t="s">
        <v>3785</v>
      </c>
      <c r="G119" s="232" t="s">
        <v>1792</v>
      </c>
      <c r="H119" s="221" t="s">
        <v>1860</v>
      </c>
      <c r="I119" s="225" t="s">
        <v>1865</v>
      </c>
      <c r="J119" s="226"/>
      <c r="K119" s="218" t="s">
        <v>1741</v>
      </c>
      <c r="L119" s="189">
        <f t="shared" si="5"/>
        <v>5.4</v>
      </c>
      <c r="M119" s="140">
        <f t="shared" si="3"/>
        <v>1</v>
      </c>
      <c r="N119" s="141">
        <f t="shared" si="4"/>
        <v>5.4</v>
      </c>
      <c r="O119" s="140" t="s">
        <v>1156</v>
      </c>
      <c r="P119" s="143" t="s">
        <v>1780</v>
      </c>
      <c r="R119" s="177"/>
      <c r="S119" s="233"/>
      <c r="T119" s="234"/>
      <c r="U119" s="234"/>
    </row>
    <row r="120" spans="3:21" s="144" customFormat="1" ht="19.5" customHeight="1">
      <c r="C120" s="147">
        <v>115</v>
      </c>
      <c r="D120" s="142" t="s">
        <v>1707</v>
      </c>
      <c r="E120" s="197" t="s">
        <v>1781</v>
      </c>
      <c r="F120" s="231" t="s">
        <v>3786</v>
      </c>
      <c r="G120" s="232" t="s">
        <v>1792</v>
      </c>
      <c r="H120" s="221" t="s">
        <v>1860</v>
      </c>
      <c r="I120" s="225" t="s">
        <v>1866</v>
      </c>
      <c r="J120" s="226"/>
      <c r="K120" s="218" t="s">
        <v>1741</v>
      </c>
      <c r="L120" s="189">
        <f t="shared" si="5"/>
        <v>5.4</v>
      </c>
      <c r="M120" s="140">
        <f t="shared" si="3"/>
        <v>1</v>
      </c>
      <c r="N120" s="141">
        <f t="shared" si="4"/>
        <v>5.4</v>
      </c>
      <c r="O120" s="140" t="s">
        <v>1156</v>
      </c>
      <c r="P120" s="143" t="s">
        <v>1780</v>
      </c>
      <c r="R120" s="177"/>
      <c r="S120" s="238" t="b">
        <f>IF(O120="","",IF(O120="EI",4,IF(O120="EO",5.2,IF(O120="EQ",3.9,IF(O120="ILF",7.5,IF(O120="EIF",5.4))))))</f>
        <v>0</v>
      </c>
      <c r="T120" s="239" t="s">
        <v>1855</v>
      </c>
      <c r="U120" s="240" t="s">
        <v>1862</v>
      </c>
    </row>
    <row r="121" spans="3:21" s="144" customFormat="1" ht="19.5" customHeight="1">
      <c r="C121" s="147">
        <v>116</v>
      </c>
      <c r="D121" s="142" t="s">
        <v>1707</v>
      </c>
      <c r="E121" s="197" t="s">
        <v>1781</v>
      </c>
      <c r="F121" s="231" t="s">
        <v>3787</v>
      </c>
      <c r="G121" s="232" t="s">
        <v>1792</v>
      </c>
      <c r="H121" s="221" t="s">
        <v>1860</v>
      </c>
      <c r="I121" s="225" t="s">
        <v>1867</v>
      </c>
      <c r="J121" s="226"/>
      <c r="K121" s="218" t="s">
        <v>1741</v>
      </c>
      <c r="L121" s="189">
        <f t="shared" si="5"/>
        <v>5.4</v>
      </c>
      <c r="M121" s="140">
        <f t="shared" si="3"/>
        <v>1</v>
      </c>
      <c r="N121" s="141">
        <f t="shared" si="4"/>
        <v>5.4</v>
      </c>
      <c r="O121" s="140" t="s">
        <v>1156</v>
      </c>
      <c r="P121" s="143" t="s">
        <v>1780</v>
      </c>
      <c r="R121" s="177"/>
      <c r="S121" s="233"/>
      <c r="T121" s="234"/>
      <c r="U121" s="234"/>
    </row>
    <row r="122" spans="3:21" s="144" customFormat="1" ht="19.5" customHeight="1">
      <c r="C122" s="147">
        <v>117</v>
      </c>
      <c r="D122" s="142" t="s">
        <v>1707</v>
      </c>
      <c r="E122" s="197" t="s">
        <v>1781</v>
      </c>
      <c r="F122" s="231" t="s">
        <v>3788</v>
      </c>
      <c r="G122" s="232" t="s">
        <v>1792</v>
      </c>
      <c r="H122" s="221" t="s">
        <v>1860</v>
      </c>
      <c r="I122" s="225" t="s">
        <v>1868</v>
      </c>
      <c r="J122" s="226"/>
      <c r="K122" s="218" t="s">
        <v>1741</v>
      </c>
      <c r="L122" s="189">
        <f t="shared" si="5"/>
        <v>5.4</v>
      </c>
      <c r="M122" s="140">
        <f t="shared" si="3"/>
        <v>1</v>
      </c>
      <c r="N122" s="141">
        <f t="shared" si="4"/>
        <v>5.4</v>
      </c>
      <c r="O122" s="140" t="s">
        <v>1156</v>
      </c>
      <c r="P122" s="143" t="s">
        <v>1780</v>
      </c>
      <c r="R122" s="177"/>
      <c r="S122" s="233"/>
      <c r="T122" s="234"/>
      <c r="U122" s="234"/>
    </row>
    <row r="123" spans="3:21" s="144" customFormat="1" ht="19.5" customHeight="1">
      <c r="C123" s="147">
        <v>118</v>
      </c>
      <c r="D123" s="142" t="s">
        <v>1707</v>
      </c>
      <c r="E123" s="197" t="s">
        <v>1781</v>
      </c>
      <c r="F123" s="231" t="s">
        <v>3789</v>
      </c>
      <c r="G123" s="232" t="s">
        <v>1792</v>
      </c>
      <c r="H123" s="221" t="s">
        <v>1860</v>
      </c>
      <c r="I123" s="225" t="s">
        <v>1869</v>
      </c>
      <c r="J123" s="226"/>
      <c r="K123" s="218" t="s">
        <v>1741</v>
      </c>
      <c r="L123" s="189">
        <f t="shared" si="5"/>
        <v>5.4</v>
      </c>
      <c r="M123" s="140">
        <f t="shared" si="3"/>
        <v>1</v>
      </c>
      <c r="N123" s="141">
        <f t="shared" si="4"/>
        <v>5.4</v>
      </c>
      <c r="O123" s="140" t="s">
        <v>1156</v>
      </c>
      <c r="P123" s="143" t="s">
        <v>1780</v>
      </c>
      <c r="R123" s="177"/>
      <c r="S123" s="233"/>
      <c r="T123" s="234"/>
      <c r="U123" s="234"/>
    </row>
    <row r="124" spans="3:21" s="144" customFormat="1" ht="19.5" customHeight="1">
      <c r="C124" s="147">
        <v>119</v>
      </c>
      <c r="D124" s="142" t="s">
        <v>1707</v>
      </c>
      <c r="E124" s="197" t="s">
        <v>1781</v>
      </c>
      <c r="F124" s="231" t="s">
        <v>3790</v>
      </c>
      <c r="G124" s="232" t="s">
        <v>1792</v>
      </c>
      <c r="H124" s="221" t="s">
        <v>1860</v>
      </c>
      <c r="I124" s="225" t="s">
        <v>1870</v>
      </c>
      <c r="J124" s="226"/>
      <c r="K124" s="218" t="s">
        <v>1741</v>
      </c>
      <c r="L124" s="189">
        <f t="shared" si="5"/>
        <v>5.4</v>
      </c>
      <c r="M124" s="140">
        <f t="shared" si="3"/>
        <v>1</v>
      </c>
      <c r="N124" s="141">
        <f t="shared" si="4"/>
        <v>5.4</v>
      </c>
      <c r="O124" s="140" t="s">
        <v>1156</v>
      </c>
      <c r="P124" s="143" t="s">
        <v>1780</v>
      </c>
      <c r="R124" s="177"/>
      <c r="S124" s="233"/>
      <c r="T124" s="234"/>
      <c r="U124" s="234"/>
    </row>
    <row r="125" spans="3:21" s="144" customFormat="1" ht="19.5" customHeight="1">
      <c r="C125" s="147">
        <v>120</v>
      </c>
      <c r="D125" s="142" t="s">
        <v>1707</v>
      </c>
      <c r="E125" s="197" t="s">
        <v>1781</v>
      </c>
      <c r="F125" s="231" t="s">
        <v>3791</v>
      </c>
      <c r="G125" s="232" t="s">
        <v>1792</v>
      </c>
      <c r="H125" s="221" t="s">
        <v>1860</v>
      </c>
      <c r="I125" s="225" t="s">
        <v>1871</v>
      </c>
      <c r="J125" s="226"/>
      <c r="K125" s="218" t="s">
        <v>1741</v>
      </c>
      <c r="L125" s="189">
        <f t="shared" si="5"/>
        <v>5.4</v>
      </c>
      <c r="M125" s="140">
        <f t="shared" si="3"/>
        <v>1</v>
      </c>
      <c r="N125" s="141">
        <f t="shared" si="4"/>
        <v>5.4</v>
      </c>
      <c r="O125" s="140" t="s">
        <v>1156</v>
      </c>
      <c r="P125" s="143" t="s">
        <v>1780</v>
      </c>
      <c r="R125" s="177"/>
      <c r="S125" s="238" t="b">
        <f t="shared" ref="S125:S142" si="6">IF(O125="","",IF(O125="EI",4,IF(O125="EO",5.2,IF(O125="EQ",3.9,IF(O125="ILF",7.5,IF(O125="EIF",5.4))))))</f>
        <v>0</v>
      </c>
      <c r="T125" s="239" t="s">
        <v>1855</v>
      </c>
      <c r="U125" s="234"/>
    </row>
    <row r="126" spans="3:21" s="144" customFormat="1" ht="19.5" customHeight="1">
      <c r="C126" s="147">
        <v>121</v>
      </c>
      <c r="D126" s="142" t="s">
        <v>1707</v>
      </c>
      <c r="E126" s="197" t="s">
        <v>1781</v>
      </c>
      <c r="F126" s="231" t="s">
        <v>3792</v>
      </c>
      <c r="G126" s="232" t="s">
        <v>1792</v>
      </c>
      <c r="H126" s="221" t="s">
        <v>1872</v>
      </c>
      <c r="I126" s="225" t="s">
        <v>1873</v>
      </c>
      <c r="J126" s="226"/>
      <c r="K126" s="218" t="s">
        <v>1741</v>
      </c>
      <c r="L126" s="189">
        <f t="shared" si="5"/>
        <v>5.4</v>
      </c>
      <c r="M126" s="140">
        <f t="shared" si="3"/>
        <v>1</v>
      </c>
      <c r="N126" s="141">
        <f t="shared" si="4"/>
        <v>5.4</v>
      </c>
      <c r="O126" s="140" t="s">
        <v>1156</v>
      </c>
      <c r="P126" s="143" t="s">
        <v>1780</v>
      </c>
      <c r="R126" s="177"/>
      <c r="S126" s="238" t="b">
        <f t="shared" si="6"/>
        <v>0</v>
      </c>
      <c r="T126" s="239" t="s">
        <v>1855</v>
      </c>
      <c r="U126" s="234"/>
    </row>
    <row r="127" spans="3:21" s="144" customFormat="1" ht="19.5" customHeight="1">
      <c r="C127" s="147">
        <v>122</v>
      </c>
      <c r="D127" s="142" t="s">
        <v>1707</v>
      </c>
      <c r="E127" s="197" t="s">
        <v>1781</v>
      </c>
      <c r="F127" s="231" t="s">
        <v>3793</v>
      </c>
      <c r="G127" s="232" t="s">
        <v>1792</v>
      </c>
      <c r="H127" s="221" t="s">
        <v>1874</v>
      </c>
      <c r="I127" s="225" t="s">
        <v>1875</v>
      </c>
      <c r="J127" s="226"/>
      <c r="K127" s="218" t="s">
        <v>1163</v>
      </c>
      <c r="L127" s="189">
        <f t="shared" si="5"/>
        <v>4</v>
      </c>
      <c r="M127" s="140">
        <f t="shared" si="3"/>
        <v>1</v>
      </c>
      <c r="N127" s="141">
        <f t="shared" si="4"/>
        <v>4</v>
      </c>
      <c r="O127" s="140" t="s">
        <v>1156</v>
      </c>
      <c r="P127" s="143" t="s">
        <v>1780</v>
      </c>
      <c r="R127" s="177"/>
      <c r="S127" s="238" t="b">
        <f t="shared" si="6"/>
        <v>0</v>
      </c>
      <c r="T127" s="239" t="s">
        <v>1855</v>
      </c>
      <c r="U127" s="234"/>
    </row>
    <row r="128" spans="3:21" s="144" customFormat="1" ht="19.5" customHeight="1">
      <c r="C128" s="147">
        <v>123</v>
      </c>
      <c r="D128" s="142" t="s">
        <v>1707</v>
      </c>
      <c r="E128" s="197" t="s">
        <v>1781</v>
      </c>
      <c r="F128" s="231" t="s">
        <v>3794</v>
      </c>
      <c r="G128" s="232" t="s">
        <v>1792</v>
      </c>
      <c r="H128" s="221" t="s">
        <v>1874</v>
      </c>
      <c r="I128" s="225" t="s">
        <v>1876</v>
      </c>
      <c r="J128" s="226"/>
      <c r="K128" s="218" t="s">
        <v>1163</v>
      </c>
      <c r="L128" s="189">
        <f t="shared" si="5"/>
        <v>4</v>
      </c>
      <c r="M128" s="140">
        <f t="shared" si="3"/>
        <v>1</v>
      </c>
      <c r="N128" s="141">
        <f t="shared" si="4"/>
        <v>4</v>
      </c>
      <c r="O128" s="140" t="s">
        <v>1156</v>
      </c>
      <c r="P128" s="143" t="s">
        <v>1780</v>
      </c>
      <c r="R128" s="177"/>
      <c r="S128" s="238" t="b">
        <f t="shared" si="6"/>
        <v>0</v>
      </c>
      <c r="T128" s="239" t="s">
        <v>1855</v>
      </c>
      <c r="U128" s="234"/>
    </row>
    <row r="129" spans="3:21" s="144" customFormat="1" ht="19.5" customHeight="1">
      <c r="C129" s="147">
        <v>124</v>
      </c>
      <c r="D129" s="142" t="s">
        <v>1707</v>
      </c>
      <c r="E129" s="197" t="s">
        <v>1781</v>
      </c>
      <c r="F129" s="231" t="s">
        <v>3795</v>
      </c>
      <c r="G129" s="232" t="s">
        <v>1792</v>
      </c>
      <c r="H129" s="221" t="s">
        <v>1874</v>
      </c>
      <c r="I129" s="225" t="s">
        <v>1877</v>
      </c>
      <c r="J129" s="226"/>
      <c r="K129" s="138" t="s">
        <v>1170</v>
      </c>
      <c r="L129" s="189">
        <f t="shared" si="5"/>
        <v>5.2</v>
      </c>
      <c r="M129" s="140">
        <f t="shared" si="3"/>
        <v>1</v>
      </c>
      <c r="N129" s="141">
        <f t="shared" si="4"/>
        <v>5.2</v>
      </c>
      <c r="O129" s="140" t="s">
        <v>1156</v>
      </c>
      <c r="P129" s="143" t="s">
        <v>1780</v>
      </c>
      <c r="R129" s="177"/>
      <c r="S129" s="238" t="b">
        <f t="shared" si="6"/>
        <v>0</v>
      </c>
      <c r="T129" s="239" t="s">
        <v>1855</v>
      </c>
      <c r="U129" s="234"/>
    </row>
    <row r="130" spans="3:21" s="144" customFormat="1" ht="19.5" customHeight="1">
      <c r="C130" s="147">
        <v>125</v>
      </c>
      <c r="D130" s="142" t="s">
        <v>1707</v>
      </c>
      <c r="E130" s="197" t="s">
        <v>1781</v>
      </c>
      <c r="F130" s="231" t="s">
        <v>3796</v>
      </c>
      <c r="G130" s="232" t="s">
        <v>1792</v>
      </c>
      <c r="H130" s="221" t="s">
        <v>1878</v>
      </c>
      <c r="I130" s="225" t="s">
        <v>1879</v>
      </c>
      <c r="J130" s="226"/>
      <c r="K130" s="218" t="s">
        <v>1741</v>
      </c>
      <c r="L130" s="189">
        <f t="shared" si="5"/>
        <v>5.4</v>
      </c>
      <c r="M130" s="140">
        <f t="shared" si="3"/>
        <v>1</v>
      </c>
      <c r="N130" s="141">
        <f t="shared" si="4"/>
        <v>5.4</v>
      </c>
      <c r="O130" s="140" t="s">
        <v>1156</v>
      </c>
      <c r="P130" s="143" t="s">
        <v>1780</v>
      </c>
      <c r="R130" s="177"/>
      <c r="S130" s="238" t="b">
        <f t="shared" si="6"/>
        <v>0</v>
      </c>
      <c r="T130" s="239" t="s">
        <v>1855</v>
      </c>
      <c r="U130" s="234"/>
    </row>
    <row r="131" spans="3:21" s="144" customFormat="1" ht="19.5" customHeight="1">
      <c r="C131" s="147">
        <v>126</v>
      </c>
      <c r="D131" s="142" t="s">
        <v>1707</v>
      </c>
      <c r="E131" s="197" t="s">
        <v>1781</v>
      </c>
      <c r="F131" s="231" t="s">
        <v>3797</v>
      </c>
      <c r="G131" s="232" t="s">
        <v>1792</v>
      </c>
      <c r="H131" s="221" t="s">
        <v>1878</v>
      </c>
      <c r="I131" s="225" t="s">
        <v>1880</v>
      </c>
      <c r="J131" s="226"/>
      <c r="K131" s="201" t="s">
        <v>1155</v>
      </c>
      <c r="L131" s="189">
        <f t="shared" si="5"/>
        <v>7.5</v>
      </c>
      <c r="M131" s="140">
        <f t="shared" si="3"/>
        <v>1</v>
      </c>
      <c r="N131" s="141">
        <f t="shared" si="4"/>
        <v>7.5</v>
      </c>
      <c r="O131" s="140" t="s">
        <v>1156</v>
      </c>
      <c r="P131" s="143" t="s">
        <v>1780</v>
      </c>
      <c r="R131" s="177"/>
      <c r="S131" s="238" t="b">
        <f t="shared" si="6"/>
        <v>0</v>
      </c>
      <c r="T131" s="239" t="s">
        <v>1855</v>
      </c>
      <c r="U131" s="234"/>
    </row>
    <row r="132" spans="3:21" s="144" customFormat="1" ht="19.5" customHeight="1">
      <c r="C132" s="147">
        <v>127</v>
      </c>
      <c r="D132" s="142" t="s">
        <v>1707</v>
      </c>
      <c r="E132" s="197" t="s">
        <v>1781</v>
      </c>
      <c r="F132" s="231" t="s">
        <v>3798</v>
      </c>
      <c r="G132" s="232" t="s">
        <v>1792</v>
      </c>
      <c r="H132" s="221" t="s">
        <v>1878</v>
      </c>
      <c r="I132" s="225" t="s">
        <v>1881</v>
      </c>
      <c r="J132" s="226"/>
      <c r="K132" s="138" t="s">
        <v>1170</v>
      </c>
      <c r="L132" s="189">
        <f t="shared" si="5"/>
        <v>5.2</v>
      </c>
      <c r="M132" s="140">
        <f t="shared" si="3"/>
        <v>1</v>
      </c>
      <c r="N132" s="141">
        <f t="shared" si="4"/>
        <v>5.2</v>
      </c>
      <c r="O132" s="140" t="s">
        <v>1156</v>
      </c>
      <c r="P132" s="143" t="s">
        <v>1780</v>
      </c>
      <c r="R132" s="177"/>
      <c r="S132" s="238" t="b">
        <f t="shared" si="6"/>
        <v>0</v>
      </c>
      <c r="T132" s="239" t="s">
        <v>1855</v>
      </c>
      <c r="U132" s="234"/>
    </row>
    <row r="133" spans="3:21" s="144" customFormat="1" ht="19.5" customHeight="1">
      <c r="C133" s="147">
        <v>128</v>
      </c>
      <c r="D133" s="142" t="s">
        <v>1707</v>
      </c>
      <c r="E133" s="197" t="s">
        <v>1781</v>
      </c>
      <c r="F133" s="231" t="s">
        <v>3799</v>
      </c>
      <c r="G133" s="232" t="s">
        <v>1792</v>
      </c>
      <c r="H133" s="221" t="s">
        <v>1878</v>
      </c>
      <c r="I133" s="225" t="s">
        <v>1882</v>
      </c>
      <c r="J133" s="226"/>
      <c r="K133" s="201" t="s">
        <v>1163</v>
      </c>
      <c r="L133" s="189">
        <f t="shared" si="5"/>
        <v>4</v>
      </c>
      <c r="M133" s="140">
        <f t="shared" si="3"/>
        <v>1</v>
      </c>
      <c r="N133" s="141">
        <f t="shared" si="4"/>
        <v>4</v>
      </c>
      <c r="O133" s="140" t="s">
        <v>1156</v>
      </c>
      <c r="P133" s="143" t="s">
        <v>1780</v>
      </c>
      <c r="R133" s="177"/>
      <c r="S133" s="238" t="b">
        <f t="shared" si="6"/>
        <v>0</v>
      </c>
      <c r="T133" s="239" t="s">
        <v>1855</v>
      </c>
      <c r="U133" s="234"/>
    </row>
    <row r="134" spans="3:21" s="144" customFormat="1" ht="19.5" customHeight="1">
      <c r="C134" s="147">
        <v>129</v>
      </c>
      <c r="D134" s="142" t="s">
        <v>1707</v>
      </c>
      <c r="E134" s="197" t="s">
        <v>1781</v>
      </c>
      <c r="F134" s="231" t="s">
        <v>3800</v>
      </c>
      <c r="G134" s="232" t="s">
        <v>1792</v>
      </c>
      <c r="H134" s="221" t="s">
        <v>1878</v>
      </c>
      <c r="I134" s="225" t="s">
        <v>1883</v>
      </c>
      <c r="J134" s="226"/>
      <c r="K134" s="201" t="s">
        <v>1163</v>
      </c>
      <c r="L134" s="189">
        <f t="shared" si="5"/>
        <v>4</v>
      </c>
      <c r="M134" s="140">
        <f t="shared" ref="M134:M197" si="7">IF(O134="","",IF(O134="신규",1,IF(O134="고도화",1.04,IF(O134="재사용",0.25))))</f>
        <v>1</v>
      </c>
      <c r="N134" s="141">
        <f t="shared" ref="N134:N197" si="8">L134*M134</f>
        <v>4</v>
      </c>
      <c r="O134" s="140" t="s">
        <v>1156</v>
      </c>
      <c r="P134" s="143" t="s">
        <v>1780</v>
      </c>
      <c r="R134" s="177"/>
      <c r="S134" s="238" t="b">
        <f t="shared" si="6"/>
        <v>0</v>
      </c>
      <c r="T134" s="239" t="s">
        <v>1855</v>
      </c>
      <c r="U134" s="234"/>
    </row>
    <row r="135" spans="3:21" s="144" customFormat="1" ht="19.5" customHeight="1">
      <c r="C135" s="147">
        <v>130</v>
      </c>
      <c r="D135" s="142" t="s">
        <v>1707</v>
      </c>
      <c r="E135" s="197" t="s">
        <v>1781</v>
      </c>
      <c r="F135" s="231" t="s">
        <v>3801</v>
      </c>
      <c r="G135" s="232" t="s">
        <v>1792</v>
      </c>
      <c r="H135" s="221" t="s">
        <v>1878</v>
      </c>
      <c r="I135" s="225" t="s">
        <v>1884</v>
      </c>
      <c r="J135" s="226"/>
      <c r="K135" s="201" t="s">
        <v>1155</v>
      </c>
      <c r="L135" s="189">
        <f t="shared" ref="L135:L198" si="9">IF(K135="","",IF(K135="EI",4,IF(K135="EO",5.2,IF(K135="EQ",3.9,IF(K135="ILF",7.5,IF(K135="EIF",5.4))))))</f>
        <v>7.5</v>
      </c>
      <c r="M135" s="140">
        <f t="shared" si="7"/>
        <v>1</v>
      </c>
      <c r="N135" s="141">
        <f t="shared" si="8"/>
        <v>7.5</v>
      </c>
      <c r="O135" s="140" t="s">
        <v>1156</v>
      </c>
      <c r="P135" s="143" t="s">
        <v>1780</v>
      </c>
      <c r="R135" s="177"/>
      <c r="S135" s="238" t="b">
        <f t="shared" si="6"/>
        <v>0</v>
      </c>
      <c r="T135" s="239" t="s">
        <v>1855</v>
      </c>
      <c r="U135" s="234"/>
    </row>
    <row r="136" spans="3:21" s="144" customFormat="1" ht="19.5" customHeight="1">
      <c r="C136" s="147">
        <v>131</v>
      </c>
      <c r="D136" s="142" t="s">
        <v>1707</v>
      </c>
      <c r="E136" s="197" t="s">
        <v>1781</v>
      </c>
      <c r="F136" s="231" t="s">
        <v>3802</v>
      </c>
      <c r="G136" s="232" t="s">
        <v>1792</v>
      </c>
      <c r="H136" s="221" t="s">
        <v>1878</v>
      </c>
      <c r="I136" s="225" t="s">
        <v>1885</v>
      </c>
      <c r="J136" s="226"/>
      <c r="K136" s="138" t="s">
        <v>1170</v>
      </c>
      <c r="L136" s="189">
        <f t="shared" si="9"/>
        <v>5.2</v>
      </c>
      <c r="M136" s="140">
        <f t="shared" si="7"/>
        <v>1</v>
      </c>
      <c r="N136" s="141">
        <f t="shared" si="8"/>
        <v>5.2</v>
      </c>
      <c r="O136" s="140" t="s">
        <v>1156</v>
      </c>
      <c r="P136" s="143" t="s">
        <v>1780</v>
      </c>
      <c r="R136" s="177"/>
      <c r="S136" s="238" t="b">
        <f t="shared" si="6"/>
        <v>0</v>
      </c>
      <c r="T136" s="239" t="s">
        <v>1855</v>
      </c>
      <c r="U136" s="234"/>
    </row>
    <row r="137" spans="3:21" s="144" customFormat="1" ht="19.5" customHeight="1">
      <c r="C137" s="147">
        <v>132</v>
      </c>
      <c r="D137" s="142" t="s">
        <v>1707</v>
      </c>
      <c r="E137" s="197" t="s">
        <v>1781</v>
      </c>
      <c r="F137" s="231" t="s">
        <v>3803</v>
      </c>
      <c r="G137" s="232" t="s">
        <v>1792</v>
      </c>
      <c r="H137" s="221" t="s">
        <v>1886</v>
      </c>
      <c r="I137" s="225" t="s">
        <v>1887</v>
      </c>
      <c r="J137" s="226"/>
      <c r="K137" s="218" t="s">
        <v>1741</v>
      </c>
      <c r="L137" s="189">
        <f t="shared" si="9"/>
        <v>5.4</v>
      </c>
      <c r="M137" s="140">
        <f t="shared" si="7"/>
        <v>1</v>
      </c>
      <c r="N137" s="141">
        <f t="shared" si="8"/>
        <v>5.4</v>
      </c>
      <c r="O137" s="140" t="s">
        <v>1156</v>
      </c>
      <c r="P137" s="143" t="s">
        <v>1780</v>
      </c>
      <c r="R137" s="177"/>
      <c r="S137" s="238" t="b">
        <f t="shared" si="6"/>
        <v>0</v>
      </c>
      <c r="T137" s="239" t="s">
        <v>1855</v>
      </c>
      <c r="U137" s="234"/>
    </row>
    <row r="138" spans="3:21" s="144" customFormat="1" ht="19.5" customHeight="1">
      <c r="C138" s="147">
        <v>133</v>
      </c>
      <c r="D138" s="142" t="s">
        <v>1707</v>
      </c>
      <c r="E138" s="197" t="s">
        <v>1781</v>
      </c>
      <c r="F138" s="231" t="s">
        <v>3804</v>
      </c>
      <c r="G138" s="232" t="s">
        <v>1792</v>
      </c>
      <c r="H138" s="221" t="s">
        <v>1886</v>
      </c>
      <c r="I138" s="225" t="s">
        <v>1888</v>
      </c>
      <c r="J138" s="226"/>
      <c r="K138" s="218" t="s">
        <v>1741</v>
      </c>
      <c r="L138" s="189">
        <f t="shared" si="9"/>
        <v>5.4</v>
      </c>
      <c r="M138" s="140">
        <f t="shared" si="7"/>
        <v>1</v>
      </c>
      <c r="N138" s="141">
        <f t="shared" si="8"/>
        <v>5.4</v>
      </c>
      <c r="O138" s="140" t="s">
        <v>1156</v>
      </c>
      <c r="P138" s="143" t="s">
        <v>1780</v>
      </c>
      <c r="R138" s="177"/>
      <c r="S138" s="238" t="b">
        <f t="shared" si="6"/>
        <v>0</v>
      </c>
      <c r="T138" s="239" t="s">
        <v>1855</v>
      </c>
      <c r="U138" s="234"/>
    </row>
    <row r="139" spans="3:21" s="144" customFormat="1" ht="19.5" customHeight="1">
      <c r="C139" s="147">
        <v>134</v>
      </c>
      <c r="D139" s="142" t="s">
        <v>1707</v>
      </c>
      <c r="E139" s="197" t="s">
        <v>1781</v>
      </c>
      <c r="F139" s="231" t="s">
        <v>3805</v>
      </c>
      <c r="G139" s="232" t="s">
        <v>1792</v>
      </c>
      <c r="H139" s="221" t="s">
        <v>1886</v>
      </c>
      <c r="I139" s="225" t="s">
        <v>1889</v>
      </c>
      <c r="J139" s="226"/>
      <c r="K139" s="241" t="s">
        <v>1155</v>
      </c>
      <c r="L139" s="189">
        <f t="shared" si="9"/>
        <v>7.5</v>
      </c>
      <c r="M139" s="140">
        <f t="shared" si="7"/>
        <v>1</v>
      </c>
      <c r="N139" s="141">
        <f t="shared" si="8"/>
        <v>7.5</v>
      </c>
      <c r="O139" s="140" t="s">
        <v>1156</v>
      </c>
      <c r="P139" s="143" t="s">
        <v>1780</v>
      </c>
      <c r="R139" s="177"/>
      <c r="S139" s="238" t="b">
        <f t="shared" si="6"/>
        <v>0</v>
      </c>
      <c r="T139" s="242" t="s">
        <v>1890</v>
      </c>
      <c r="U139" s="234"/>
    </row>
    <row r="140" spans="3:21" s="144" customFormat="1" ht="19.5" customHeight="1">
      <c r="C140" s="147">
        <v>135</v>
      </c>
      <c r="D140" s="142" t="s">
        <v>1707</v>
      </c>
      <c r="E140" s="197" t="s">
        <v>1781</v>
      </c>
      <c r="F140" s="231" t="s">
        <v>3806</v>
      </c>
      <c r="G140" s="232" t="s">
        <v>1792</v>
      </c>
      <c r="H140" s="221" t="s">
        <v>1891</v>
      </c>
      <c r="I140" s="225" t="s">
        <v>1892</v>
      </c>
      <c r="J140" s="226"/>
      <c r="K140" s="138" t="s">
        <v>1170</v>
      </c>
      <c r="L140" s="189">
        <f t="shared" si="9"/>
        <v>5.2</v>
      </c>
      <c r="M140" s="140">
        <f t="shared" si="7"/>
        <v>1</v>
      </c>
      <c r="N140" s="141">
        <f t="shared" si="8"/>
        <v>5.2</v>
      </c>
      <c r="O140" s="140" t="s">
        <v>1156</v>
      </c>
      <c r="P140" s="143" t="s">
        <v>1780</v>
      </c>
      <c r="R140" s="177"/>
      <c r="S140" s="238" t="b">
        <f t="shared" si="6"/>
        <v>0</v>
      </c>
      <c r="T140" s="242" t="s">
        <v>1890</v>
      </c>
      <c r="U140" s="234"/>
    </row>
    <row r="141" spans="3:21" s="144" customFormat="1" ht="19.5" customHeight="1">
      <c r="C141" s="147">
        <v>136</v>
      </c>
      <c r="D141" s="142" t="s">
        <v>1707</v>
      </c>
      <c r="E141" s="197" t="s">
        <v>1781</v>
      </c>
      <c r="F141" s="231" t="s">
        <v>3807</v>
      </c>
      <c r="G141" s="232" t="s">
        <v>1792</v>
      </c>
      <c r="H141" s="221" t="s">
        <v>1891</v>
      </c>
      <c r="I141" s="225" t="s">
        <v>1893</v>
      </c>
      <c r="J141" s="226"/>
      <c r="K141" s="138" t="s">
        <v>1170</v>
      </c>
      <c r="L141" s="189">
        <f t="shared" si="9"/>
        <v>5.2</v>
      </c>
      <c r="M141" s="140">
        <f t="shared" si="7"/>
        <v>1</v>
      </c>
      <c r="N141" s="141">
        <f t="shared" si="8"/>
        <v>5.2</v>
      </c>
      <c r="O141" s="140" t="s">
        <v>1156</v>
      </c>
      <c r="P141" s="143" t="s">
        <v>1780</v>
      </c>
      <c r="R141" s="177"/>
      <c r="S141" s="238" t="b">
        <f t="shared" si="6"/>
        <v>0</v>
      </c>
      <c r="T141" s="242" t="s">
        <v>1890</v>
      </c>
      <c r="U141" s="234"/>
    </row>
    <row r="142" spans="3:21" s="144" customFormat="1" ht="19.5" customHeight="1">
      <c r="C142" s="147">
        <v>137</v>
      </c>
      <c r="D142" s="142" t="s">
        <v>1707</v>
      </c>
      <c r="E142" s="197" t="s">
        <v>1781</v>
      </c>
      <c r="F142" s="231" t="s">
        <v>3808</v>
      </c>
      <c r="G142" s="232" t="s">
        <v>1792</v>
      </c>
      <c r="H142" s="221" t="s">
        <v>1891</v>
      </c>
      <c r="I142" s="225" t="s">
        <v>1894</v>
      </c>
      <c r="J142" s="226"/>
      <c r="K142" s="138" t="s">
        <v>1170</v>
      </c>
      <c r="L142" s="189">
        <f t="shared" si="9"/>
        <v>5.2</v>
      </c>
      <c r="M142" s="140">
        <f t="shared" si="7"/>
        <v>1</v>
      </c>
      <c r="N142" s="141">
        <f t="shared" si="8"/>
        <v>5.2</v>
      </c>
      <c r="O142" s="140" t="s">
        <v>1156</v>
      </c>
      <c r="P142" s="143" t="s">
        <v>1780</v>
      </c>
      <c r="R142" s="177"/>
      <c r="S142" s="243" t="b">
        <f t="shared" si="6"/>
        <v>0</v>
      </c>
      <c r="T142" s="242" t="s">
        <v>1890</v>
      </c>
      <c r="U142" s="234"/>
    </row>
    <row r="143" spans="3:21" s="144" customFormat="1" ht="19.5" customHeight="1">
      <c r="C143" s="147">
        <v>138</v>
      </c>
      <c r="D143" s="142" t="s">
        <v>1707</v>
      </c>
      <c r="E143" s="197" t="s">
        <v>1781</v>
      </c>
      <c r="F143" s="231" t="s">
        <v>3809</v>
      </c>
      <c r="G143" s="232" t="s">
        <v>1792</v>
      </c>
      <c r="H143" s="221" t="s">
        <v>1891</v>
      </c>
      <c r="I143" s="225" t="s">
        <v>1895</v>
      </c>
      <c r="J143" s="226"/>
      <c r="K143" s="244" t="s">
        <v>1160</v>
      </c>
      <c r="L143" s="189">
        <f t="shared" si="9"/>
        <v>3.9</v>
      </c>
      <c r="M143" s="140">
        <f t="shared" si="7"/>
        <v>1</v>
      </c>
      <c r="N143" s="141">
        <f t="shared" si="8"/>
        <v>3.9</v>
      </c>
      <c r="O143" s="140" t="s">
        <v>1156</v>
      </c>
      <c r="P143" s="143" t="s">
        <v>1780</v>
      </c>
      <c r="R143" s="177"/>
      <c r="S143" s="245"/>
      <c r="T143" s="234"/>
      <c r="U143" s="234" t="s">
        <v>1896</v>
      </c>
    </row>
    <row r="144" spans="3:21" s="144" customFormat="1" ht="19.5" customHeight="1">
      <c r="C144" s="147">
        <v>139</v>
      </c>
      <c r="D144" s="142" t="s">
        <v>1707</v>
      </c>
      <c r="E144" s="197" t="s">
        <v>1781</v>
      </c>
      <c r="F144" s="231" t="s">
        <v>3810</v>
      </c>
      <c r="G144" s="232" t="s">
        <v>1792</v>
      </c>
      <c r="H144" s="221" t="s">
        <v>1891</v>
      </c>
      <c r="I144" s="225" t="s">
        <v>1897</v>
      </c>
      <c r="J144" s="226"/>
      <c r="K144" s="241" t="s">
        <v>1607</v>
      </c>
      <c r="L144" s="189">
        <f t="shared" si="9"/>
        <v>5.4</v>
      </c>
      <c r="M144" s="140">
        <f t="shared" si="7"/>
        <v>1</v>
      </c>
      <c r="N144" s="141">
        <f t="shared" si="8"/>
        <v>5.4</v>
      </c>
      <c r="O144" s="140" t="s">
        <v>1156</v>
      </c>
      <c r="P144" s="143" t="s">
        <v>1780</v>
      </c>
      <c r="R144" s="177"/>
      <c r="S144" s="238" t="b">
        <f>IF(O144="","",IF(O144="EI",4,IF(O144="EO",5.2,IF(O144="EQ",3.9,IF(O144="ILF",7.5,IF(O144="EIF",5.4))))))</f>
        <v>0</v>
      </c>
      <c r="T144" s="242" t="s">
        <v>1890</v>
      </c>
      <c r="U144" s="234"/>
    </row>
    <row r="145" spans="3:21" s="144" customFormat="1" ht="19.5" customHeight="1">
      <c r="C145" s="147">
        <v>140</v>
      </c>
      <c r="D145" s="142" t="s">
        <v>1707</v>
      </c>
      <c r="E145" s="197" t="s">
        <v>1781</v>
      </c>
      <c r="F145" s="231" t="s">
        <v>3811</v>
      </c>
      <c r="G145" s="232" t="s">
        <v>1792</v>
      </c>
      <c r="H145" s="221" t="s">
        <v>1891</v>
      </c>
      <c r="I145" s="225" t="s">
        <v>1898</v>
      </c>
      <c r="J145" s="226"/>
      <c r="K145" s="241" t="s">
        <v>1607</v>
      </c>
      <c r="L145" s="189">
        <f t="shared" si="9"/>
        <v>5.4</v>
      </c>
      <c r="M145" s="140">
        <f t="shared" si="7"/>
        <v>1</v>
      </c>
      <c r="N145" s="141">
        <f t="shared" si="8"/>
        <v>5.4</v>
      </c>
      <c r="O145" s="140" t="s">
        <v>1156</v>
      </c>
      <c r="P145" s="143" t="s">
        <v>1780</v>
      </c>
      <c r="R145" s="177"/>
      <c r="S145" s="246"/>
      <c r="T145" s="234"/>
      <c r="U145" s="234" t="s">
        <v>1899</v>
      </c>
    </row>
    <row r="146" spans="3:21" s="144" customFormat="1" ht="19.5" customHeight="1">
      <c r="C146" s="147">
        <v>141</v>
      </c>
      <c r="D146" s="142" t="s">
        <v>1707</v>
      </c>
      <c r="E146" s="197" t="s">
        <v>1781</v>
      </c>
      <c r="F146" s="231" t="s">
        <v>3812</v>
      </c>
      <c r="G146" s="232" t="s">
        <v>1792</v>
      </c>
      <c r="H146" s="221" t="s">
        <v>1891</v>
      </c>
      <c r="I146" s="225" t="s">
        <v>1900</v>
      </c>
      <c r="J146" s="226"/>
      <c r="K146" s="241" t="s">
        <v>1607</v>
      </c>
      <c r="L146" s="189">
        <f t="shared" si="9"/>
        <v>5.4</v>
      </c>
      <c r="M146" s="140">
        <f t="shared" si="7"/>
        <v>1</v>
      </c>
      <c r="N146" s="141">
        <f t="shared" si="8"/>
        <v>5.4</v>
      </c>
      <c r="O146" s="140" t="s">
        <v>1156</v>
      </c>
      <c r="P146" s="143" t="s">
        <v>1780</v>
      </c>
      <c r="R146" s="177"/>
      <c r="S146" s="238" t="b">
        <f t="shared" ref="S146:S157" si="10">IF(O146="","",IF(O146="EI",4,IF(O146="EO",5.2,IF(O146="EQ",3.9,IF(O146="ILF",7.5,IF(O146="EIF",5.4))))))</f>
        <v>0</v>
      </c>
      <c r="T146" s="242" t="s">
        <v>1890</v>
      </c>
      <c r="U146" s="234"/>
    </row>
    <row r="147" spans="3:21" s="144" customFormat="1" ht="19.5" customHeight="1">
      <c r="C147" s="147">
        <v>142</v>
      </c>
      <c r="D147" s="142" t="s">
        <v>1707</v>
      </c>
      <c r="E147" s="197" t="s">
        <v>1781</v>
      </c>
      <c r="F147" s="231" t="s">
        <v>3813</v>
      </c>
      <c r="G147" s="232" t="s">
        <v>1792</v>
      </c>
      <c r="H147" s="221" t="s">
        <v>1891</v>
      </c>
      <c r="I147" s="225" t="s">
        <v>1901</v>
      </c>
      <c r="J147" s="226"/>
      <c r="K147" s="241" t="s">
        <v>1163</v>
      </c>
      <c r="L147" s="189">
        <f t="shared" si="9"/>
        <v>4</v>
      </c>
      <c r="M147" s="140">
        <f t="shared" si="7"/>
        <v>1</v>
      </c>
      <c r="N147" s="141">
        <f t="shared" si="8"/>
        <v>4</v>
      </c>
      <c r="O147" s="140" t="s">
        <v>1156</v>
      </c>
      <c r="P147" s="143" t="s">
        <v>1780</v>
      </c>
      <c r="R147" s="177"/>
      <c r="S147" s="238" t="b">
        <f t="shared" si="10"/>
        <v>0</v>
      </c>
      <c r="T147" s="242" t="s">
        <v>1890</v>
      </c>
      <c r="U147" s="234"/>
    </row>
    <row r="148" spans="3:21" s="144" customFormat="1" ht="19.5" customHeight="1">
      <c r="C148" s="147">
        <v>143</v>
      </c>
      <c r="D148" s="142" t="s">
        <v>1707</v>
      </c>
      <c r="E148" s="197" t="s">
        <v>1781</v>
      </c>
      <c r="F148" s="231" t="s">
        <v>3814</v>
      </c>
      <c r="G148" s="232" t="s">
        <v>1902</v>
      </c>
      <c r="H148" s="232" t="s">
        <v>1903</v>
      </c>
      <c r="I148" s="236" t="s">
        <v>1904</v>
      </c>
      <c r="J148" s="237"/>
      <c r="K148" s="138" t="s">
        <v>1170</v>
      </c>
      <c r="L148" s="189">
        <f t="shared" si="9"/>
        <v>5.2</v>
      </c>
      <c r="M148" s="140">
        <f t="shared" si="7"/>
        <v>1</v>
      </c>
      <c r="N148" s="141">
        <f t="shared" si="8"/>
        <v>5.2</v>
      </c>
      <c r="O148" s="140" t="s">
        <v>1156</v>
      </c>
      <c r="P148" s="143" t="s">
        <v>1780</v>
      </c>
      <c r="R148" s="177"/>
      <c r="S148" s="238" t="b">
        <f t="shared" si="10"/>
        <v>0</v>
      </c>
      <c r="T148" s="242" t="s">
        <v>1890</v>
      </c>
      <c r="U148" s="234"/>
    </row>
    <row r="149" spans="3:21" s="144" customFormat="1" ht="19.5" customHeight="1">
      <c r="C149" s="147">
        <v>144</v>
      </c>
      <c r="D149" s="142" t="s">
        <v>1707</v>
      </c>
      <c r="E149" s="197" t="s">
        <v>1781</v>
      </c>
      <c r="F149" s="231" t="s">
        <v>3815</v>
      </c>
      <c r="G149" s="232" t="s">
        <v>1902</v>
      </c>
      <c r="H149" s="232" t="s">
        <v>1905</v>
      </c>
      <c r="I149" s="236" t="s">
        <v>1906</v>
      </c>
      <c r="J149" s="247"/>
      <c r="K149" s="218" t="s">
        <v>1741</v>
      </c>
      <c r="L149" s="189">
        <f t="shared" si="9"/>
        <v>5.4</v>
      </c>
      <c r="M149" s="140">
        <f t="shared" si="7"/>
        <v>1</v>
      </c>
      <c r="N149" s="141">
        <f t="shared" si="8"/>
        <v>5.4</v>
      </c>
      <c r="O149" s="140" t="s">
        <v>1156</v>
      </c>
      <c r="P149" s="143" t="s">
        <v>1780</v>
      </c>
      <c r="R149" s="177"/>
      <c r="S149" s="238" t="b">
        <f t="shared" si="10"/>
        <v>0</v>
      </c>
      <c r="T149" s="242" t="s">
        <v>1890</v>
      </c>
      <c r="U149" s="234"/>
    </row>
    <row r="150" spans="3:21" s="144" customFormat="1" ht="19.5" customHeight="1">
      <c r="C150" s="147">
        <v>145</v>
      </c>
      <c r="D150" s="142" t="s">
        <v>1707</v>
      </c>
      <c r="E150" s="197" t="s">
        <v>1781</v>
      </c>
      <c r="F150" s="231" t="s">
        <v>3816</v>
      </c>
      <c r="G150" s="232" t="s">
        <v>1902</v>
      </c>
      <c r="H150" s="232" t="s">
        <v>1905</v>
      </c>
      <c r="I150" s="236" t="s">
        <v>1907</v>
      </c>
      <c r="J150" s="247"/>
      <c r="K150" s="218" t="s">
        <v>1741</v>
      </c>
      <c r="L150" s="189">
        <f t="shared" si="9"/>
        <v>5.4</v>
      </c>
      <c r="M150" s="140">
        <f t="shared" si="7"/>
        <v>1</v>
      </c>
      <c r="N150" s="141">
        <f t="shared" si="8"/>
        <v>5.4</v>
      </c>
      <c r="O150" s="140" t="s">
        <v>1156</v>
      </c>
      <c r="P150" s="143" t="s">
        <v>1780</v>
      </c>
      <c r="R150" s="177"/>
      <c r="S150" s="238" t="b">
        <f t="shared" si="10"/>
        <v>0</v>
      </c>
      <c r="T150" s="242" t="s">
        <v>1890</v>
      </c>
      <c r="U150" s="234"/>
    </row>
    <row r="151" spans="3:21" s="144" customFormat="1" ht="19.5" customHeight="1">
      <c r="C151" s="147">
        <v>146</v>
      </c>
      <c r="D151" s="142" t="s">
        <v>1707</v>
      </c>
      <c r="E151" s="197" t="s">
        <v>1781</v>
      </c>
      <c r="F151" s="231" t="s">
        <v>3817</v>
      </c>
      <c r="G151" s="232" t="s">
        <v>1902</v>
      </c>
      <c r="H151" s="232" t="s">
        <v>1908</v>
      </c>
      <c r="I151" s="236" t="s">
        <v>1909</v>
      </c>
      <c r="J151" s="247"/>
      <c r="K151" s="138" t="s">
        <v>1170</v>
      </c>
      <c r="L151" s="189">
        <f t="shared" si="9"/>
        <v>5.2</v>
      </c>
      <c r="M151" s="140">
        <f t="shared" si="7"/>
        <v>1</v>
      </c>
      <c r="N151" s="141">
        <f t="shared" si="8"/>
        <v>5.2</v>
      </c>
      <c r="O151" s="140" t="s">
        <v>1156</v>
      </c>
      <c r="P151" s="143" t="s">
        <v>1780</v>
      </c>
      <c r="R151" s="177"/>
      <c r="S151" s="238" t="b">
        <f t="shared" si="10"/>
        <v>0</v>
      </c>
      <c r="T151" s="242" t="s">
        <v>1890</v>
      </c>
      <c r="U151" s="234"/>
    </row>
    <row r="152" spans="3:21" s="144" customFormat="1" ht="19.5" customHeight="1">
      <c r="C152" s="147">
        <v>147</v>
      </c>
      <c r="D152" s="142" t="s">
        <v>1707</v>
      </c>
      <c r="E152" s="197" t="s">
        <v>1781</v>
      </c>
      <c r="F152" s="231" t="s">
        <v>3818</v>
      </c>
      <c r="G152" s="232" t="s">
        <v>1902</v>
      </c>
      <c r="H152" s="232" t="s">
        <v>1908</v>
      </c>
      <c r="I152" s="236" t="s">
        <v>1910</v>
      </c>
      <c r="J152" s="247"/>
      <c r="K152" s="241" t="s">
        <v>1170</v>
      </c>
      <c r="L152" s="189">
        <f t="shared" si="9"/>
        <v>5.2</v>
      </c>
      <c r="M152" s="140">
        <f t="shared" si="7"/>
        <v>1</v>
      </c>
      <c r="N152" s="141">
        <f t="shared" si="8"/>
        <v>5.2</v>
      </c>
      <c r="O152" s="140" t="s">
        <v>1156</v>
      </c>
      <c r="P152" s="143" t="s">
        <v>1780</v>
      </c>
      <c r="R152" s="177"/>
      <c r="S152" s="238" t="b">
        <f t="shared" si="10"/>
        <v>0</v>
      </c>
      <c r="T152" s="242" t="s">
        <v>1890</v>
      </c>
      <c r="U152" s="234"/>
    </row>
    <row r="153" spans="3:21" s="144" customFormat="1" ht="19.5" customHeight="1">
      <c r="C153" s="147">
        <v>148</v>
      </c>
      <c r="D153" s="142" t="s">
        <v>1707</v>
      </c>
      <c r="E153" s="197" t="s">
        <v>1781</v>
      </c>
      <c r="F153" s="231" t="s">
        <v>3819</v>
      </c>
      <c r="G153" s="232" t="s">
        <v>1902</v>
      </c>
      <c r="H153" s="232" t="s">
        <v>1911</v>
      </c>
      <c r="I153" s="236" t="s">
        <v>1912</v>
      </c>
      <c r="J153" s="247"/>
      <c r="K153" s="138" t="s">
        <v>1170</v>
      </c>
      <c r="L153" s="189">
        <f t="shared" si="9"/>
        <v>5.2</v>
      </c>
      <c r="M153" s="140">
        <f t="shared" si="7"/>
        <v>1</v>
      </c>
      <c r="N153" s="141">
        <f t="shared" si="8"/>
        <v>5.2</v>
      </c>
      <c r="O153" s="140" t="s">
        <v>1156</v>
      </c>
      <c r="P153" s="143" t="s">
        <v>1780</v>
      </c>
      <c r="R153" s="177"/>
      <c r="S153" s="238" t="b">
        <f t="shared" si="10"/>
        <v>0</v>
      </c>
      <c r="T153" s="242" t="s">
        <v>1890</v>
      </c>
      <c r="U153" s="234"/>
    </row>
    <row r="154" spans="3:21" s="144" customFormat="1" ht="19.5" customHeight="1">
      <c r="C154" s="147">
        <v>149</v>
      </c>
      <c r="D154" s="142" t="s">
        <v>1707</v>
      </c>
      <c r="E154" s="197" t="s">
        <v>1781</v>
      </c>
      <c r="F154" s="231" t="s">
        <v>3820</v>
      </c>
      <c r="G154" s="232" t="s">
        <v>1902</v>
      </c>
      <c r="H154" s="232" t="s">
        <v>1911</v>
      </c>
      <c r="I154" s="236" t="s">
        <v>1913</v>
      </c>
      <c r="J154" s="247"/>
      <c r="K154" s="138" t="s">
        <v>1170</v>
      </c>
      <c r="L154" s="189">
        <f t="shared" si="9"/>
        <v>5.2</v>
      </c>
      <c r="M154" s="140">
        <f t="shared" si="7"/>
        <v>1</v>
      </c>
      <c r="N154" s="141">
        <f t="shared" si="8"/>
        <v>5.2</v>
      </c>
      <c r="O154" s="140" t="s">
        <v>1156</v>
      </c>
      <c r="P154" s="143" t="s">
        <v>1780</v>
      </c>
      <c r="R154" s="177"/>
      <c r="S154" s="238" t="b">
        <f t="shared" si="10"/>
        <v>0</v>
      </c>
      <c r="T154" s="242" t="s">
        <v>1890</v>
      </c>
      <c r="U154" s="234"/>
    </row>
    <row r="155" spans="3:21" s="144" customFormat="1" ht="19.5" customHeight="1">
      <c r="C155" s="147">
        <v>150</v>
      </c>
      <c r="D155" s="142" t="s">
        <v>1707</v>
      </c>
      <c r="E155" s="197" t="s">
        <v>1781</v>
      </c>
      <c r="F155" s="231" t="s">
        <v>3821</v>
      </c>
      <c r="G155" s="232" t="s">
        <v>1902</v>
      </c>
      <c r="H155" s="232" t="s">
        <v>1914</v>
      </c>
      <c r="I155" s="236" t="s">
        <v>1915</v>
      </c>
      <c r="J155" s="247"/>
      <c r="K155" s="138" t="s">
        <v>1170</v>
      </c>
      <c r="L155" s="189">
        <f t="shared" si="9"/>
        <v>5.2</v>
      </c>
      <c r="M155" s="140">
        <f t="shared" si="7"/>
        <v>1</v>
      </c>
      <c r="N155" s="141">
        <f t="shared" si="8"/>
        <v>5.2</v>
      </c>
      <c r="O155" s="140" t="s">
        <v>1156</v>
      </c>
      <c r="P155" s="143" t="s">
        <v>1780</v>
      </c>
      <c r="R155" s="177"/>
      <c r="S155" s="238" t="b">
        <f t="shared" si="10"/>
        <v>0</v>
      </c>
      <c r="T155" s="242" t="s">
        <v>1890</v>
      </c>
      <c r="U155" s="234"/>
    </row>
    <row r="156" spans="3:21" s="144" customFormat="1" ht="19.5" customHeight="1">
      <c r="C156" s="147">
        <v>151</v>
      </c>
      <c r="D156" s="142" t="s">
        <v>1707</v>
      </c>
      <c r="E156" s="197" t="s">
        <v>1781</v>
      </c>
      <c r="F156" s="231" t="s">
        <v>3822</v>
      </c>
      <c r="G156" s="232" t="s">
        <v>1902</v>
      </c>
      <c r="H156" s="232" t="s">
        <v>1914</v>
      </c>
      <c r="I156" s="236" t="s">
        <v>1916</v>
      </c>
      <c r="J156" s="247"/>
      <c r="K156" s="138" t="s">
        <v>1170</v>
      </c>
      <c r="L156" s="189">
        <f t="shared" si="9"/>
        <v>5.2</v>
      </c>
      <c r="M156" s="140">
        <f t="shared" si="7"/>
        <v>1</v>
      </c>
      <c r="N156" s="141">
        <f t="shared" si="8"/>
        <v>5.2</v>
      </c>
      <c r="O156" s="140" t="s">
        <v>1156</v>
      </c>
      <c r="P156" s="143" t="s">
        <v>1780</v>
      </c>
      <c r="R156" s="177"/>
      <c r="S156" s="238" t="b">
        <f t="shared" si="10"/>
        <v>0</v>
      </c>
      <c r="T156" s="242" t="s">
        <v>1890</v>
      </c>
      <c r="U156" s="234"/>
    </row>
    <row r="157" spans="3:21" s="144" customFormat="1" ht="19.5" customHeight="1">
      <c r="C157" s="147">
        <v>152</v>
      </c>
      <c r="D157" s="142" t="s">
        <v>1707</v>
      </c>
      <c r="E157" s="197" t="s">
        <v>1781</v>
      </c>
      <c r="F157" s="231" t="s">
        <v>3823</v>
      </c>
      <c r="G157" s="232" t="s">
        <v>1902</v>
      </c>
      <c r="H157" s="232" t="s">
        <v>1917</v>
      </c>
      <c r="I157" s="236" t="s">
        <v>1918</v>
      </c>
      <c r="J157" s="237"/>
      <c r="K157" s="138" t="s">
        <v>1170</v>
      </c>
      <c r="L157" s="189">
        <f t="shared" si="9"/>
        <v>5.2</v>
      </c>
      <c r="M157" s="140">
        <f t="shared" si="7"/>
        <v>1</v>
      </c>
      <c r="N157" s="141">
        <f t="shared" si="8"/>
        <v>5.2</v>
      </c>
      <c r="O157" s="140" t="s">
        <v>1156</v>
      </c>
      <c r="P157" s="143" t="s">
        <v>1780</v>
      </c>
      <c r="R157" s="177"/>
      <c r="S157" s="238" t="b">
        <f t="shared" si="10"/>
        <v>0</v>
      </c>
      <c r="T157" s="242" t="s">
        <v>1890</v>
      </c>
      <c r="U157" s="234"/>
    </row>
    <row r="158" spans="3:21" s="144" customFormat="1" ht="19.5" customHeight="1">
      <c r="C158" s="147">
        <v>153</v>
      </c>
      <c r="D158" s="142" t="s">
        <v>1707</v>
      </c>
      <c r="E158" s="197" t="s">
        <v>1781</v>
      </c>
      <c r="F158" s="231" t="s">
        <v>3824</v>
      </c>
      <c r="G158" s="232" t="s">
        <v>1902</v>
      </c>
      <c r="H158" s="232" t="s">
        <v>1919</v>
      </c>
      <c r="I158" s="236" t="s">
        <v>1920</v>
      </c>
      <c r="J158" s="237"/>
      <c r="K158" s="218" t="s">
        <v>1155</v>
      </c>
      <c r="L158" s="189">
        <f t="shared" si="9"/>
        <v>7.5</v>
      </c>
      <c r="M158" s="140">
        <f t="shared" si="7"/>
        <v>1</v>
      </c>
      <c r="N158" s="141">
        <f t="shared" si="8"/>
        <v>7.5</v>
      </c>
      <c r="O158" s="140" t="s">
        <v>1156</v>
      </c>
      <c r="P158" s="143" t="s">
        <v>1780</v>
      </c>
      <c r="R158" s="177"/>
      <c r="S158" s="233"/>
      <c r="T158" s="234"/>
      <c r="U158" s="234"/>
    </row>
    <row r="159" spans="3:21" s="144" customFormat="1" ht="19.5" customHeight="1">
      <c r="C159" s="147">
        <v>154</v>
      </c>
      <c r="D159" s="142" t="s">
        <v>1707</v>
      </c>
      <c r="E159" s="197" t="s">
        <v>1781</v>
      </c>
      <c r="F159" s="231" t="s">
        <v>3825</v>
      </c>
      <c r="G159" s="232" t="s">
        <v>1902</v>
      </c>
      <c r="H159" s="232" t="s">
        <v>1921</v>
      </c>
      <c r="I159" s="236" t="s">
        <v>1922</v>
      </c>
      <c r="J159" s="237"/>
      <c r="K159" s="138" t="s">
        <v>1170</v>
      </c>
      <c r="L159" s="189">
        <f t="shared" si="9"/>
        <v>5.2</v>
      </c>
      <c r="M159" s="140">
        <f t="shared" si="7"/>
        <v>1</v>
      </c>
      <c r="N159" s="141">
        <f t="shared" si="8"/>
        <v>5.2</v>
      </c>
      <c r="O159" s="140" t="s">
        <v>1156</v>
      </c>
      <c r="P159" s="143" t="s">
        <v>1780</v>
      </c>
      <c r="R159" s="177"/>
      <c r="S159" s="233"/>
      <c r="T159" s="234"/>
      <c r="U159" s="234"/>
    </row>
    <row r="160" spans="3:21" s="144" customFormat="1" ht="19.5" customHeight="1">
      <c r="C160" s="147">
        <v>155</v>
      </c>
      <c r="D160" s="142" t="s">
        <v>1707</v>
      </c>
      <c r="E160" s="197" t="s">
        <v>1781</v>
      </c>
      <c r="F160" s="231" t="s">
        <v>3826</v>
      </c>
      <c r="G160" s="232" t="s">
        <v>1902</v>
      </c>
      <c r="H160" s="232" t="s">
        <v>1921</v>
      </c>
      <c r="I160" s="236" t="s">
        <v>1923</v>
      </c>
      <c r="J160" s="237"/>
      <c r="K160" s="138" t="s">
        <v>1170</v>
      </c>
      <c r="L160" s="189">
        <f t="shared" si="9"/>
        <v>5.2</v>
      </c>
      <c r="M160" s="140">
        <f t="shared" si="7"/>
        <v>1</v>
      </c>
      <c r="N160" s="141">
        <f t="shared" si="8"/>
        <v>5.2</v>
      </c>
      <c r="O160" s="140" t="s">
        <v>1156</v>
      </c>
      <c r="P160" s="143" t="s">
        <v>1780</v>
      </c>
      <c r="R160" s="177"/>
      <c r="S160" s="233"/>
      <c r="T160" s="234"/>
      <c r="U160" s="234"/>
    </row>
    <row r="161" spans="3:21" s="144" customFormat="1" ht="19.5" customHeight="1">
      <c r="C161" s="147">
        <v>156</v>
      </c>
      <c r="D161" s="142" t="s">
        <v>1707</v>
      </c>
      <c r="E161" s="197" t="s">
        <v>1781</v>
      </c>
      <c r="F161" s="231" t="s">
        <v>3827</v>
      </c>
      <c r="G161" s="232" t="s">
        <v>1902</v>
      </c>
      <c r="H161" s="232" t="s">
        <v>1921</v>
      </c>
      <c r="I161" s="236" t="s">
        <v>1924</v>
      </c>
      <c r="J161" s="237"/>
      <c r="K161" s="138" t="s">
        <v>1170</v>
      </c>
      <c r="L161" s="189">
        <f t="shared" si="9"/>
        <v>5.2</v>
      </c>
      <c r="M161" s="140">
        <f t="shared" si="7"/>
        <v>1</v>
      </c>
      <c r="N161" s="141">
        <f t="shared" si="8"/>
        <v>5.2</v>
      </c>
      <c r="O161" s="140" t="s">
        <v>1156</v>
      </c>
      <c r="P161" s="143" t="s">
        <v>1780</v>
      </c>
      <c r="R161" s="177"/>
      <c r="S161" s="233"/>
      <c r="T161" s="234"/>
      <c r="U161" s="234"/>
    </row>
    <row r="162" spans="3:21" s="144" customFormat="1" ht="19.5" customHeight="1">
      <c r="C162" s="147">
        <v>157</v>
      </c>
      <c r="D162" s="142" t="s">
        <v>1707</v>
      </c>
      <c r="E162" s="197" t="s">
        <v>1781</v>
      </c>
      <c r="F162" s="231" t="s">
        <v>3828</v>
      </c>
      <c r="G162" s="232" t="s">
        <v>1925</v>
      </c>
      <c r="H162" s="232" t="s">
        <v>1926</v>
      </c>
      <c r="I162" s="236" t="s">
        <v>1927</v>
      </c>
      <c r="J162" s="237"/>
      <c r="K162" s="241" t="s">
        <v>1607</v>
      </c>
      <c r="L162" s="189">
        <f t="shared" si="9"/>
        <v>5.4</v>
      </c>
      <c r="M162" s="140">
        <f t="shared" si="7"/>
        <v>1</v>
      </c>
      <c r="N162" s="141">
        <f t="shared" si="8"/>
        <v>5.4</v>
      </c>
      <c r="O162" s="140" t="s">
        <v>1156</v>
      </c>
      <c r="P162" s="143" t="s">
        <v>1780</v>
      </c>
      <c r="R162" s="177"/>
      <c r="S162" s="233"/>
      <c r="T162" s="234"/>
      <c r="U162" s="234"/>
    </row>
    <row r="163" spans="3:21" s="144" customFormat="1" ht="19.5" customHeight="1">
      <c r="C163" s="147">
        <v>158</v>
      </c>
      <c r="D163" s="142" t="s">
        <v>1707</v>
      </c>
      <c r="E163" s="197" t="s">
        <v>1781</v>
      </c>
      <c r="F163" s="231" t="s">
        <v>3829</v>
      </c>
      <c r="G163" s="232" t="s">
        <v>1925</v>
      </c>
      <c r="H163" s="232" t="s">
        <v>1926</v>
      </c>
      <c r="I163" s="236" t="s">
        <v>1928</v>
      </c>
      <c r="J163" s="237"/>
      <c r="K163" s="218" t="s">
        <v>1155</v>
      </c>
      <c r="L163" s="189">
        <f t="shared" si="9"/>
        <v>7.5</v>
      </c>
      <c r="M163" s="140">
        <f t="shared" si="7"/>
        <v>1</v>
      </c>
      <c r="N163" s="141">
        <f t="shared" si="8"/>
        <v>7.5</v>
      </c>
      <c r="O163" s="140" t="s">
        <v>1156</v>
      </c>
      <c r="P163" s="143" t="s">
        <v>1780</v>
      </c>
      <c r="R163" s="177"/>
      <c r="S163" s="233"/>
      <c r="T163" s="234"/>
      <c r="U163" s="234"/>
    </row>
    <row r="164" spans="3:21" s="144" customFormat="1" ht="19.5" customHeight="1">
      <c r="C164" s="147">
        <v>159</v>
      </c>
      <c r="D164" s="142" t="s">
        <v>1707</v>
      </c>
      <c r="E164" s="197" t="s">
        <v>1781</v>
      </c>
      <c r="F164" s="231" t="s">
        <v>3830</v>
      </c>
      <c r="G164" s="232" t="s">
        <v>1925</v>
      </c>
      <c r="H164" s="232" t="s">
        <v>1926</v>
      </c>
      <c r="I164" s="236" t="s">
        <v>1929</v>
      </c>
      <c r="J164" s="237"/>
      <c r="K164" s="138" t="s">
        <v>1170</v>
      </c>
      <c r="L164" s="189">
        <f t="shared" si="9"/>
        <v>5.2</v>
      </c>
      <c r="M164" s="140">
        <f t="shared" si="7"/>
        <v>1</v>
      </c>
      <c r="N164" s="141">
        <f t="shared" si="8"/>
        <v>5.2</v>
      </c>
      <c r="O164" s="140" t="s">
        <v>1156</v>
      </c>
      <c r="P164" s="143" t="s">
        <v>1780</v>
      </c>
      <c r="R164" s="177"/>
      <c r="S164" s="233"/>
      <c r="T164" s="234"/>
      <c r="U164" s="234"/>
    </row>
    <row r="165" spans="3:21" s="144" customFormat="1" ht="19.5" customHeight="1">
      <c r="C165" s="147">
        <v>160</v>
      </c>
      <c r="D165" s="142" t="s">
        <v>1707</v>
      </c>
      <c r="E165" s="197" t="s">
        <v>1781</v>
      </c>
      <c r="F165" s="231" t="s">
        <v>3831</v>
      </c>
      <c r="G165" s="232" t="s">
        <v>1925</v>
      </c>
      <c r="H165" s="232" t="s">
        <v>1930</v>
      </c>
      <c r="I165" s="236" t="s">
        <v>1931</v>
      </c>
      <c r="J165" s="237"/>
      <c r="K165" s="138" t="s">
        <v>1170</v>
      </c>
      <c r="L165" s="189">
        <f t="shared" si="9"/>
        <v>5.2</v>
      </c>
      <c r="M165" s="140">
        <f t="shared" si="7"/>
        <v>1</v>
      </c>
      <c r="N165" s="141">
        <f t="shared" si="8"/>
        <v>5.2</v>
      </c>
      <c r="O165" s="140" t="s">
        <v>1156</v>
      </c>
      <c r="P165" s="143" t="s">
        <v>1780</v>
      </c>
      <c r="R165" s="177"/>
      <c r="S165" s="233"/>
      <c r="T165" s="234"/>
      <c r="U165" s="234"/>
    </row>
    <row r="166" spans="3:21" s="144" customFormat="1" ht="19.5" customHeight="1">
      <c r="C166" s="147">
        <v>161</v>
      </c>
      <c r="D166" s="142" t="s">
        <v>1707</v>
      </c>
      <c r="E166" s="197" t="s">
        <v>1781</v>
      </c>
      <c r="F166" s="231" t="s">
        <v>3832</v>
      </c>
      <c r="G166" s="232" t="s">
        <v>1925</v>
      </c>
      <c r="H166" s="232" t="s">
        <v>1932</v>
      </c>
      <c r="I166" s="236" t="s">
        <v>1933</v>
      </c>
      <c r="J166" s="237"/>
      <c r="K166" s="138" t="s">
        <v>1170</v>
      </c>
      <c r="L166" s="189">
        <f t="shared" si="9"/>
        <v>5.2</v>
      </c>
      <c r="M166" s="140">
        <f t="shared" si="7"/>
        <v>1</v>
      </c>
      <c r="N166" s="141">
        <f t="shared" si="8"/>
        <v>5.2</v>
      </c>
      <c r="O166" s="140" t="s">
        <v>1156</v>
      </c>
      <c r="P166" s="143" t="s">
        <v>1780</v>
      </c>
      <c r="R166" s="177"/>
      <c r="S166" s="233"/>
      <c r="T166" s="234"/>
      <c r="U166" s="234"/>
    </row>
    <row r="167" spans="3:21" s="144" customFormat="1" ht="19.5" customHeight="1">
      <c r="C167" s="147">
        <v>162</v>
      </c>
      <c r="D167" s="142" t="s">
        <v>1707</v>
      </c>
      <c r="E167" s="197" t="s">
        <v>1781</v>
      </c>
      <c r="F167" s="231" t="s">
        <v>3833</v>
      </c>
      <c r="G167" s="232" t="s">
        <v>1925</v>
      </c>
      <c r="H167" s="232" t="s">
        <v>1934</v>
      </c>
      <c r="I167" s="236" t="s">
        <v>1935</v>
      </c>
      <c r="J167" s="237"/>
      <c r="K167" s="218" t="s">
        <v>1160</v>
      </c>
      <c r="L167" s="189">
        <f t="shared" si="9"/>
        <v>3.9</v>
      </c>
      <c r="M167" s="140">
        <f t="shared" si="7"/>
        <v>1</v>
      </c>
      <c r="N167" s="141">
        <f t="shared" si="8"/>
        <v>3.9</v>
      </c>
      <c r="O167" s="140" t="s">
        <v>1156</v>
      </c>
      <c r="P167" s="143" t="s">
        <v>1780</v>
      </c>
      <c r="R167" s="177"/>
      <c r="S167" s="233"/>
      <c r="T167" s="234"/>
      <c r="U167" s="234"/>
    </row>
    <row r="168" spans="3:21" s="144" customFormat="1" ht="19.5" customHeight="1">
      <c r="C168" s="147">
        <v>163</v>
      </c>
      <c r="D168" s="142" t="s">
        <v>1707</v>
      </c>
      <c r="E168" s="197" t="s">
        <v>1781</v>
      </c>
      <c r="F168" s="231" t="s">
        <v>3834</v>
      </c>
      <c r="G168" s="232" t="s">
        <v>1925</v>
      </c>
      <c r="H168" s="232" t="s">
        <v>1934</v>
      </c>
      <c r="I168" s="236" t="s">
        <v>1936</v>
      </c>
      <c r="J168" s="237"/>
      <c r="K168" s="241" t="s">
        <v>1607</v>
      </c>
      <c r="L168" s="189">
        <f t="shared" si="9"/>
        <v>5.4</v>
      </c>
      <c r="M168" s="140">
        <f t="shared" si="7"/>
        <v>1</v>
      </c>
      <c r="N168" s="141">
        <f t="shared" si="8"/>
        <v>5.4</v>
      </c>
      <c r="O168" s="140" t="s">
        <v>1156</v>
      </c>
      <c r="P168" s="143" t="s">
        <v>1780</v>
      </c>
      <c r="R168" s="177"/>
      <c r="S168" s="233"/>
      <c r="T168" s="234"/>
      <c r="U168" s="234"/>
    </row>
    <row r="169" spans="3:21" s="144" customFormat="1" ht="19.5" customHeight="1">
      <c r="C169" s="147">
        <v>164</v>
      </c>
      <c r="D169" s="142" t="s">
        <v>1707</v>
      </c>
      <c r="E169" s="197" t="s">
        <v>1781</v>
      </c>
      <c r="F169" s="231" t="s">
        <v>3835</v>
      </c>
      <c r="G169" s="232" t="s">
        <v>1925</v>
      </c>
      <c r="H169" s="232" t="s">
        <v>1934</v>
      </c>
      <c r="I169" s="236" t="s">
        <v>1937</v>
      </c>
      <c r="J169" s="237"/>
      <c r="K169" s="241" t="s">
        <v>1607</v>
      </c>
      <c r="L169" s="189">
        <f t="shared" si="9"/>
        <v>5.4</v>
      </c>
      <c r="M169" s="140">
        <f t="shared" si="7"/>
        <v>1</v>
      </c>
      <c r="N169" s="141">
        <f t="shared" si="8"/>
        <v>5.4</v>
      </c>
      <c r="O169" s="140" t="s">
        <v>1156</v>
      </c>
      <c r="P169" s="143" t="s">
        <v>1780</v>
      </c>
      <c r="R169" s="177"/>
      <c r="S169" s="233"/>
      <c r="T169" s="234"/>
      <c r="U169" s="234"/>
    </row>
    <row r="170" spans="3:21" s="144" customFormat="1" ht="19.5" customHeight="1">
      <c r="C170" s="147">
        <v>165</v>
      </c>
      <c r="D170" s="142" t="s">
        <v>1707</v>
      </c>
      <c r="E170" s="197" t="s">
        <v>1781</v>
      </c>
      <c r="F170" s="231" t="s">
        <v>3836</v>
      </c>
      <c r="G170" s="232" t="s">
        <v>1925</v>
      </c>
      <c r="H170" s="232" t="s">
        <v>1934</v>
      </c>
      <c r="I170" s="236" t="s">
        <v>1938</v>
      </c>
      <c r="J170" s="237"/>
      <c r="K170" s="218" t="s">
        <v>1160</v>
      </c>
      <c r="L170" s="189">
        <f t="shared" si="9"/>
        <v>3.9</v>
      </c>
      <c r="M170" s="140">
        <f t="shared" si="7"/>
        <v>1</v>
      </c>
      <c r="N170" s="141">
        <f t="shared" si="8"/>
        <v>3.9</v>
      </c>
      <c r="O170" s="140" t="s">
        <v>1156</v>
      </c>
      <c r="P170" s="143" t="s">
        <v>1780</v>
      </c>
      <c r="R170" s="177"/>
      <c r="S170" s="238" t="b">
        <f t="shared" ref="S170:S183" si="11">IF(O170="","",IF(O170="EI",4,IF(O170="EO",5.2,IF(O170="EQ",3.9,IF(O170="ILF",7.5,IF(O170="EIF",5.4))))))</f>
        <v>0</v>
      </c>
      <c r="T170" s="242" t="s">
        <v>1890</v>
      </c>
      <c r="U170" s="234" t="s">
        <v>1939</v>
      </c>
    </row>
    <row r="171" spans="3:21" s="144" customFormat="1" ht="19.5" customHeight="1">
      <c r="C171" s="147">
        <v>166</v>
      </c>
      <c r="D171" s="142" t="s">
        <v>1707</v>
      </c>
      <c r="E171" s="197" t="s">
        <v>1781</v>
      </c>
      <c r="F171" s="231" t="s">
        <v>3837</v>
      </c>
      <c r="G171" s="232" t="s">
        <v>1925</v>
      </c>
      <c r="H171" s="232" t="s">
        <v>1940</v>
      </c>
      <c r="I171" s="236" t="s">
        <v>1941</v>
      </c>
      <c r="J171" s="237"/>
      <c r="K171" s="241" t="s">
        <v>1607</v>
      </c>
      <c r="L171" s="189">
        <f t="shared" si="9"/>
        <v>5.4</v>
      </c>
      <c r="M171" s="140">
        <f t="shared" si="7"/>
        <v>1</v>
      </c>
      <c r="N171" s="141">
        <f t="shared" si="8"/>
        <v>5.4</v>
      </c>
      <c r="O171" s="140" t="s">
        <v>1156</v>
      </c>
      <c r="P171" s="143" t="s">
        <v>1780</v>
      </c>
      <c r="R171" s="177"/>
      <c r="S171" s="238" t="b">
        <f t="shared" si="11"/>
        <v>0</v>
      </c>
      <c r="T171" s="242" t="s">
        <v>1890</v>
      </c>
      <c r="U171" s="234"/>
    </row>
    <row r="172" spans="3:21" s="144" customFormat="1" ht="19.5" customHeight="1">
      <c r="C172" s="147">
        <v>167</v>
      </c>
      <c r="D172" s="142" t="s">
        <v>1707</v>
      </c>
      <c r="E172" s="197" t="s">
        <v>1781</v>
      </c>
      <c r="F172" s="231" t="s">
        <v>3838</v>
      </c>
      <c r="G172" s="232" t="s">
        <v>1925</v>
      </c>
      <c r="H172" s="232" t="s">
        <v>1940</v>
      </c>
      <c r="I172" s="236" t="s">
        <v>1942</v>
      </c>
      <c r="J172" s="237"/>
      <c r="K172" s="241" t="s">
        <v>1607</v>
      </c>
      <c r="L172" s="189">
        <f t="shared" si="9"/>
        <v>5.4</v>
      </c>
      <c r="M172" s="140">
        <f t="shared" si="7"/>
        <v>1</v>
      </c>
      <c r="N172" s="141">
        <f t="shared" si="8"/>
        <v>5.4</v>
      </c>
      <c r="O172" s="140" t="s">
        <v>1156</v>
      </c>
      <c r="P172" s="143" t="s">
        <v>1780</v>
      </c>
      <c r="R172" s="177"/>
      <c r="S172" s="238" t="b">
        <f t="shared" si="11"/>
        <v>0</v>
      </c>
      <c r="T172" s="242" t="s">
        <v>1890</v>
      </c>
      <c r="U172" s="234"/>
    </row>
    <row r="173" spans="3:21" s="144" customFormat="1" ht="19.5" customHeight="1">
      <c r="C173" s="147">
        <v>168</v>
      </c>
      <c r="D173" s="142" t="s">
        <v>1707</v>
      </c>
      <c r="E173" s="197" t="s">
        <v>1781</v>
      </c>
      <c r="F173" s="231" t="s">
        <v>3839</v>
      </c>
      <c r="G173" s="232" t="s">
        <v>1925</v>
      </c>
      <c r="H173" s="232" t="s">
        <v>1943</v>
      </c>
      <c r="I173" s="236" t="s">
        <v>1944</v>
      </c>
      <c r="J173" s="237"/>
      <c r="K173" s="241" t="s">
        <v>1607</v>
      </c>
      <c r="L173" s="189">
        <f t="shared" si="9"/>
        <v>5.4</v>
      </c>
      <c r="M173" s="140">
        <f t="shared" si="7"/>
        <v>1</v>
      </c>
      <c r="N173" s="141">
        <f t="shared" si="8"/>
        <v>5.4</v>
      </c>
      <c r="O173" s="140" t="s">
        <v>1156</v>
      </c>
      <c r="P173" s="143" t="s">
        <v>1780</v>
      </c>
      <c r="R173" s="177"/>
      <c r="S173" s="238" t="b">
        <f t="shared" si="11"/>
        <v>0</v>
      </c>
      <c r="T173" s="242" t="s">
        <v>1890</v>
      </c>
      <c r="U173" s="234"/>
    </row>
    <row r="174" spans="3:21" s="144" customFormat="1" ht="19.5" customHeight="1">
      <c r="C174" s="147">
        <v>169</v>
      </c>
      <c r="D174" s="142" t="s">
        <v>1707</v>
      </c>
      <c r="E174" s="197" t="s">
        <v>1781</v>
      </c>
      <c r="F174" s="231" t="s">
        <v>3840</v>
      </c>
      <c r="G174" s="232" t="s">
        <v>1925</v>
      </c>
      <c r="H174" s="232" t="s">
        <v>1943</v>
      </c>
      <c r="I174" s="236" t="s">
        <v>1945</v>
      </c>
      <c r="J174" s="237"/>
      <c r="K174" s="138" t="s">
        <v>1170</v>
      </c>
      <c r="L174" s="189">
        <f t="shared" si="9"/>
        <v>5.2</v>
      </c>
      <c r="M174" s="140">
        <f t="shared" si="7"/>
        <v>1</v>
      </c>
      <c r="N174" s="141">
        <f t="shared" si="8"/>
        <v>5.2</v>
      </c>
      <c r="O174" s="140" t="s">
        <v>1156</v>
      </c>
      <c r="P174" s="143" t="s">
        <v>1780</v>
      </c>
      <c r="R174" s="177"/>
      <c r="S174" s="238" t="b">
        <f t="shared" si="11"/>
        <v>0</v>
      </c>
      <c r="T174" s="242" t="s">
        <v>1890</v>
      </c>
      <c r="U174" s="234"/>
    </row>
    <row r="175" spans="3:21" s="144" customFormat="1" ht="19.5" customHeight="1">
      <c r="C175" s="147">
        <v>170</v>
      </c>
      <c r="D175" s="142" t="s">
        <v>1707</v>
      </c>
      <c r="E175" s="197" t="s">
        <v>1781</v>
      </c>
      <c r="F175" s="231" t="s">
        <v>3841</v>
      </c>
      <c r="G175" s="232" t="s">
        <v>1925</v>
      </c>
      <c r="H175" s="232" t="s">
        <v>1943</v>
      </c>
      <c r="I175" s="236" t="s">
        <v>1946</v>
      </c>
      <c r="J175" s="237"/>
      <c r="K175" s="138" t="s">
        <v>1170</v>
      </c>
      <c r="L175" s="189">
        <f t="shared" si="9"/>
        <v>5.2</v>
      </c>
      <c r="M175" s="140">
        <f t="shared" si="7"/>
        <v>1</v>
      </c>
      <c r="N175" s="141">
        <f t="shared" si="8"/>
        <v>5.2</v>
      </c>
      <c r="O175" s="140" t="s">
        <v>1156</v>
      </c>
      <c r="P175" s="143" t="s">
        <v>1780</v>
      </c>
      <c r="R175" s="177"/>
      <c r="S175" s="238" t="b">
        <f t="shared" si="11"/>
        <v>0</v>
      </c>
      <c r="T175" s="242" t="s">
        <v>1890</v>
      </c>
      <c r="U175" s="234"/>
    </row>
    <row r="176" spans="3:21" s="144" customFormat="1" ht="19.5" customHeight="1">
      <c r="C176" s="147">
        <v>171</v>
      </c>
      <c r="D176" s="142" t="s">
        <v>1707</v>
      </c>
      <c r="E176" s="197" t="s">
        <v>1781</v>
      </c>
      <c r="F176" s="231" t="s">
        <v>3842</v>
      </c>
      <c r="G176" s="232" t="s">
        <v>1925</v>
      </c>
      <c r="H176" s="232" t="s">
        <v>1943</v>
      </c>
      <c r="I176" s="236" t="s">
        <v>1947</v>
      </c>
      <c r="J176" s="237"/>
      <c r="K176" s="241" t="s">
        <v>1607</v>
      </c>
      <c r="L176" s="189">
        <f t="shared" si="9"/>
        <v>5.4</v>
      </c>
      <c r="M176" s="140">
        <f t="shared" si="7"/>
        <v>1</v>
      </c>
      <c r="N176" s="141">
        <f t="shared" si="8"/>
        <v>5.4</v>
      </c>
      <c r="O176" s="140" t="s">
        <v>1156</v>
      </c>
      <c r="P176" s="143" t="s">
        <v>1780</v>
      </c>
      <c r="R176" s="177"/>
      <c r="S176" s="238" t="b">
        <f t="shared" si="11"/>
        <v>0</v>
      </c>
      <c r="T176" s="242" t="s">
        <v>1890</v>
      </c>
      <c r="U176" s="234"/>
    </row>
    <row r="177" spans="3:21" s="144" customFormat="1" ht="19.5" customHeight="1">
      <c r="C177" s="147">
        <v>172</v>
      </c>
      <c r="D177" s="142" t="s">
        <v>1707</v>
      </c>
      <c r="E177" s="197" t="s">
        <v>1781</v>
      </c>
      <c r="F177" s="231" t="s">
        <v>3843</v>
      </c>
      <c r="G177" s="232" t="s">
        <v>1925</v>
      </c>
      <c r="H177" s="232" t="s">
        <v>1943</v>
      </c>
      <c r="I177" s="236" t="s">
        <v>1948</v>
      </c>
      <c r="J177" s="237"/>
      <c r="K177" s="241" t="s">
        <v>1607</v>
      </c>
      <c r="L177" s="189">
        <f t="shared" si="9"/>
        <v>5.4</v>
      </c>
      <c r="M177" s="140">
        <f t="shared" si="7"/>
        <v>1</v>
      </c>
      <c r="N177" s="141">
        <f t="shared" si="8"/>
        <v>5.4</v>
      </c>
      <c r="O177" s="140" t="s">
        <v>1156</v>
      </c>
      <c r="P177" s="143" t="s">
        <v>1780</v>
      </c>
      <c r="R177" s="177"/>
      <c r="S177" s="238" t="b">
        <f t="shared" si="11"/>
        <v>0</v>
      </c>
      <c r="T177" s="242" t="s">
        <v>1890</v>
      </c>
      <c r="U177" s="234"/>
    </row>
    <row r="178" spans="3:21" s="144" customFormat="1" ht="19.5" customHeight="1">
      <c r="C178" s="147">
        <v>173</v>
      </c>
      <c r="D178" s="142" t="s">
        <v>1707</v>
      </c>
      <c r="E178" s="197" t="s">
        <v>1781</v>
      </c>
      <c r="F178" s="231" t="s">
        <v>3844</v>
      </c>
      <c r="G178" s="232" t="s">
        <v>1925</v>
      </c>
      <c r="H178" s="232" t="s">
        <v>1943</v>
      </c>
      <c r="I178" s="236" t="s">
        <v>1949</v>
      </c>
      <c r="J178" s="237"/>
      <c r="K178" s="241" t="s">
        <v>1155</v>
      </c>
      <c r="L178" s="189">
        <f t="shared" si="9"/>
        <v>7.5</v>
      </c>
      <c r="M178" s="140">
        <f t="shared" si="7"/>
        <v>1</v>
      </c>
      <c r="N178" s="141">
        <f t="shared" si="8"/>
        <v>7.5</v>
      </c>
      <c r="O178" s="140" t="s">
        <v>1156</v>
      </c>
      <c r="P178" s="143" t="s">
        <v>1780</v>
      </c>
      <c r="R178" s="177"/>
      <c r="S178" s="238" t="b">
        <f t="shared" si="11"/>
        <v>0</v>
      </c>
      <c r="T178" s="242" t="s">
        <v>1890</v>
      </c>
      <c r="U178" s="234"/>
    </row>
    <row r="179" spans="3:21" s="144" customFormat="1" ht="19.5" customHeight="1">
      <c r="C179" s="147">
        <v>174</v>
      </c>
      <c r="D179" s="142" t="s">
        <v>1707</v>
      </c>
      <c r="E179" s="197" t="s">
        <v>1781</v>
      </c>
      <c r="F179" s="231" t="s">
        <v>3845</v>
      </c>
      <c r="G179" s="232" t="s">
        <v>1925</v>
      </c>
      <c r="H179" s="232" t="s">
        <v>1943</v>
      </c>
      <c r="I179" s="236" t="s">
        <v>1950</v>
      </c>
      <c r="J179" s="237"/>
      <c r="K179" s="241" t="s">
        <v>1155</v>
      </c>
      <c r="L179" s="189">
        <f t="shared" si="9"/>
        <v>7.5</v>
      </c>
      <c r="M179" s="140">
        <f t="shared" si="7"/>
        <v>1</v>
      </c>
      <c r="N179" s="141">
        <f t="shared" si="8"/>
        <v>7.5</v>
      </c>
      <c r="O179" s="140" t="s">
        <v>1156</v>
      </c>
      <c r="P179" s="143" t="s">
        <v>1780</v>
      </c>
      <c r="R179" s="177"/>
      <c r="S179" s="238" t="b">
        <f t="shared" si="11"/>
        <v>0</v>
      </c>
      <c r="T179" s="242" t="s">
        <v>1890</v>
      </c>
      <c r="U179" s="234"/>
    </row>
    <row r="180" spans="3:21" s="144" customFormat="1" ht="19.5" customHeight="1">
      <c r="C180" s="147">
        <v>175</v>
      </c>
      <c r="D180" s="142" t="s">
        <v>1707</v>
      </c>
      <c r="E180" s="197" t="s">
        <v>1781</v>
      </c>
      <c r="F180" s="231" t="s">
        <v>3846</v>
      </c>
      <c r="G180" s="232" t="s">
        <v>1951</v>
      </c>
      <c r="H180" s="232" t="s">
        <v>1903</v>
      </c>
      <c r="I180" s="236" t="s">
        <v>1952</v>
      </c>
      <c r="J180" s="237"/>
      <c r="K180" s="241" t="s">
        <v>1607</v>
      </c>
      <c r="L180" s="189">
        <f t="shared" si="9"/>
        <v>5.4</v>
      </c>
      <c r="M180" s="140">
        <f t="shared" si="7"/>
        <v>1</v>
      </c>
      <c r="N180" s="141">
        <f t="shared" si="8"/>
        <v>5.4</v>
      </c>
      <c r="O180" s="140" t="s">
        <v>1156</v>
      </c>
      <c r="P180" s="143" t="s">
        <v>1780</v>
      </c>
      <c r="R180" s="177"/>
      <c r="S180" s="238" t="b">
        <f t="shared" si="11"/>
        <v>0</v>
      </c>
      <c r="T180" s="242" t="s">
        <v>1890</v>
      </c>
      <c r="U180" s="234"/>
    </row>
    <row r="181" spans="3:21" s="144" customFormat="1" ht="19.5" customHeight="1">
      <c r="C181" s="147">
        <v>176</v>
      </c>
      <c r="D181" s="142" t="s">
        <v>1707</v>
      </c>
      <c r="E181" s="197" t="s">
        <v>1781</v>
      </c>
      <c r="F181" s="231" t="s">
        <v>3847</v>
      </c>
      <c r="G181" s="232" t="s">
        <v>1951</v>
      </c>
      <c r="H181" s="232" t="s">
        <v>1953</v>
      </c>
      <c r="I181" s="236" t="s">
        <v>1954</v>
      </c>
      <c r="J181" s="248"/>
      <c r="K181" s="249" t="s">
        <v>1170</v>
      </c>
      <c r="L181" s="189">
        <f t="shared" si="9"/>
        <v>5.2</v>
      </c>
      <c r="M181" s="140">
        <f t="shared" si="7"/>
        <v>1</v>
      </c>
      <c r="N181" s="141">
        <f t="shared" si="8"/>
        <v>5.2</v>
      </c>
      <c r="O181" s="140" t="s">
        <v>1156</v>
      </c>
      <c r="P181" s="143" t="s">
        <v>1780</v>
      </c>
      <c r="R181" s="177"/>
      <c r="S181" s="238" t="b">
        <f t="shared" si="11"/>
        <v>0</v>
      </c>
      <c r="T181" s="242" t="s">
        <v>1890</v>
      </c>
      <c r="U181" s="234"/>
    </row>
    <row r="182" spans="3:21" s="144" customFormat="1" ht="19.5" customHeight="1">
      <c r="C182" s="147">
        <v>177</v>
      </c>
      <c r="D182" s="142" t="s">
        <v>1707</v>
      </c>
      <c r="E182" s="197" t="s">
        <v>1781</v>
      </c>
      <c r="F182" s="231" t="s">
        <v>3848</v>
      </c>
      <c r="G182" s="232" t="s">
        <v>1951</v>
      </c>
      <c r="H182" s="232" t="s">
        <v>1905</v>
      </c>
      <c r="I182" s="236" t="s">
        <v>1955</v>
      </c>
      <c r="J182" s="237"/>
      <c r="K182" s="218" t="s">
        <v>1163</v>
      </c>
      <c r="L182" s="189">
        <f t="shared" si="9"/>
        <v>4</v>
      </c>
      <c r="M182" s="140">
        <f t="shared" si="7"/>
        <v>1</v>
      </c>
      <c r="N182" s="141">
        <f t="shared" si="8"/>
        <v>4</v>
      </c>
      <c r="O182" s="140" t="s">
        <v>1156</v>
      </c>
      <c r="P182" s="143" t="s">
        <v>1780</v>
      </c>
      <c r="R182" s="177"/>
      <c r="S182" s="238" t="b">
        <f t="shared" si="11"/>
        <v>0</v>
      </c>
      <c r="T182" s="242" t="s">
        <v>1890</v>
      </c>
      <c r="U182" s="234"/>
    </row>
    <row r="183" spans="3:21" s="144" customFormat="1" ht="19.5" customHeight="1">
      <c r="C183" s="147">
        <v>178</v>
      </c>
      <c r="D183" s="142" t="s">
        <v>1707</v>
      </c>
      <c r="E183" s="197" t="s">
        <v>1781</v>
      </c>
      <c r="F183" s="231" t="s">
        <v>3849</v>
      </c>
      <c r="G183" s="232" t="s">
        <v>1951</v>
      </c>
      <c r="H183" s="232" t="s">
        <v>1905</v>
      </c>
      <c r="I183" s="236" t="s">
        <v>1956</v>
      </c>
      <c r="J183" s="237"/>
      <c r="K183" s="218" t="s">
        <v>1163</v>
      </c>
      <c r="L183" s="189">
        <f t="shared" si="9"/>
        <v>4</v>
      </c>
      <c r="M183" s="140">
        <f t="shared" si="7"/>
        <v>1</v>
      </c>
      <c r="N183" s="141">
        <f t="shared" si="8"/>
        <v>4</v>
      </c>
      <c r="O183" s="140" t="s">
        <v>1156</v>
      </c>
      <c r="P183" s="143" t="s">
        <v>1780</v>
      </c>
      <c r="R183" s="177"/>
      <c r="S183" s="238" t="b">
        <f t="shared" si="11"/>
        <v>0</v>
      </c>
      <c r="T183" s="242" t="s">
        <v>1890</v>
      </c>
      <c r="U183" s="234"/>
    </row>
    <row r="184" spans="3:21" s="144" customFormat="1" ht="19.5" customHeight="1">
      <c r="C184" s="147">
        <v>179</v>
      </c>
      <c r="D184" s="142" t="s">
        <v>1707</v>
      </c>
      <c r="E184" s="197" t="s">
        <v>1781</v>
      </c>
      <c r="F184" s="231" t="s">
        <v>3850</v>
      </c>
      <c r="G184" s="232" t="s">
        <v>1951</v>
      </c>
      <c r="H184" s="232" t="s">
        <v>1905</v>
      </c>
      <c r="I184" s="236" t="s">
        <v>1957</v>
      </c>
      <c r="J184" s="237"/>
      <c r="K184" s="218" t="s">
        <v>1163</v>
      </c>
      <c r="L184" s="189">
        <f t="shared" si="9"/>
        <v>4</v>
      </c>
      <c r="M184" s="140">
        <f t="shared" si="7"/>
        <v>1</v>
      </c>
      <c r="N184" s="141">
        <f t="shared" si="8"/>
        <v>4</v>
      </c>
      <c r="O184" s="140" t="s">
        <v>1156</v>
      </c>
      <c r="P184" s="143" t="s">
        <v>1780</v>
      </c>
      <c r="R184" s="177"/>
      <c r="S184" s="233"/>
      <c r="T184" s="234"/>
      <c r="U184" s="234"/>
    </row>
    <row r="185" spans="3:21" s="144" customFormat="1" ht="19.5" customHeight="1">
      <c r="C185" s="147">
        <v>180</v>
      </c>
      <c r="D185" s="142" t="s">
        <v>1707</v>
      </c>
      <c r="E185" s="197" t="s">
        <v>1781</v>
      </c>
      <c r="F185" s="231" t="s">
        <v>3851</v>
      </c>
      <c r="G185" s="232" t="s">
        <v>1951</v>
      </c>
      <c r="H185" s="232" t="s">
        <v>1905</v>
      </c>
      <c r="I185" s="236" t="s">
        <v>1958</v>
      </c>
      <c r="J185" s="237"/>
      <c r="K185" s="218" t="s">
        <v>1163</v>
      </c>
      <c r="L185" s="189">
        <f t="shared" si="9"/>
        <v>4</v>
      </c>
      <c r="M185" s="140">
        <f t="shared" si="7"/>
        <v>1</v>
      </c>
      <c r="N185" s="141">
        <f t="shared" si="8"/>
        <v>4</v>
      </c>
      <c r="O185" s="140" t="s">
        <v>1156</v>
      </c>
      <c r="P185" s="143" t="s">
        <v>1780</v>
      </c>
      <c r="R185" s="177"/>
      <c r="S185" s="233"/>
      <c r="T185" s="234"/>
      <c r="U185" s="234"/>
    </row>
    <row r="186" spans="3:21" s="144" customFormat="1" ht="19.5" customHeight="1">
      <c r="C186" s="147">
        <v>181</v>
      </c>
      <c r="D186" s="142" t="s">
        <v>1707</v>
      </c>
      <c r="E186" s="197" t="s">
        <v>1781</v>
      </c>
      <c r="F186" s="231" t="s">
        <v>3852</v>
      </c>
      <c r="G186" s="232" t="s">
        <v>1951</v>
      </c>
      <c r="H186" s="232" t="s">
        <v>1905</v>
      </c>
      <c r="I186" s="236" t="s">
        <v>1959</v>
      </c>
      <c r="J186" s="237"/>
      <c r="K186" s="241" t="s">
        <v>1607</v>
      </c>
      <c r="L186" s="189">
        <f t="shared" si="9"/>
        <v>5.4</v>
      </c>
      <c r="M186" s="140">
        <f t="shared" si="7"/>
        <v>1</v>
      </c>
      <c r="N186" s="141">
        <f t="shared" si="8"/>
        <v>5.4</v>
      </c>
      <c r="O186" s="140" t="s">
        <v>1156</v>
      </c>
      <c r="P186" s="143" t="s">
        <v>1780</v>
      </c>
      <c r="R186" s="177"/>
      <c r="S186" s="233"/>
      <c r="T186" s="234"/>
      <c r="U186" s="234"/>
    </row>
    <row r="187" spans="3:21" s="144" customFormat="1" ht="19.5" customHeight="1">
      <c r="C187" s="147">
        <v>182</v>
      </c>
      <c r="D187" s="142" t="s">
        <v>1707</v>
      </c>
      <c r="E187" s="197" t="s">
        <v>1781</v>
      </c>
      <c r="F187" s="231" t="s">
        <v>3853</v>
      </c>
      <c r="G187" s="232" t="s">
        <v>1951</v>
      </c>
      <c r="H187" s="232" t="s">
        <v>1905</v>
      </c>
      <c r="I187" s="236" t="s">
        <v>1960</v>
      </c>
      <c r="J187" s="237"/>
      <c r="K187" s="218" t="s">
        <v>1163</v>
      </c>
      <c r="L187" s="189">
        <f t="shared" si="9"/>
        <v>4</v>
      </c>
      <c r="M187" s="140">
        <f t="shared" si="7"/>
        <v>1</v>
      </c>
      <c r="N187" s="141">
        <f t="shared" si="8"/>
        <v>4</v>
      </c>
      <c r="O187" s="140" t="s">
        <v>1156</v>
      </c>
      <c r="P187" s="143" t="s">
        <v>1780</v>
      </c>
      <c r="R187" s="177"/>
      <c r="S187" s="233"/>
      <c r="T187" s="234"/>
      <c r="U187" s="234"/>
    </row>
    <row r="188" spans="3:21" s="144" customFormat="1" ht="19.5" customHeight="1">
      <c r="C188" s="147">
        <v>183</v>
      </c>
      <c r="D188" s="142" t="s">
        <v>1707</v>
      </c>
      <c r="E188" s="197" t="s">
        <v>1781</v>
      </c>
      <c r="F188" s="231" t="s">
        <v>3854</v>
      </c>
      <c r="G188" s="232" t="s">
        <v>1951</v>
      </c>
      <c r="H188" s="232" t="s">
        <v>1961</v>
      </c>
      <c r="I188" s="236" t="s">
        <v>1962</v>
      </c>
      <c r="J188" s="237"/>
      <c r="K188" s="241" t="s">
        <v>1607</v>
      </c>
      <c r="L188" s="189">
        <f t="shared" si="9"/>
        <v>5.4</v>
      </c>
      <c r="M188" s="140">
        <f t="shared" si="7"/>
        <v>1</v>
      </c>
      <c r="N188" s="141">
        <f t="shared" si="8"/>
        <v>5.4</v>
      </c>
      <c r="O188" s="140" t="s">
        <v>1156</v>
      </c>
      <c r="P188" s="143" t="s">
        <v>1780</v>
      </c>
      <c r="R188" s="177"/>
      <c r="S188" s="233"/>
      <c r="T188" s="234"/>
      <c r="U188" s="234"/>
    </row>
    <row r="189" spans="3:21" s="144" customFormat="1" ht="19.5" customHeight="1">
      <c r="C189" s="147">
        <v>184</v>
      </c>
      <c r="D189" s="142" t="s">
        <v>1707</v>
      </c>
      <c r="E189" s="197" t="s">
        <v>1781</v>
      </c>
      <c r="F189" s="231" t="s">
        <v>3855</v>
      </c>
      <c r="G189" s="232" t="s">
        <v>1951</v>
      </c>
      <c r="H189" s="232" t="s">
        <v>1963</v>
      </c>
      <c r="I189" s="236" t="s">
        <v>1964</v>
      </c>
      <c r="J189" s="237"/>
      <c r="K189" s="249" t="s">
        <v>1170</v>
      </c>
      <c r="L189" s="189">
        <f t="shared" si="9"/>
        <v>5.2</v>
      </c>
      <c r="M189" s="140">
        <f t="shared" si="7"/>
        <v>1</v>
      </c>
      <c r="N189" s="141">
        <f t="shared" si="8"/>
        <v>5.2</v>
      </c>
      <c r="O189" s="140" t="s">
        <v>1156</v>
      </c>
      <c r="P189" s="143" t="s">
        <v>1780</v>
      </c>
      <c r="R189" s="177"/>
      <c r="S189" s="233"/>
      <c r="T189" s="234"/>
      <c r="U189" s="234"/>
    </row>
    <row r="190" spans="3:21" s="144" customFormat="1" ht="19.5" customHeight="1">
      <c r="C190" s="147">
        <v>185</v>
      </c>
      <c r="D190" s="142" t="s">
        <v>1707</v>
      </c>
      <c r="E190" s="197" t="s">
        <v>1781</v>
      </c>
      <c r="F190" s="231" t="s">
        <v>3856</v>
      </c>
      <c r="G190" s="232" t="s">
        <v>1951</v>
      </c>
      <c r="H190" s="232" t="s">
        <v>1963</v>
      </c>
      <c r="I190" s="236" t="s">
        <v>1965</v>
      </c>
      <c r="J190" s="237"/>
      <c r="K190" s="218" t="s">
        <v>1966</v>
      </c>
      <c r="L190" s="189">
        <f t="shared" si="9"/>
        <v>7.5</v>
      </c>
      <c r="M190" s="140">
        <f t="shared" si="7"/>
        <v>1</v>
      </c>
      <c r="N190" s="141">
        <f t="shared" si="8"/>
        <v>7.5</v>
      </c>
      <c r="O190" s="140" t="s">
        <v>1156</v>
      </c>
      <c r="P190" s="143" t="s">
        <v>1780</v>
      </c>
      <c r="R190" s="177"/>
      <c r="S190" s="233"/>
      <c r="T190" s="234"/>
      <c r="U190" s="234"/>
    </row>
    <row r="191" spans="3:21" s="144" customFormat="1" ht="19.5" customHeight="1">
      <c r="C191" s="147">
        <v>186</v>
      </c>
      <c r="D191" s="142" t="s">
        <v>1707</v>
      </c>
      <c r="E191" s="197" t="s">
        <v>1967</v>
      </c>
      <c r="F191" s="231" t="s">
        <v>3857</v>
      </c>
      <c r="G191" s="232" t="s">
        <v>1968</v>
      </c>
      <c r="H191" s="221" t="s">
        <v>1969</v>
      </c>
      <c r="I191" s="222" t="s">
        <v>1970</v>
      </c>
      <c r="J191" s="137"/>
      <c r="K191" s="218" t="s">
        <v>1163</v>
      </c>
      <c r="L191" s="189">
        <f t="shared" si="9"/>
        <v>4</v>
      </c>
      <c r="M191" s="140">
        <f t="shared" si="7"/>
        <v>1</v>
      </c>
      <c r="N191" s="141">
        <f t="shared" si="8"/>
        <v>4</v>
      </c>
      <c r="O191" s="140" t="s">
        <v>1156</v>
      </c>
      <c r="P191" s="143" t="s">
        <v>1780</v>
      </c>
      <c r="R191" s="177"/>
      <c r="S191" s="233"/>
      <c r="T191" s="234"/>
      <c r="U191" s="234"/>
    </row>
    <row r="192" spans="3:21" s="144" customFormat="1" ht="19.5" customHeight="1">
      <c r="C192" s="147">
        <v>187</v>
      </c>
      <c r="D192" s="142" t="s">
        <v>1707</v>
      </c>
      <c r="E192" s="197" t="s">
        <v>1967</v>
      </c>
      <c r="F192" s="231" t="s">
        <v>3858</v>
      </c>
      <c r="G192" s="232" t="s">
        <v>1968</v>
      </c>
      <c r="H192" s="221" t="s">
        <v>1969</v>
      </c>
      <c r="I192" s="222" t="s">
        <v>1971</v>
      </c>
      <c r="J192" s="137"/>
      <c r="K192" s="218" t="s">
        <v>1163</v>
      </c>
      <c r="L192" s="189">
        <f t="shared" si="9"/>
        <v>4</v>
      </c>
      <c r="M192" s="140">
        <f t="shared" si="7"/>
        <v>1</v>
      </c>
      <c r="N192" s="141">
        <f t="shared" si="8"/>
        <v>4</v>
      </c>
      <c r="O192" s="140" t="s">
        <v>1156</v>
      </c>
      <c r="P192" s="143" t="s">
        <v>1780</v>
      </c>
      <c r="R192" s="177"/>
      <c r="S192" s="233"/>
      <c r="T192" s="234"/>
      <c r="U192" s="234"/>
    </row>
    <row r="193" spans="3:21" s="144" customFormat="1" ht="19.5" customHeight="1">
      <c r="C193" s="147">
        <v>188</v>
      </c>
      <c r="D193" s="142" t="s">
        <v>1707</v>
      </c>
      <c r="E193" s="197" t="s">
        <v>1967</v>
      </c>
      <c r="F193" s="231" t="s">
        <v>3859</v>
      </c>
      <c r="G193" s="232" t="s">
        <v>1968</v>
      </c>
      <c r="H193" s="221" t="s">
        <v>1969</v>
      </c>
      <c r="I193" s="222" t="s">
        <v>1972</v>
      </c>
      <c r="J193" s="137"/>
      <c r="K193" s="241" t="s">
        <v>1607</v>
      </c>
      <c r="L193" s="189">
        <f t="shared" si="9"/>
        <v>5.4</v>
      </c>
      <c r="M193" s="140">
        <f t="shared" si="7"/>
        <v>1</v>
      </c>
      <c r="N193" s="141">
        <f t="shared" si="8"/>
        <v>5.4</v>
      </c>
      <c r="O193" s="140" t="s">
        <v>1156</v>
      </c>
      <c r="P193" s="143" t="s">
        <v>1780</v>
      </c>
      <c r="R193" s="177"/>
      <c r="S193" s="233"/>
      <c r="T193" s="234"/>
      <c r="U193" s="234"/>
    </row>
    <row r="194" spans="3:21" s="144" customFormat="1" ht="19.5" customHeight="1">
      <c r="C194" s="147">
        <v>189</v>
      </c>
      <c r="D194" s="142" t="s">
        <v>1707</v>
      </c>
      <c r="E194" s="197" t="s">
        <v>1967</v>
      </c>
      <c r="F194" s="231" t="s">
        <v>3860</v>
      </c>
      <c r="G194" s="232" t="s">
        <v>1968</v>
      </c>
      <c r="H194" s="221" t="s">
        <v>1973</v>
      </c>
      <c r="I194" s="222" t="s">
        <v>1974</v>
      </c>
      <c r="J194" s="137"/>
      <c r="K194" s="241" t="s">
        <v>1607</v>
      </c>
      <c r="L194" s="189">
        <f t="shared" si="9"/>
        <v>5.4</v>
      </c>
      <c r="M194" s="140">
        <f t="shared" si="7"/>
        <v>1</v>
      </c>
      <c r="N194" s="141">
        <f t="shared" si="8"/>
        <v>5.4</v>
      </c>
      <c r="O194" s="140" t="s">
        <v>1156</v>
      </c>
      <c r="P194" s="143" t="s">
        <v>1780</v>
      </c>
      <c r="R194" s="177"/>
      <c r="S194" s="233"/>
      <c r="T194" s="234"/>
      <c r="U194" s="234"/>
    </row>
    <row r="195" spans="3:21" s="144" customFormat="1" ht="19.5" customHeight="1">
      <c r="C195" s="147">
        <v>190</v>
      </c>
      <c r="D195" s="142" t="s">
        <v>1707</v>
      </c>
      <c r="E195" s="197" t="s">
        <v>1967</v>
      </c>
      <c r="F195" s="231" t="s">
        <v>3861</v>
      </c>
      <c r="G195" s="232" t="s">
        <v>1968</v>
      </c>
      <c r="H195" s="221" t="s">
        <v>1973</v>
      </c>
      <c r="I195" s="222" t="s">
        <v>1975</v>
      </c>
      <c r="J195" s="137"/>
      <c r="K195" s="218" t="s">
        <v>1163</v>
      </c>
      <c r="L195" s="189">
        <f t="shared" si="9"/>
        <v>4</v>
      </c>
      <c r="M195" s="140">
        <f t="shared" si="7"/>
        <v>1</v>
      </c>
      <c r="N195" s="141">
        <f t="shared" si="8"/>
        <v>4</v>
      </c>
      <c r="O195" s="140" t="s">
        <v>1156</v>
      </c>
      <c r="P195" s="143" t="s">
        <v>1780</v>
      </c>
      <c r="R195" s="177"/>
      <c r="S195" s="233"/>
      <c r="T195" s="234"/>
      <c r="U195" s="234"/>
    </row>
    <row r="196" spans="3:21" s="144" customFormat="1" ht="19.5" customHeight="1">
      <c r="C196" s="147">
        <v>191</v>
      </c>
      <c r="D196" s="142" t="s">
        <v>1707</v>
      </c>
      <c r="E196" s="197" t="s">
        <v>1967</v>
      </c>
      <c r="F196" s="231" t="s">
        <v>3862</v>
      </c>
      <c r="G196" s="232" t="s">
        <v>1968</v>
      </c>
      <c r="H196" s="221" t="s">
        <v>1976</v>
      </c>
      <c r="I196" s="222" t="s">
        <v>1977</v>
      </c>
      <c r="J196" s="137"/>
      <c r="K196" s="249" t="s">
        <v>1170</v>
      </c>
      <c r="L196" s="189">
        <f t="shared" si="9"/>
        <v>5.2</v>
      </c>
      <c r="M196" s="140">
        <f t="shared" si="7"/>
        <v>1</v>
      </c>
      <c r="N196" s="141">
        <f t="shared" si="8"/>
        <v>5.2</v>
      </c>
      <c r="O196" s="140" t="s">
        <v>1156</v>
      </c>
      <c r="P196" s="143" t="s">
        <v>1780</v>
      </c>
      <c r="R196" s="177"/>
      <c r="S196" s="233"/>
      <c r="T196" s="234"/>
      <c r="U196" s="234"/>
    </row>
    <row r="197" spans="3:21" s="144" customFormat="1" ht="19.5" customHeight="1">
      <c r="C197" s="147">
        <v>192</v>
      </c>
      <c r="D197" s="142" t="s">
        <v>1707</v>
      </c>
      <c r="E197" s="197" t="s">
        <v>1967</v>
      </c>
      <c r="F197" s="231" t="s">
        <v>3863</v>
      </c>
      <c r="G197" s="232" t="s">
        <v>1968</v>
      </c>
      <c r="H197" s="221" t="s">
        <v>1976</v>
      </c>
      <c r="I197" s="222" t="s">
        <v>1978</v>
      </c>
      <c r="J197" s="137"/>
      <c r="K197" s="249" t="s">
        <v>1170</v>
      </c>
      <c r="L197" s="189">
        <f t="shared" si="9"/>
        <v>5.2</v>
      </c>
      <c r="M197" s="140">
        <f t="shared" si="7"/>
        <v>1</v>
      </c>
      <c r="N197" s="141">
        <f t="shared" si="8"/>
        <v>5.2</v>
      </c>
      <c r="O197" s="140" t="s">
        <v>1156</v>
      </c>
      <c r="P197" s="143" t="s">
        <v>1780</v>
      </c>
      <c r="R197" s="177"/>
      <c r="S197" s="233"/>
      <c r="T197" s="234"/>
      <c r="U197" s="234"/>
    </row>
    <row r="198" spans="3:21" s="144" customFormat="1" ht="19.5" customHeight="1">
      <c r="C198" s="147">
        <v>193</v>
      </c>
      <c r="D198" s="142" t="s">
        <v>1707</v>
      </c>
      <c r="E198" s="197" t="s">
        <v>1967</v>
      </c>
      <c r="F198" s="231" t="s">
        <v>3864</v>
      </c>
      <c r="G198" s="232" t="s">
        <v>1968</v>
      </c>
      <c r="H198" s="221" t="s">
        <v>1976</v>
      </c>
      <c r="I198" s="222" t="s">
        <v>1979</v>
      </c>
      <c r="J198" s="137"/>
      <c r="K198" s="241" t="s">
        <v>1607</v>
      </c>
      <c r="L198" s="189">
        <f t="shared" si="9"/>
        <v>5.4</v>
      </c>
      <c r="M198" s="140">
        <f t="shared" ref="M198:M261" si="12">IF(O198="","",IF(O198="신규",1,IF(O198="고도화",1.04,IF(O198="재사용",0.25))))</f>
        <v>1</v>
      </c>
      <c r="N198" s="141">
        <f t="shared" ref="N198:N261" si="13">L198*M198</f>
        <v>5.4</v>
      </c>
      <c r="O198" s="140" t="s">
        <v>1156</v>
      </c>
      <c r="P198" s="143" t="s">
        <v>1780</v>
      </c>
      <c r="R198" s="177"/>
      <c r="S198" s="233"/>
      <c r="T198" s="234"/>
      <c r="U198" s="234"/>
    </row>
    <row r="199" spans="3:21" s="144" customFormat="1" ht="19.5" customHeight="1">
      <c r="C199" s="147">
        <v>194</v>
      </c>
      <c r="D199" s="142" t="s">
        <v>1707</v>
      </c>
      <c r="E199" s="197" t="s">
        <v>1967</v>
      </c>
      <c r="F199" s="231" t="s">
        <v>3865</v>
      </c>
      <c r="G199" s="232" t="s">
        <v>1968</v>
      </c>
      <c r="H199" s="221" t="s">
        <v>1976</v>
      </c>
      <c r="I199" s="222" t="s">
        <v>1980</v>
      </c>
      <c r="J199" s="137"/>
      <c r="K199" s="249" t="s">
        <v>1170</v>
      </c>
      <c r="L199" s="189">
        <f t="shared" ref="L199:L262" si="14">IF(K199="","",IF(K199="EI",4,IF(K199="EO",5.2,IF(K199="EQ",3.9,IF(K199="ILF",7.5,IF(K199="EIF",5.4))))))</f>
        <v>5.2</v>
      </c>
      <c r="M199" s="140">
        <f t="shared" si="12"/>
        <v>1</v>
      </c>
      <c r="N199" s="141">
        <f t="shared" si="13"/>
        <v>5.2</v>
      </c>
      <c r="O199" s="140" t="s">
        <v>1156</v>
      </c>
      <c r="P199" s="143" t="s">
        <v>1780</v>
      </c>
      <c r="R199" s="177"/>
      <c r="S199" s="233"/>
      <c r="T199" s="234"/>
      <c r="U199" s="234"/>
    </row>
    <row r="200" spans="3:21" s="144" customFormat="1" ht="19.5" customHeight="1">
      <c r="C200" s="147">
        <v>195</v>
      </c>
      <c r="D200" s="142" t="s">
        <v>1707</v>
      </c>
      <c r="E200" s="197" t="s">
        <v>1967</v>
      </c>
      <c r="F200" s="231" t="s">
        <v>3866</v>
      </c>
      <c r="G200" s="232" t="s">
        <v>1968</v>
      </c>
      <c r="H200" s="221" t="s">
        <v>1981</v>
      </c>
      <c r="I200" s="222" t="s">
        <v>1982</v>
      </c>
      <c r="J200" s="137"/>
      <c r="K200" s="218" t="s">
        <v>1163</v>
      </c>
      <c r="L200" s="189">
        <f t="shared" si="14"/>
        <v>4</v>
      </c>
      <c r="M200" s="140">
        <f t="shared" si="12"/>
        <v>1</v>
      </c>
      <c r="N200" s="141">
        <f t="shared" si="13"/>
        <v>4</v>
      </c>
      <c r="O200" s="140" t="s">
        <v>1156</v>
      </c>
      <c r="P200" s="143" t="s">
        <v>1780</v>
      </c>
      <c r="R200" s="177"/>
      <c r="S200" s="233"/>
      <c r="T200" s="234"/>
      <c r="U200" s="234"/>
    </row>
    <row r="201" spans="3:21" s="144" customFormat="1" ht="19.5" customHeight="1">
      <c r="C201" s="147">
        <v>196</v>
      </c>
      <c r="D201" s="142" t="s">
        <v>1707</v>
      </c>
      <c r="E201" s="197" t="s">
        <v>1967</v>
      </c>
      <c r="F201" s="231" t="s">
        <v>3867</v>
      </c>
      <c r="G201" s="232" t="s">
        <v>1968</v>
      </c>
      <c r="H201" s="221" t="s">
        <v>1981</v>
      </c>
      <c r="I201" s="222" t="s">
        <v>1983</v>
      </c>
      <c r="J201" s="137"/>
      <c r="K201" s="218" t="s">
        <v>1163</v>
      </c>
      <c r="L201" s="189">
        <f t="shared" si="14"/>
        <v>4</v>
      </c>
      <c r="M201" s="140">
        <f t="shared" si="12"/>
        <v>1</v>
      </c>
      <c r="N201" s="141">
        <f t="shared" si="13"/>
        <v>4</v>
      </c>
      <c r="O201" s="140" t="s">
        <v>1156</v>
      </c>
      <c r="P201" s="143" t="s">
        <v>1780</v>
      </c>
      <c r="R201" s="177"/>
      <c r="S201" s="233"/>
      <c r="T201" s="234"/>
      <c r="U201" s="234"/>
    </row>
    <row r="202" spans="3:21" s="144" customFormat="1" ht="19.5" customHeight="1">
      <c r="C202" s="147">
        <v>197</v>
      </c>
      <c r="D202" s="142" t="s">
        <v>1707</v>
      </c>
      <c r="E202" s="197" t="s">
        <v>1967</v>
      </c>
      <c r="F202" s="231" t="s">
        <v>3868</v>
      </c>
      <c r="G202" s="232" t="s">
        <v>1968</v>
      </c>
      <c r="H202" s="221" t="s">
        <v>1981</v>
      </c>
      <c r="I202" s="222" t="s">
        <v>1984</v>
      </c>
      <c r="J202" s="137"/>
      <c r="K202" s="218" t="s">
        <v>1985</v>
      </c>
      <c r="L202" s="189">
        <f t="shared" si="14"/>
        <v>4</v>
      </c>
      <c r="M202" s="140">
        <f t="shared" si="12"/>
        <v>1</v>
      </c>
      <c r="N202" s="141">
        <f t="shared" si="13"/>
        <v>4</v>
      </c>
      <c r="O202" s="140" t="s">
        <v>1156</v>
      </c>
      <c r="P202" s="143" t="s">
        <v>1780</v>
      </c>
      <c r="R202" s="177"/>
      <c r="S202" s="233"/>
      <c r="T202" s="234"/>
      <c r="U202" s="234"/>
    </row>
    <row r="203" spans="3:21" s="144" customFormat="1" ht="19.5" customHeight="1">
      <c r="C203" s="147">
        <v>198</v>
      </c>
      <c r="D203" s="142" t="s">
        <v>1707</v>
      </c>
      <c r="E203" s="197" t="s">
        <v>1967</v>
      </c>
      <c r="F203" s="231" t="s">
        <v>3869</v>
      </c>
      <c r="G203" s="232" t="s">
        <v>1968</v>
      </c>
      <c r="H203" s="221" t="s">
        <v>1981</v>
      </c>
      <c r="I203" s="222" t="s">
        <v>1986</v>
      </c>
      <c r="J203" s="137"/>
      <c r="K203" s="249" t="s">
        <v>1607</v>
      </c>
      <c r="L203" s="189">
        <f t="shared" si="14"/>
        <v>5.4</v>
      </c>
      <c r="M203" s="140">
        <f t="shared" si="12"/>
        <v>1</v>
      </c>
      <c r="N203" s="141">
        <f t="shared" si="13"/>
        <v>5.4</v>
      </c>
      <c r="O203" s="140" t="s">
        <v>1156</v>
      </c>
      <c r="P203" s="143" t="s">
        <v>1780</v>
      </c>
      <c r="R203" s="177"/>
      <c r="S203" s="233"/>
      <c r="T203" s="234"/>
      <c r="U203" s="234"/>
    </row>
    <row r="204" spans="3:21" s="144" customFormat="1" ht="19.5" customHeight="1">
      <c r="C204" s="147">
        <v>199</v>
      </c>
      <c r="D204" s="142" t="s">
        <v>1707</v>
      </c>
      <c r="E204" s="197" t="s">
        <v>1967</v>
      </c>
      <c r="F204" s="231" t="s">
        <v>3870</v>
      </c>
      <c r="G204" s="232" t="s">
        <v>1968</v>
      </c>
      <c r="H204" s="221" t="s">
        <v>1981</v>
      </c>
      <c r="I204" s="222" t="s">
        <v>1987</v>
      </c>
      <c r="J204" s="137"/>
      <c r="K204" s="218" t="s">
        <v>1155</v>
      </c>
      <c r="L204" s="189">
        <f t="shared" si="14"/>
        <v>7.5</v>
      </c>
      <c r="M204" s="140">
        <f t="shared" si="12"/>
        <v>1</v>
      </c>
      <c r="N204" s="141">
        <f t="shared" si="13"/>
        <v>7.5</v>
      </c>
      <c r="O204" s="140" t="s">
        <v>1156</v>
      </c>
      <c r="P204" s="143" t="s">
        <v>1780</v>
      </c>
      <c r="R204" s="177"/>
      <c r="S204" s="233"/>
      <c r="T204" s="234"/>
      <c r="U204" s="234"/>
    </row>
    <row r="205" spans="3:21" s="144" customFormat="1" ht="19.5" customHeight="1">
      <c r="C205" s="147">
        <v>200</v>
      </c>
      <c r="D205" s="142" t="s">
        <v>1707</v>
      </c>
      <c r="E205" s="197" t="s">
        <v>1967</v>
      </c>
      <c r="F205" s="231" t="s">
        <v>3871</v>
      </c>
      <c r="G205" s="232" t="s">
        <v>1968</v>
      </c>
      <c r="H205" s="221" t="s">
        <v>1981</v>
      </c>
      <c r="I205" s="222" t="s">
        <v>1988</v>
      </c>
      <c r="J205" s="137"/>
      <c r="K205" s="249" t="s">
        <v>1170</v>
      </c>
      <c r="L205" s="189">
        <f t="shared" si="14"/>
        <v>5.2</v>
      </c>
      <c r="M205" s="140">
        <f t="shared" si="12"/>
        <v>1</v>
      </c>
      <c r="N205" s="141">
        <f t="shared" si="13"/>
        <v>5.2</v>
      </c>
      <c r="O205" s="140" t="s">
        <v>1156</v>
      </c>
      <c r="P205" s="143" t="s">
        <v>1780</v>
      </c>
      <c r="R205" s="177"/>
      <c r="S205" s="233"/>
      <c r="T205" s="234"/>
      <c r="U205" s="234"/>
    </row>
    <row r="206" spans="3:21" s="144" customFormat="1" ht="19.5" customHeight="1">
      <c r="C206" s="147">
        <v>201</v>
      </c>
      <c r="D206" s="142" t="s">
        <v>1707</v>
      </c>
      <c r="E206" s="197" t="s">
        <v>1967</v>
      </c>
      <c r="F206" s="231" t="s">
        <v>3872</v>
      </c>
      <c r="G206" s="232" t="s">
        <v>1968</v>
      </c>
      <c r="H206" s="221" t="s">
        <v>1989</v>
      </c>
      <c r="I206" s="222" t="s">
        <v>1990</v>
      </c>
      <c r="J206" s="137"/>
      <c r="K206" s="218" t="s">
        <v>1991</v>
      </c>
      <c r="L206" s="189">
        <f t="shared" si="14"/>
        <v>3.9</v>
      </c>
      <c r="M206" s="140">
        <f t="shared" si="12"/>
        <v>1</v>
      </c>
      <c r="N206" s="141">
        <f t="shared" si="13"/>
        <v>3.9</v>
      </c>
      <c r="O206" s="140" t="s">
        <v>1156</v>
      </c>
      <c r="P206" s="143" t="s">
        <v>1780</v>
      </c>
      <c r="R206" s="177"/>
      <c r="S206" s="233"/>
      <c r="T206" s="234"/>
      <c r="U206" s="234"/>
    </row>
    <row r="207" spans="3:21" s="144" customFormat="1" ht="19.5" customHeight="1">
      <c r="C207" s="147">
        <v>202</v>
      </c>
      <c r="D207" s="142" t="s">
        <v>1707</v>
      </c>
      <c r="E207" s="197" t="s">
        <v>1967</v>
      </c>
      <c r="F207" s="231" t="s">
        <v>3873</v>
      </c>
      <c r="G207" s="232" t="s">
        <v>1968</v>
      </c>
      <c r="H207" s="221" t="s">
        <v>1989</v>
      </c>
      <c r="I207" s="222" t="s">
        <v>1992</v>
      </c>
      <c r="J207" s="137"/>
      <c r="K207" s="241" t="s">
        <v>1607</v>
      </c>
      <c r="L207" s="189">
        <f t="shared" si="14"/>
        <v>5.4</v>
      </c>
      <c r="M207" s="140">
        <f t="shared" si="12"/>
        <v>1</v>
      </c>
      <c r="N207" s="141">
        <f t="shared" si="13"/>
        <v>5.4</v>
      </c>
      <c r="O207" s="140" t="s">
        <v>1156</v>
      </c>
      <c r="P207" s="143" t="s">
        <v>1780</v>
      </c>
      <c r="R207" s="177"/>
      <c r="S207" s="233"/>
      <c r="T207" s="234"/>
      <c r="U207" s="234"/>
    </row>
    <row r="208" spans="3:21" s="144" customFormat="1" ht="19.5" customHeight="1">
      <c r="C208" s="147">
        <v>203</v>
      </c>
      <c r="D208" s="142" t="s">
        <v>1707</v>
      </c>
      <c r="E208" s="197" t="s">
        <v>1967</v>
      </c>
      <c r="F208" s="231" t="s">
        <v>3874</v>
      </c>
      <c r="G208" s="232" t="s">
        <v>1968</v>
      </c>
      <c r="H208" s="221" t="s">
        <v>1989</v>
      </c>
      <c r="I208" s="222" t="s">
        <v>1993</v>
      </c>
      <c r="J208" s="137"/>
      <c r="K208" s="218" t="s">
        <v>1160</v>
      </c>
      <c r="L208" s="189">
        <f t="shared" si="14"/>
        <v>3.9</v>
      </c>
      <c r="M208" s="140">
        <f t="shared" si="12"/>
        <v>1</v>
      </c>
      <c r="N208" s="141">
        <f t="shared" si="13"/>
        <v>3.9</v>
      </c>
      <c r="O208" s="140" t="s">
        <v>1156</v>
      </c>
      <c r="P208" s="143" t="s">
        <v>1780</v>
      </c>
      <c r="R208" s="177"/>
      <c r="S208" s="233"/>
      <c r="T208" s="234"/>
      <c r="U208" s="234"/>
    </row>
    <row r="209" spans="3:21" s="144" customFormat="1" ht="19.5" customHeight="1">
      <c r="C209" s="147">
        <v>204</v>
      </c>
      <c r="D209" s="142" t="s">
        <v>1707</v>
      </c>
      <c r="E209" s="197" t="s">
        <v>1967</v>
      </c>
      <c r="F209" s="231" t="s">
        <v>3875</v>
      </c>
      <c r="G209" s="232" t="s">
        <v>1968</v>
      </c>
      <c r="H209" s="221" t="s">
        <v>1989</v>
      </c>
      <c r="I209" s="222" t="s">
        <v>1994</v>
      </c>
      <c r="J209" s="137"/>
      <c r="K209" s="218" t="s">
        <v>1163</v>
      </c>
      <c r="L209" s="189">
        <f t="shared" si="14"/>
        <v>4</v>
      </c>
      <c r="M209" s="140">
        <f t="shared" si="12"/>
        <v>1</v>
      </c>
      <c r="N209" s="141">
        <f t="shared" si="13"/>
        <v>4</v>
      </c>
      <c r="O209" s="140" t="s">
        <v>1156</v>
      </c>
      <c r="P209" s="143" t="s">
        <v>1780</v>
      </c>
      <c r="R209" s="177"/>
      <c r="S209" s="233"/>
      <c r="T209" s="234"/>
      <c r="U209" s="234"/>
    </row>
    <row r="210" spans="3:21" s="144" customFormat="1" ht="19.5" customHeight="1">
      <c r="C210" s="147">
        <v>205</v>
      </c>
      <c r="D210" s="142" t="s">
        <v>1707</v>
      </c>
      <c r="E210" s="197" t="s">
        <v>1967</v>
      </c>
      <c r="F210" s="231" t="s">
        <v>3876</v>
      </c>
      <c r="G210" s="232" t="s">
        <v>1968</v>
      </c>
      <c r="H210" s="221" t="s">
        <v>1995</v>
      </c>
      <c r="I210" s="222" t="s">
        <v>1996</v>
      </c>
      <c r="J210" s="137"/>
      <c r="K210" s="218" t="s">
        <v>1155</v>
      </c>
      <c r="L210" s="189">
        <f t="shared" si="14"/>
        <v>7.5</v>
      </c>
      <c r="M210" s="140">
        <f t="shared" si="12"/>
        <v>1</v>
      </c>
      <c r="N210" s="141">
        <f t="shared" si="13"/>
        <v>7.5</v>
      </c>
      <c r="O210" s="140" t="s">
        <v>1156</v>
      </c>
      <c r="P210" s="143" t="s">
        <v>1780</v>
      </c>
      <c r="R210" s="177"/>
      <c r="S210" s="233"/>
      <c r="T210" s="234"/>
      <c r="U210" s="234"/>
    </row>
    <row r="211" spans="3:21" s="144" customFormat="1" ht="19.5" customHeight="1">
      <c r="C211" s="147">
        <v>206</v>
      </c>
      <c r="D211" s="142" t="s">
        <v>1707</v>
      </c>
      <c r="E211" s="197" t="s">
        <v>1967</v>
      </c>
      <c r="F211" s="231" t="s">
        <v>3877</v>
      </c>
      <c r="G211" s="232" t="s">
        <v>1968</v>
      </c>
      <c r="H211" s="221" t="s">
        <v>1995</v>
      </c>
      <c r="I211" s="222" t="s">
        <v>1997</v>
      </c>
      <c r="J211" s="137"/>
      <c r="K211" s="218" t="s">
        <v>1155</v>
      </c>
      <c r="L211" s="189">
        <f t="shared" si="14"/>
        <v>7.5</v>
      </c>
      <c r="M211" s="140">
        <f t="shared" si="12"/>
        <v>1</v>
      </c>
      <c r="N211" s="141">
        <f t="shared" si="13"/>
        <v>7.5</v>
      </c>
      <c r="O211" s="140" t="s">
        <v>1156</v>
      </c>
      <c r="P211" s="143" t="s">
        <v>1780</v>
      </c>
      <c r="R211" s="177"/>
      <c r="S211" s="233"/>
      <c r="T211" s="234"/>
      <c r="U211" s="234"/>
    </row>
    <row r="212" spans="3:21" s="144" customFormat="1" ht="19.5" customHeight="1">
      <c r="C212" s="147">
        <v>207</v>
      </c>
      <c r="D212" s="142" t="s">
        <v>1707</v>
      </c>
      <c r="E212" s="197" t="s">
        <v>1967</v>
      </c>
      <c r="F212" s="231" t="s">
        <v>3878</v>
      </c>
      <c r="G212" s="232" t="s">
        <v>1968</v>
      </c>
      <c r="H212" s="221" t="s">
        <v>1995</v>
      </c>
      <c r="I212" s="222" t="s">
        <v>1998</v>
      </c>
      <c r="J212" s="137"/>
      <c r="K212" s="249" t="s">
        <v>1170</v>
      </c>
      <c r="L212" s="189">
        <f t="shared" si="14"/>
        <v>5.2</v>
      </c>
      <c r="M212" s="140">
        <f t="shared" si="12"/>
        <v>1</v>
      </c>
      <c r="N212" s="141">
        <f t="shared" si="13"/>
        <v>5.2</v>
      </c>
      <c r="O212" s="140" t="s">
        <v>1156</v>
      </c>
      <c r="P212" s="143" t="s">
        <v>1780</v>
      </c>
      <c r="R212" s="177"/>
      <c r="S212" s="233"/>
      <c r="T212" s="234"/>
      <c r="U212" s="234"/>
    </row>
    <row r="213" spans="3:21" s="144" customFormat="1" ht="19.5" customHeight="1">
      <c r="C213" s="147">
        <v>208</v>
      </c>
      <c r="D213" s="142" t="s">
        <v>1707</v>
      </c>
      <c r="E213" s="197" t="s">
        <v>1967</v>
      </c>
      <c r="F213" s="231" t="s">
        <v>3879</v>
      </c>
      <c r="G213" s="232" t="s">
        <v>1968</v>
      </c>
      <c r="H213" s="221" t="s">
        <v>1999</v>
      </c>
      <c r="I213" s="222" t="s">
        <v>2000</v>
      </c>
      <c r="J213" s="137"/>
      <c r="K213" s="218" t="s">
        <v>1985</v>
      </c>
      <c r="L213" s="189">
        <f t="shared" si="14"/>
        <v>4</v>
      </c>
      <c r="M213" s="140">
        <f t="shared" si="12"/>
        <v>1</v>
      </c>
      <c r="N213" s="141">
        <f t="shared" si="13"/>
        <v>4</v>
      </c>
      <c r="O213" s="140" t="s">
        <v>1156</v>
      </c>
      <c r="P213" s="143" t="s">
        <v>1780</v>
      </c>
      <c r="R213" s="177"/>
      <c r="S213" s="233"/>
      <c r="T213" s="234"/>
      <c r="U213" s="234"/>
    </row>
    <row r="214" spans="3:21" s="144" customFormat="1" ht="19.5" customHeight="1">
      <c r="C214" s="147">
        <v>209</v>
      </c>
      <c r="D214" s="142" t="s">
        <v>1707</v>
      </c>
      <c r="E214" s="197" t="s">
        <v>1967</v>
      </c>
      <c r="F214" s="231" t="s">
        <v>3880</v>
      </c>
      <c r="G214" s="232" t="s">
        <v>1968</v>
      </c>
      <c r="H214" s="221" t="s">
        <v>1999</v>
      </c>
      <c r="I214" s="222" t="s">
        <v>2001</v>
      </c>
      <c r="J214" s="137"/>
      <c r="K214" s="241" t="s">
        <v>1607</v>
      </c>
      <c r="L214" s="189">
        <f t="shared" si="14"/>
        <v>5.4</v>
      </c>
      <c r="M214" s="140">
        <f t="shared" si="12"/>
        <v>1</v>
      </c>
      <c r="N214" s="141">
        <f t="shared" si="13"/>
        <v>5.4</v>
      </c>
      <c r="O214" s="140" t="s">
        <v>1156</v>
      </c>
      <c r="P214" s="143" t="s">
        <v>1780</v>
      </c>
      <c r="R214" s="177"/>
      <c r="S214" s="233"/>
      <c r="T214" s="234"/>
      <c r="U214" s="234"/>
    </row>
    <row r="215" spans="3:21" s="144" customFormat="1" ht="19.5" customHeight="1">
      <c r="C215" s="147">
        <v>210</v>
      </c>
      <c r="D215" s="142" t="s">
        <v>1707</v>
      </c>
      <c r="E215" s="197" t="s">
        <v>1967</v>
      </c>
      <c r="F215" s="231" t="s">
        <v>3881</v>
      </c>
      <c r="G215" s="232" t="s">
        <v>1968</v>
      </c>
      <c r="H215" s="221" t="s">
        <v>1999</v>
      </c>
      <c r="I215" s="222" t="s">
        <v>2002</v>
      </c>
      <c r="J215" s="137"/>
      <c r="K215" s="218" t="s">
        <v>1155</v>
      </c>
      <c r="L215" s="189">
        <f t="shared" si="14"/>
        <v>7.5</v>
      </c>
      <c r="M215" s="140">
        <f t="shared" si="12"/>
        <v>1</v>
      </c>
      <c r="N215" s="141">
        <f t="shared" si="13"/>
        <v>7.5</v>
      </c>
      <c r="O215" s="140" t="s">
        <v>1156</v>
      </c>
      <c r="P215" s="143" t="s">
        <v>1780</v>
      </c>
      <c r="R215" s="177"/>
      <c r="S215" s="233"/>
      <c r="T215" s="234"/>
      <c r="U215" s="234"/>
    </row>
    <row r="216" spans="3:21" s="144" customFormat="1" ht="19.5" customHeight="1">
      <c r="C216" s="147">
        <v>211</v>
      </c>
      <c r="D216" s="142" t="s">
        <v>1707</v>
      </c>
      <c r="E216" s="197" t="s">
        <v>1967</v>
      </c>
      <c r="F216" s="231" t="s">
        <v>3882</v>
      </c>
      <c r="G216" s="232" t="s">
        <v>1968</v>
      </c>
      <c r="H216" s="221" t="s">
        <v>2003</v>
      </c>
      <c r="I216" s="222" t="s">
        <v>2004</v>
      </c>
      <c r="J216" s="137"/>
      <c r="K216" s="249" t="s">
        <v>1170</v>
      </c>
      <c r="L216" s="189">
        <f t="shared" si="14"/>
        <v>5.2</v>
      </c>
      <c r="M216" s="140">
        <f t="shared" si="12"/>
        <v>1</v>
      </c>
      <c r="N216" s="141">
        <f t="shared" si="13"/>
        <v>5.2</v>
      </c>
      <c r="O216" s="140" t="s">
        <v>1156</v>
      </c>
      <c r="P216" s="143" t="s">
        <v>1780</v>
      </c>
      <c r="R216" s="177"/>
      <c r="S216" s="233"/>
      <c r="T216" s="234"/>
      <c r="U216" s="234"/>
    </row>
    <row r="217" spans="3:21" s="144" customFormat="1" ht="19.5" customHeight="1">
      <c r="C217" s="147">
        <v>212</v>
      </c>
      <c r="D217" s="142" t="s">
        <v>1707</v>
      </c>
      <c r="E217" s="197" t="s">
        <v>1967</v>
      </c>
      <c r="F217" s="231" t="s">
        <v>3883</v>
      </c>
      <c r="G217" s="232" t="s">
        <v>1968</v>
      </c>
      <c r="H217" s="221" t="s">
        <v>2005</v>
      </c>
      <c r="I217" s="222" t="s">
        <v>2006</v>
      </c>
      <c r="J217" s="137"/>
      <c r="K217" s="218" t="s">
        <v>1163</v>
      </c>
      <c r="L217" s="189">
        <f t="shared" si="14"/>
        <v>4</v>
      </c>
      <c r="M217" s="140">
        <f t="shared" si="12"/>
        <v>1</v>
      </c>
      <c r="N217" s="141">
        <f t="shared" si="13"/>
        <v>4</v>
      </c>
      <c r="O217" s="140" t="s">
        <v>1156</v>
      </c>
      <c r="P217" s="143" t="s">
        <v>1780</v>
      </c>
      <c r="R217" s="177"/>
      <c r="S217" s="233"/>
      <c r="T217" s="234"/>
      <c r="U217" s="234"/>
    </row>
    <row r="218" spans="3:21" s="144" customFormat="1" ht="19.5" customHeight="1">
      <c r="C218" s="147">
        <v>213</v>
      </c>
      <c r="D218" s="142" t="s">
        <v>1707</v>
      </c>
      <c r="E218" s="197" t="s">
        <v>1967</v>
      </c>
      <c r="F218" s="231" t="s">
        <v>3884</v>
      </c>
      <c r="G218" s="232" t="s">
        <v>1968</v>
      </c>
      <c r="H218" s="221" t="s">
        <v>2005</v>
      </c>
      <c r="I218" s="222" t="s">
        <v>2007</v>
      </c>
      <c r="J218" s="137"/>
      <c r="K218" s="218" t="s">
        <v>1985</v>
      </c>
      <c r="L218" s="189">
        <f t="shared" si="14"/>
        <v>4</v>
      </c>
      <c r="M218" s="140">
        <f t="shared" si="12"/>
        <v>1</v>
      </c>
      <c r="N218" s="141">
        <f t="shared" si="13"/>
        <v>4</v>
      </c>
      <c r="O218" s="140" t="s">
        <v>1156</v>
      </c>
      <c r="P218" s="143" t="s">
        <v>1780</v>
      </c>
      <c r="R218" s="177"/>
      <c r="S218" s="233"/>
      <c r="T218" s="234"/>
      <c r="U218" s="234"/>
    </row>
    <row r="219" spans="3:21" s="144" customFormat="1" ht="19.5" customHeight="1">
      <c r="C219" s="147">
        <v>214</v>
      </c>
      <c r="D219" s="142" t="s">
        <v>1707</v>
      </c>
      <c r="E219" s="197" t="s">
        <v>1967</v>
      </c>
      <c r="F219" s="231" t="s">
        <v>3885</v>
      </c>
      <c r="G219" s="232" t="s">
        <v>1968</v>
      </c>
      <c r="H219" s="221" t="s">
        <v>2005</v>
      </c>
      <c r="I219" s="222" t="s">
        <v>2008</v>
      </c>
      <c r="J219" s="137"/>
      <c r="K219" s="218" t="s">
        <v>1155</v>
      </c>
      <c r="L219" s="189">
        <f t="shared" si="14"/>
        <v>7.5</v>
      </c>
      <c r="M219" s="140">
        <f t="shared" si="12"/>
        <v>1</v>
      </c>
      <c r="N219" s="141">
        <f t="shared" si="13"/>
        <v>7.5</v>
      </c>
      <c r="O219" s="140" t="s">
        <v>1156</v>
      </c>
      <c r="P219" s="143" t="s">
        <v>1780</v>
      </c>
      <c r="R219" s="177"/>
      <c r="S219" s="233"/>
      <c r="T219" s="234"/>
      <c r="U219" s="234"/>
    </row>
    <row r="220" spans="3:21" s="144" customFormat="1" ht="19.5" customHeight="1">
      <c r="C220" s="147">
        <v>215</v>
      </c>
      <c r="D220" s="142" t="s">
        <v>1707</v>
      </c>
      <c r="E220" s="197" t="s">
        <v>1967</v>
      </c>
      <c r="F220" s="231" t="s">
        <v>3886</v>
      </c>
      <c r="G220" s="232" t="s">
        <v>1968</v>
      </c>
      <c r="H220" s="221" t="s">
        <v>2005</v>
      </c>
      <c r="I220" s="222" t="s">
        <v>2009</v>
      </c>
      <c r="J220" s="137"/>
      <c r="K220" s="218" t="s">
        <v>1163</v>
      </c>
      <c r="L220" s="189">
        <f t="shared" si="14"/>
        <v>4</v>
      </c>
      <c r="M220" s="140">
        <f t="shared" si="12"/>
        <v>1</v>
      </c>
      <c r="N220" s="141">
        <f t="shared" si="13"/>
        <v>4</v>
      </c>
      <c r="O220" s="140" t="s">
        <v>1156</v>
      </c>
      <c r="P220" s="143" t="s">
        <v>1780</v>
      </c>
      <c r="R220" s="177"/>
      <c r="S220" s="233"/>
      <c r="T220" s="234"/>
      <c r="U220" s="234"/>
    </row>
    <row r="221" spans="3:21" s="144" customFormat="1" ht="19.5" customHeight="1">
      <c r="C221" s="147">
        <v>216</v>
      </c>
      <c r="D221" s="142" t="s">
        <v>1707</v>
      </c>
      <c r="E221" s="197" t="s">
        <v>1967</v>
      </c>
      <c r="F221" s="231" t="s">
        <v>3887</v>
      </c>
      <c r="G221" s="232" t="s">
        <v>1968</v>
      </c>
      <c r="H221" s="221" t="s">
        <v>2010</v>
      </c>
      <c r="I221" s="222" t="s">
        <v>2011</v>
      </c>
      <c r="J221" s="137"/>
      <c r="K221" s="218" t="s">
        <v>1985</v>
      </c>
      <c r="L221" s="189">
        <f t="shared" si="14"/>
        <v>4</v>
      </c>
      <c r="M221" s="140">
        <f t="shared" si="12"/>
        <v>1</v>
      </c>
      <c r="N221" s="141">
        <f t="shared" si="13"/>
        <v>4</v>
      </c>
      <c r="O221" s="140" t="s">
        <v>1156</v>
      </c>
      <c r="P221" s="143" t="s">
        <v>1780</v>
      </c>
      <c r="R221" s="177"/>
      <c r="S221" s="233"/>
      <c r="T221" s="234"/>
      <c r="U221" s="234"/>
    </row>
    <row r="222" spans="3:21" s="144" customFormat="1" ht="19.5" customHeight="1">
      <c r="C222" s="147">
        <v>217</v>
      </c>
      <c r="D222" s="142" t="s">
        <v>1707</v>
      </c>
      <c r="E222" s="197" t="s">
        <v>1967</v>
      </c>
      <c r="F222" s="231" t="s">
        <v>3888</v>
      </c>
      <c r="G222" s="232" t="s">
        <v>1968</v>
      </c>
      <c r="H222" s="221" t="s">
        <v>2010</v>
      </c>
      <c r="I222" s="222" t="s">
        <v>2012</v>
      </c>
      <c r="J222" s="137"/>
      <c r="K222" s="218" t="s">
        <v>1155</v>
      </c>
      <c r="L222" s="189">
        <f t="shared" si="14"/>
        <v>7.5</v>
      </c>
      <c r="M222" s="140">
        <f t="shared" si="12"/>
        <v>1</v>
      </c>
      <c r="N222" s="141">
        <f t="shared" si="13"/>
        <v>7.5</v>
      </c>
      <c r="O222" s="140" t="s">
        <v>1156</v>
      </c>
      <c r="P222" s="143" t="s">
        <v>1780</v>
      </c>
      <c r="R222" s="177"/>
      <c r="S222" s="233"/>
      <c r="T222" s="234"/>
      <c r="U222" s="234"/>
    </row>
    <row r="223" spans="3:21" s="144" customFormat="1" ht="19.5" customHeight="1">
      <c r="C223" s="147">
        <v>218</v>
      </c>
      <c r="D223" s="142" t="s">
        <v>1707</v>
      </c>
      <c r="E223" s="197" t="s">
        <v>1967</v>
      </c>
      <c r="F223" s="231" t="s">
        <v>3889</v>
      </c>
      <c r="G223" s="232" t="s">
        <v>1968</v>
      </c>
      <c r="H223" s="221" t="s">
        <v>2010</v>
      </c>
      <c r="I223" s="222" t="s">
        <v>2013</v>
      </c>
      <c r="J223" s="137"/>
      <c r="K223" s="249" t="s">
        <v>1170</v>
      </c>
      <c r="L223" s="189">
        <f t="shared" si="14"/>
        <v>5.2</v>
      </c>
      <c r="M223" s="140">
        <f t="shared" si="12"/>
        <v>1</v>
      </c>
      <c r="N223" s="141">
        <f t="shared" si="13"/>
        <v>5.2</v>
      </c>
      <c r="O223" s="140" t="s">
        <v>1156</v>
      </c>
      <c r="P223" s="143" t="s">
        <v>1780</v>
      </c>
      <c r="R223" s="177"/>
      <c r="S223" s="233"/>
      <c r="T223" s="234"/>
      <c r="U223" s="234"/>
    </row>
    <row r="224" spans="3:21" s="144" customFormat="1" ht="19.5" customHeight="1">
      <c r="C224" s="147">
        <v>219</v>
      </c>
      <c r="D224" s="142" t="s">
        <v>1707</v>
      </c>
      <c r="E224" s="197" t="s">
        <v>1967</v>
      </c>
      <c r="F224" s="231" t="s">
        <v>3890</v>
      </c>
      <c r="G224" s="232" t="s">
        <v>1968</v>
      </c>
      <c r="H224" s="221" t="s">
        <v>2010</v>
      </c>
      <c r="I224" s="222" t="s">
        <v>2014</v>
      </c>
      <c r="J224" s="137"/>
      <c r="K224" s="249" t="s">
        <v>1170</v>
      </c>
      <c r="L224" s="189">
        <f t="shared" si="14"/>
        <v>5.2</v>
      </c>
      <c r="M224" s="140">
        <f t="shared" si="12"/>
        <v>1</v>
      </c>
      <c r="N224" s="141">
        <f t="shared" si="13"/>
        <v>5.2</v>
      </c>
      <c r="O224" s="140" t="s">
        <v>1156</v>
      </c>
      <c r="P224" s="143" t="s">
        <v>1780</v>
      </c>
      <c r="R224" s="177"/>
      <c r="S224" s="233"/>
      <c r="T224" s="234"/>
      <c r="U224" s="234"/>
    </row>
    <row r="225" spans="3:21" s="144" customFormat="1" ht="19.5" customHeight="1">
      <c r="C225" s="147">
        <v>220</v>
      </c>
      <c r="D225" s="142" t="s">
        <v>1707</v>
      </c>
      <c r="E225" s="197" t="s">
        <v>1967</v>
      </c>
      <c r="F225" s="231" t="s">
        <v>3891</v>
      </c>
      <c r="G225" s="232" t="s">
        <v>1968</v>
      </c>
      <c r="H225" s="221" t="s">
        <v>2015</v>
      </c>
      <c r="I225" s="222" t="s">
        <v>2016</v>
      </c>
      <c r="J225" s="137"/>
      <c r="K225" s="218" t="s">
        <v>1985</v>
      </c>
      <c r="L225" s="189">
        <f t="shared" si="14"/>
        <v>4</v>
      </c>
      <c r="M225" s="140">
        <f t="shared" si="12"/>
        <v>1</v>
      </c>
      <c r="N225" s="141">
        <f t="shared" si="13"/>
        <v>4</v>
      </c>
      <c r="O225" s="140" t="s">
        <v>1156</v>
      </c>
      <c r="P225" s="143" t="s">
        <v>1780</v>
      </c>
      <c r="R225" s="177"/>
      <c r="S225" s="233"/>
      <c r="T225" s="234"/>
      <c r="U225" s="234"/>
    </row>
    <row r="226" spans="3:21" s="144" customFormat="1" ht="19.5" customHeight="1">
      <c r="C226" s="147">
        <v>221</v>
      </c>
      <c r="D226" s="142" t="s">
        <v>1707</v>
      </c>
      <c r="E226" s="197" t="s">
        <v>1967</v>
      </c>
      <c r="F226" s="231" t="s">
        <v>3892</v>
      </c>
      <c r="G226" s="232" t="s">
        <v>1968</v>
      </c>
      <c r="H226" s="221" t="s">
        <v>2015</v>
      </c>
      <c r="I226" s="222" t="s">
        <v>2017</v>
      </c>
      <c r="J226" s="137"/>
      <c r="K226" s="249" t="s">
        <v>1170</v>
      </c>
      <c r="L226" s="189">
        <f t="shared" si="14"/>
        <v>5.2</v>
      </c>
      <c r="M226" s="140">
        <f t="shared" si="12"/>
        <v>1</v>
      </c>
      <c r="N226" s="141">
        <f t="shared" si="13"/>
        <v>5.2</v>
      </c>
      <c r="O226" s="140" t="s">
        <v>1156</v>
      </c>
      <c r="P226" s="143" t="s">
        <v>1780</v>
      </c>
      <c r="R226" s="177"/>
      <c r="S226" s="233"/>
      <c r="T226" s="234"/>
      <c r="U226" s="234"/>
    </row>
    <row r="227" spans="3:21" s="144" customFormat="1" ht="19.5" customHeight="1">
      <c r="C227" s="147">
        <v>222</v>
      </c>
      <c r="D227" s="142" t="s">
        <v>1707</v>
      </c>
      <c r="E227" s="197" t="s">
        <v>1967</v>
      </c>
      <c r="F227" s="231" t="s">
        <v>3893</v>
      </c>
      <c r="G227" s="232" t="s">
        <v>1968</v>
      </c>
      <c r="H227" s="221" t="s">
        <v>2018</v>
      </c>
      <c r="I227" s="222" t="s">
        <v>2019</v>
      </c>
      <c r="J227" s="137"/>
      <c r="K227" s="249" t="s">
        <v>1170</v>
      </c>
      <c r="L227" s="189">
        <f t="shared" si="14"/>
        <v>5.2</v>
      </c>
      <c r="M227" s="140">
        <f t="shared" si="12"/>
        <v>1</v>
      </c>
      <c r="N227" s="141">
        <f t="shared" si="13"/>
        <v>5.2</v>
      </c>
      <c r="O227" s="140" t="s">
        <v>1156</v>
      </c>
      <c r="P227" s="143" t="s">
        <v>1780</v>
      </c>
      <c r="R227" s="177"/>
      <c r="S227" s="233"/>
      <c r="T227" s="234"/>
      <c r="U227" s="234"/>
    </row>
    <row r="228" spans="3:21" s="144" customFormat="1" ht="19.5" customHeight="1">
      <c r="C228" s="147">
        <v>223</v>
      </c>
      <c r="D228" s="142" t="s">
        <v>1707</v>
      </c>
      <c r="E228" s="197" t="s">
        <v>1967</v>
      </c>
      <c r="F228" s="231" t="s">
        <v>3894</v>
      </c>
      <c r="G228" s="232" t="s">
        <v>1968</v>
      </c>
      <c r="H228" s="221" t="s">
        <v>2018</v>
      </c>
      <c r="I228" s="222" t="s">
        <v>2020</v>
      </c>
      <c r="J228" s="137"/>
      <c r="K228" s="218" t="s">
        <v>1155</v>
      </c>
      <c r="L228" s="189">
        <f t="shared" si="14"/>
        <v>7.5</v>
      </c>
      <c r="M228" s="140">
        <f t="shared" si="12"/>
        <v>1</v>
      </c>
      <c r="N228" s="141">
        <f t="shared" si="13"/>
        <v>7.5</v>
      </c>
      <c r="O228" s="140" t="s">
        <v>1156</v>
      </c>
      <c r="P228" s="143" t="s">
        <v>1780</v>
      </c>
      <c r="R228" s="177"/>
      <c r="S228" s="233"/>
      <c r="T228" s="234"/>
      <c r="U228" s="234"/>
    </row>
    <row r="229" spans="3:21" s="144" customFormat="1" ht="19.5" customHeight="1">
      <c r="C229" s="147">
        <v>224</v>
      </c>
      <c r="D229" s="142" t="s">
        <v>1707</v>
      </c>
      <c r="E229" s="197" t="s">
        <v>1967</v>
      </c>
      <c r="F229" s="231" t="s">
        <v>3895</v>
      </c>
      <c r="G229" s="232" t="s">
        <v>1968</v>
      </c>
      <c r="H229" s="221" t="s">
        <v>2018</v>
      </c>
      <c r="I229" s="222" t="s">
        <v>2021</v>
      </c>
      <c r="J229" s="137"/>
      <c r="K229" s="218" t="s">
        <v>1985</v>
      </c>
      <c r="L229" s="189">
        <f t="shared" si="14"/>
        <v>4</v>
      </c>
      <c r="M229" s="140">
        <f t="shared" si="12"/>
        <v>1</v>
      </c>
      <c r="N229" s="141">
        <f t="shared" si="13"/>
        <v>4</v>
      </c>
      <c r="O229" s="140" t="s">
        <v>1156</v>
      </c>
      <c r="P229" s="143" t="s">
        <v>1780</v>
      </c>
      <c r="R229" s="177"/>
      <c r="S229" s="233"/>
      <c r="T229" s="234"/>
      <c r="U229" s="234"/>
    </row>
    <row r="230" spans="3:21" s="144" customFormat="1" ht="19.5" customHeight="1">
      <c r="C230" s="147">
        <v>225</v>
      </c>
      <c r="D230" s="142" t="s">
        <v>1707</v>
      </c>
      <c r="E230" s="197" t="s">
        <v>1967</v>
      </c>
      <c r="F230" s="231" t="s">
        <v>3896</v>
      </c>
      <c r="G230" s="232" t="s">
        <v>1968</v>
      </c>
      <c r="H230" s="221" t="s">
        <v>2018</v>
      </c>
      <c r="I230" s="222" t="s">
        <v>2022</v>
      </c>
      <c r="J230" s="137"/>
      <c r="K230" s="218" t="s">
        <v>1985</v>
      </c>
      <c r="L230" s="189">
        <f t="shared" si="14"/>
        <v>4</v>
      </c>
      <c r="M230" s="140">
        <f t="shared" si="12"/>
        <v>1</v>
      </c>
      <c r="N230" s="141">
        <f t="shared" si="13"/>
        <v>4</v>
      </c>
      <c r="O230" s="140" t="s">
        <v>1156</v>
      </c>
      <c r="P230" s="143" t="s">
        <v>1780</v>
      </c>
      <c r="R230" s="177"/>
      <c r="S230" s="233"/>
      <c r="T230" s="234"/>
      <c r="U230" s="234"/>
    </row>
    <row r="231" spans="3:21" s="144" customFormat="1" ht="19.5" customHeight="1">
      <c r="C231" s="147">
        <v>226</v>
      </c>
      <c r="D231" s="142" t="s">
        <v>1707</v>
      </c>
      <c r="E231" s="197" t="s">
        <v>1967</v>
      </c>
      <c r="F231" s="231" t="s">
        <v>3897</v>
      </c>
      <c r="G231" s="232" t="s">
        <v>1968</v>
      </c>
      <c r="H231" s="221" t="s">
        <v>2023</v>
      </c>
      <c r="I231" s="222" t="s">
        <v>2024</v>
      </c>
      <c r="J231" s="137"/>
      <c r="K231" s="218" t="s">
        <v>1163</v>
      </c>
      <c r="L231" s="189">
        <f t="shared" si="14"/>
        <v>4</v>
      </c>
      <c r="M231" s="140">
        <f t="shared" si="12"/>
        <v>1</v>
      </c>
      <c r="N231" s="141">
        <f t="shared" si="13"/>
        <v>4</v>
      </c>
      <c r="O231" s="140" t="s">
        <v>1156</v>
      </c>
      <c r="P231" s="143" t="s">
        <v>1780</v>
      </c>
      <c r="R231" s="177"/>
      <c r="S231" s="233"/>
      <c r="T231" s="234"/>
      <c r="U231" s="234"/>
    </row>
    <row r="232" spans="3:21" s="144" customFormat="1" ht="19.5" customHeight="1">
      <c r="C232" s="147">
        <v>227</v>
      </c>
      <c r="D232" s="142" t="s">
        <v>1707</v>
      </c>
      <c r="E232" s="197" t="s">
        <v>1967</v>
      </c>
      <c r="F232" s="231" t="s">
        <v>3898</v>
      </c>
      <c r="G232" s="232" t="s">
        <v>1968</v>
      </c>
      <c r="H232" s="221" t="s">
        <v>2023</v>
      </c>
      <c r="I232" s="222" t="s">
        <v>2025</v>
      </c>
      <c r="J232" s="137"/>
      <c r="K232" s="218" t="s">
        <v>1985</v>
      </c>
      <c r="L232" s="189">
        <f t="shared" si="14"/>
        <v>4</v>
      </c>
      <c r="M232" s="140">
        <f t="shared" si="12"/>
        <v>1</v>
      </c>
      <c r="N232" s="141">
        <f t="shared" si="13"/>
        <v>4</v>
      </c>
      <c r="O232" s="140" t="s">
        <v>1156</v>
      </c>
      <c r="P232" s="143" t="s">
        <v>1780</v>
      </c>
      <c r="R232" s="177"/>
      <c r="S232" s="233"/>
      <c r="T232" s="234"/>
      <c r="U232" s="234"/>
    </row>
    <row r="233" spans="3:21" s="144" customFormat="1" ht="19.5" customHeight="1">
      <c r="C233" s="147">
        <v>228</v>
      </c>
      <c r="D233" s="142" t="s">
        <v>1707</v>
      </c>
      <c r="E233" s="197" t="s">
        <v>1967</v>
      </c>
      <c r="F233" s="231" t="s">
        <v>3899</v>
      </c>
      <c r="G233" s="232" t="s">
        <v>1968</v>
      </c>
      <c r="H233" s="221" t="s">
        <v>2023</v>
      </c>
      <c r="I233" s="222" t="s">
        <v>2026</v>
      </c>
      <c r="J233" s="137"/>
      <c r="K233" s="249" t="s">
        <v>1170</v>
      </c>
      <c r="L233" s="189">
        <f t="shared" si="14"/>
        <v>5.2</v>
      </c>
      <c r="M233" s="140">
        <f t="shared" si="12"/>
        <v>1</v>
      </c>
      <c r="N233" s="141">
        <f t="shared" si="13"/>
        <v>5.2</v>
      </c>
      <c r="O233" s="140" t="s">
        <v>1156</v>
      </c>
      <c r="P233" s="143" t="s">
        <v>1780</v>
      </c>
      <c r="R233" s="177"/>
      <c r="S233" s="233"/>
      <c r="T233" s="234"/>
      <c r="U233" s="234"/>
    </row>
    <row r="234" spans="3:21" s="144" customFormat="1" ht="19.5" customHeight="1">
      <c r="C234" s="147">
        <v>229</v>
      </c>
      <c r="D234" s="142" t="s">
        <v>1707</v>
      </c>
      <c r="E234" s="197" t="s">
        <v>1967</v>
      </c>
      <c r="F234" s="231" t="s">
        <v>3900</v>
      </c>
      <c r="G234" s="232" t="s">
        <v>1968</v>
      </c>
      <c r="H234" s="221" t="s">
        <v>2023</v>
      </c>
      <c r="I234" s="222" t="s">
        <v>2027</v>
      </c>
      <c r="J234" s="137"/>
      <c r="K234" s="218" t="s">
        <v>1163</v>
      </c>
      <c r="L234" s="189">
        <f t="shared" si="14"/>
        <v>4</v>
      </c>
      <c r="M234" s="140">
        <f t="shared" si="12"/>
        <v>1</v>
      </c>
      <c r="N234" s="141">
        <f t="shared" si="13"/>
        <v>4</v>
      </c>
      <c r="O234" s="140" t="s">
        <v>1156</v>
      </c>
      <c r="P234" s="143" t="s">
        <v>1780</v>
      </c>
      <c r="R234" s="177"/>
      <c r="S234" s="233"/>
      <c r="T234" s="234"/>
      <c r="U234" s="234"/>
    </row>
    <row r="235" spans="3:21" s="144" customFormat="1" ht="19.5" customHeight="1">
      <c r="C235" s="147">
        <v>230</v>
      </c>
      <c r="D235" s="142" t="s">
        <v>1707</v>
      </c>
      <c r="E235" s="197" t="s">
        <v>1967</v>
      </c>
      <c r="F235" s="231" t="s">
        <v>3901</v>
      </c>
      <c r="G235" s="232" t="s">
        <v>1968</v>
      </c>
      <c r="H235" s="221" t="s">
        <v>2028</v>
      </c>
      <c r="I235" s="222" t="s">
        <v>2029</v>
      </c>
      <c r="J235" s="137"/>
      <c r="K235" s="241" t="s">
        <v>1607</v>
      </c>
      <c r="L235" s="189">
        <f t="shared" si="14"/>
        <v>5.4</v>
      </c>
      <c r="M235" s="140">
        <f t="shared" si="12"/>
        <v>1</v>
      </c>
      <c r="N235" s="141">
        <f t="shared" si="13"/>
        <v>5.4</v>
      </c>
      <c r="O235" s="140" t="s">
        <v>1156</v>
      </c>
      <c r="P235" s="143" t="s">
        <v>1780</v>
      </c>
      <c r="R235" s="177"/>
      <c r="S235" s="233"/>
      <c r="T235" s="234"/>
      <c r="U235" s="234"/>
    </row>
    <row r="236" spans="3:21" s="144" customFormat="1" ht="19.5" customHeight="1">
      <c r="C236" s="147">
        <v>231</v>
      </c>
      <c r="D236" s="142" t="s">
        <v>1707</v>
      </c>
      <c r="E236" s="197" t="s">
        <v>1967</v>
      </c>
      <c r="F236" s="231" t="s">
        <v>3902</v>
      </c>
      <c r="G236" s="232" t="s">
        <v>1968</v>
      </c>
      <c r="H236" s="221" t="s">
        <v>2028</v>
      </c>
      <c r="I236" s="222" t="s">
        <v>2030</v>
      </c>
      <c r="J236" s="137"/>
      <c r="K236" s="241" t="s">
        <v>1607</v>
      </c>
      <c r="L236" s="189">
        <f t="shared" si="14"/>
        <v>5.4</v>
      </c>
      <c r="M236" s="140">
        <f t="shared" si="12"/>
        <v>1</v>
      </c>
      <c r="N236" s="141">
        <f t="shared" si="13"/>
        <v>5.4</v>
      </c>
      <c r="O236" s="140" t="s">
        <v>1156</v>
      </c>
      <c r="P236" s="143" t="s">
        <v>1780</v>
      </c>
      <c r="R236" s="177"/>
      <c r="S236" s="233"/>
      <c r="T236" s="234"/>
      <c r="U236" s="234"/>
    </row>
    <row r="237" spans="3:21" s="144" customFormat="1" ht="19.5" customHeight="1">
      <c r="C237" s="147">
        <v>232</v>
      </c>
      <c r="D237" s="142" t="s">
        <v>1707</v>
      </c>
      <c r="E237" s="197" t="s">
        <v>1967</v>
      </c>
      <c r="F237" s="231" t="s">
        <v>3903</v>
      </c>
      <c r="G237" s="232" t="s">
        <v>1968</v>
      </c>
      <c r="H237" s="221" t="s">
        <v>2028</v>
      </c>
      <c r="I237" s="222" t="s">
        <v>2031</v>
      </c>
      <c r="J237" s="137"/>
      <c r="K237" s="218" t="s">
        <v>1163</v>
      </c>
      <c r="L237" s="189">
        <f t="shared" si="14"/>
        <v>4</v>
      </c>
      <c r="M237" s="140">
        <f t="shared" si="12"/>
        <v>1</v>
      </c>
      <c r="N237" s="141">
        <f t="shared" si="13"/>
        <v>4</v>
      </c>
      <c r="O237" s="140" t="s">
        <v>1156</v>
      </c>
      <c r="P237" s="143" t="s">
        <v>1780</v>
      </c>
      <c r="R237" s="177"/>
      <c r="S237" s="233"/>
      <c r="T237" s="234"/>
      <c r="U237" s="234"/>
    </row>
    <row r="238" spans="3:21" s="144" customFormat="1" ht="19.5" customHeight="1">
      <c r="C238" s="147">
        <v>233</v>
      </c>
      <c r="D238" s="142" t="s">
        <v>1707</v>
      </c>
      <c r="E238" s="197" t="s">
        <v>1967</v>
      </c>
      <c r="F238" s="231" t="s">
        <v>3904</v>
      </c>
      <c r="G238" s="232" t="s">
        <v>1968</v>
      </c>
      <c r="H238" s="221" t="s">
        <v>2032</v>
      </c>
      <c r="I238" s="222" t="s">
        <v>2033</v>
      </c>
      <c r="J238" s="137"/>
      <c r="K238" s="241" t="s">
        <v>1607</v>
      </c>
      <c r="L238" s="189">
        <f t="shared" si="14"/>
        <v>5.4</v>
      </c>
      <c r="M238" s="140">
        <f t="shared" si="12"/>
        <v>1</v>
      </c>
      <c r="N238" s="141">
        <f t="shared" si="13"/>
        <v>5.4</v>
      </c>
      <c r="O238" s="140" t="s">
        <v>1156</v>
      </c>
      <c r="P238" s="143" t="s">
        <v>1780</v>
      </c>
      <c r="R238" s="177"/>
      <c r="S238" s="233"/>
      <c r="T238" s="234"/>
      <c r="U238" s="234"/>
    </row>
    <row r="239" spans="3:21" s="144" customFormat="1" ht="19.5" customHeight="1">
      <c r="C239" s="147">
        <v>234</v>
      </c>
      <c r="D239" s="142" t="s">
        <v>1707</v>
      </c>
      <c r="E239" s="197" t="s">
        <v>1967</v>
      </c>
      <c r="F239" s="231" t="s">
        <v>3905</v>
      </c>
      <c r="G239" s="232" t="s">
        <v>1968</v>
      </c>
      <c r="H239" s="221" t="s">
        <v>2032</v>
      </c>
      <c r="I239" s="222" t="s">
        <v>2034</v>
      </c>
      <c r="J239" s="137"/>
      <c r="K239" s="218" t="s">
        <v>1160</v>
      </c>
      <c r="L239" s="189">
        <f t="shared" si="14"/>
        <v>3.9</v>
      </c>
      <c r="M239" s="140">
        <f t="shared" si="12"/>
        <v>1</v>
      </c>
      <c r="N239" s="141">
        <f t="shared" si="13"/>
        <v>3.9</v>
      </c>
      <c r="O239" s="140" t="s">
        <v>1156</v>
      </c>
      <c r="P239" s="143" t="s">
        <v>1780</v>
      </c>
      <c r="R239" s="177"/>
      <c r="S239" s="233"/>
      <c r="T239" s="234"/>
      <c r="U239" s="234"/>
    </row>
    <row r="240" spans="3:21" s="144" customFormat="1" ht="19.5" customHeight="1">
      <c r="C240" s="147">
        <v>235</v>
      </c>
      <c r="D240" s="142" t="s">
        <v>1707</v>
      </c>
      <c r="E240" s="197" t="s">
        <v>1967</v>
      </c>
      <c r="F240" s="231" t="s">
        <v>3906</v>
      </c>
      <c r="G240" s="232" t="s">
        <v>1968</v>
      </c>
      <c r="H240" s="221" t="s">
        <v>2032</v>
      </c>
      <c r="I240" s="222" t="s">
        <v>2035</v>
      </c>
      <c r="J240" s="137"/>
      <c r="K240" s="241" t="s">
        <v>1607</v>
      </c>
      <c r="L240" s="189">
        <f t="shared" si="14"/>
        <v>5.4</v>
      </c>
      <c r="M240" s="140">
        <f t="shared" si="12"/>
        <v>1</v>
      </c>
      <c r="N240" s="141">
        <f t="shared" si="13"/>
        <v>5.4</v>
      </c>
      <c r="O240" s="140" t="s">
        <v>1156</v>
      </c>
      <c r="P240" s="143" t="s">
        <v>1780</v>
      </c>
      <c r="R240" s="177"/>
      <c r="S240" s="233"/>
      <c r="T240" s="234"/>
      <c r="U240" s="234"/>
    </row>
    <row r="241" spans="3:21" s="144" customFormat="1" ht="19.5" customHeight="1">
      <c r="C241" s="147">
        <v>236</v>
      </c>
      <c r="D241" s="142" t="s">
        <v>1707</v>
      </c>
      <c r="E241" s="197" t="s">
        <v>1967</v>
      </c>
      <c r="F241" s="231" t="s">
        <v>3907</v>
      </c>
      <c r="G241" s="232" t="s">
        <v>1968</v>
      </c>
      <c r="H241" s="221" t="s">
        <v>2032</v>
      </c>
      <c r="I241" s="222" t="s">
        <v>2036</v>
      </c>
      <c r="J241" s="137"/>
      <c r="K241" s="218" t="s">
        <v>1160</v>
      </c>
      <c r="L241" s="189">
        <f t="shared" si="14"/>
        <v>3.9</v>
      </c>
      <c r="M241" s="140">
        <f t="shared" si="12"/>
        <v>1</v>
      </c>
      <c r="N241" s="141">
        <f t="shared" si="13"/>
        <v>3.9</v>
      </c>
      <c r="O241" s="140" t="s">
        <v>1156</v>
      </c>
      <c r="P241" s="143" t="s">
        <v>1780</v>
      </c>
      <c r="R241" s="177"/>
      <c r="S241" s="233"/>
      <c r="T241" s="234"/>
      <c r="U241" s="234"/>
    </row>
    <row r="242" spans="3:21" s="144" customFormat="1" ht="19.5" customHeight="1">
      <c r="C242" s="147">
        <v>237</v>
      </c>
      <c r="D242" s="142" t="s">
        <v>1707</v>
      </c>
      <c r="E242" s="197" t="s">
        <v>1967</v>
      </c>
      <c r="F242" s="231" t="s">
        <v>3908</v>
      </c>
      <c r="G242" s="232" t="s">
        <v>1968</v>
      </c>
      <c r="H242" s="221" t="s">
        <v>2032</v>
      </c>
      <c r="I242" s="222" t="s">
        <v>2037</v>
      </c>
      <c r="J242" s="137"/>
      <c r="K242" s="218" t="s">
        <v>1155</v>
      </c>
      <c r="L242" s="189">
        <f t="shared" si="14"/>
        <v>7.5</v>
      </c>
      <c r="M242" s="140">
        <f t="shared" si="12"/>
        <v>1</v>
      </c>
      <c r="N242" s="141">
        <f t="shared" si="13"/>
        <v>7.5</v>
      </c>
      <c r="O242" s="140" t="s">
        <v>1156</v>
      </c>
      <c r="P242" s="143" t="s">
        <v>1780</v>
      </c>
      <c r="R242" s="177"/>
      <c r="S242" s="233"/>
      <c r="T242" s="234"/>
      <c r="U242" s="234"/>
    </row>
    <row r="243" spans="3:21" s="144" customFormat="1" ht="19.5" customHeight="1">
      <c r="C243" s="147">
        <v>238</v>
      </c>
      <c r="D243" s="142" t="s">
        <v>1707</v>
      </c>
      <c r="E243" s="197" t="s">
        <v>1967</v>
      </c>
      <c r="F243" s="231" t="s">
        <v>3909</v>
      </c>
      <c r="G243" s="232" t="s">
        <v>1968</v>
      </c>
      <c r="H243" s="221" t="s">
        <v>2038</v>
      </c>
      <c r="I243" s="222" t="s">
        <v>2039</v>
      </c>
      <c r="J243" s="137"/>
      <c r="K243" s="249" t="s">
        <v>1170</v>
      </c>
      <c r="L243" s="189">
        <f t="shared" si="14"/>
        <v>5.2</v>
      </c>
      <c r="M243" s="140">
        <f t="shared" si="12"/>
        <v>1</v>
      </c>
      <c r="N243" s="141">
        <f t="shared" si="13"/>
        <v>5.2</v>
      </c>
      <c r="O243" s="140" t="s">
        <v>1156</v>
      </c>
      <c r="P243" s="143" t="s">
        <v>1780</v>
      </c>
      <c r="R243" s="177"/>
      <c r="S243" s="233"/>
      <c r="T243" s="234"/>
      <c r="U243" s="234"/>
    </row>
    <row r="244" spans="3:21" s="144" customFormat="1" ht="19.5" customHeight="1">
      <c r="C244" s="147">
        <v>239</v>
      </c>
      <c r="D244" s="142" t="s">
        <v>1707</v>
      </c>
      <c r="E244" s="197" t="s">
        <v>1967</v>
      </c>
      <c r="F244" s="231" t="s">
        <v>3910</v>
      </c>
      <c r="G244" s="232" t="s">
        <v>1968</v>
      </c>
      <c r="H244" s="221" t="s">
        <v>2038</v>
      </c>
      <c r="I244" s="222" t="s">
        <v>2040</v>
      </c>
      <c r="J244" s="137"/>
      <c r="K244" s="218" t="s">
        <v>1985</v>
      </c>
      <c r="L244" s="189">
        <f t="shared" si="14"/>
        <v>4</v>
      </c>
      <c r="M244" s="140">
        <f t="shared" si="12"/>
        <v>1</v>
      </c>
      <c r="N244" s="141">
        <f t="shared" si="13"/>
        <v>4</v>
      </c>
      <c r="O244" s="140" t="s">
        <v>1156</v>
      </c>
      <c r="P244" s="143" t="s">
        <v>1780</v>
      </c>
      <c r="R244" s="177"/>
      <c r="S244" s="233"/>
      <c r="T244" s="234"/>
      <c r="U244" s="234"/>
    </row>
    <row r="245" spans="3:21" s="144" customFormat="1" ht="19.5" customHeight="1">
      <c r="C245" s="147">
        <v>240</v>
      </c>
      <c r="D245" s="142" t="s">
        <v>1707</v>
      </c>
      <c r="E245" s="197" t="s">
        <v>1967</v>
      </c>
      <c r="F245" s="231" t="s">
        <v>3911</v>
      </c>
      <c r="G245" s="232" t="s">
        <v>1968</v>
      </c>
      <c r="H245" s="221" t="s">
        <v>2038</v>
      </c>
      <c r="I245" s="222" t="s">
        <v>2041</v>
      </c>
      <c r="J245" s="137"/>
      <c r="K245" s="249" t="s">
        <v>1170</v>
      </c>
      <c r="L245" s="189">
        <f t="shared" si="14"/>
        <v>5.2</v>
      </c>
      <c r="M245" s="140">
        <f t="shared" si="12"/>
        <v>1</v>
      </c>
      <c r="N245" s="141">
        <f t="shared" si="13"/>
        <v>5.2</v>
      </c>
      <c r="O245" s="140" t="s">
        <v>1156</v>
      </c>
      <c r="P245" s="143" t="s">
        <v>1780</v>
      </c>
      <c r="R245" s="177"/>
      <c r="S245" s="233"/>
      <c r="T245" s="234"/>
      <c r="U245" s="234"/>
    </row>
    <row r="246" spans="3:21" s="144" customFormat="1" ht="19.5" customHeight="1">
      <c r="C246" s="147">
        <v>241</v>
      </c>
      <c r="D246" s="142" t="s">
        <v>1707</v>
      </c>
      <c r="E246" s="197" t="s">
        <v>1967</v>
      </c>
      <c r="F246" s="231" t="s">
        <v>3912</v>
      </c>
      <c r="G246" s="232" t="s">
        <v>1968</v>
      </c>
      <c r="H246" s="221" t="s">
        <v>2038</v>
      </c>
      <c r="I246" s="222" t="s">
        <v>2042</v>
      </c>
      <c r="J246" s="137"/>
      <c r="K246" s="218" t="s">
        <v>2043</v>
      </c>
      <c r="L246" s="189">
        <f t="shared" si="14"/>
        <v>5.2</v>
      </c>
      <c r="M246" s="140">
        <f t="shared" si="12"/>
        <v>1</v>
      </c>
      <c r="N246" s="141">
        <f t="shared" si="13"/>
        <v>5.2</v>
      </c>
      <c r="O246" s="140" t="s">
        <v>1156</v>
      </c>
      <c r="P246" s="143" t="s">
        <v>1780</v>
      </c>
      <c r="R246" s="177"/>
      <c r="S246" s="233"/>
      <c r="T246" s="234"/>
      <c r="U246" s="234"/>
    </row>
    <row r="247" spans="3:21" s="144" customFormat="1" ht="19.5" customHeight="1">
      <c r="C247" s="147">
        <v>242</v>
      </c>
      <c r="D247" s="142" t="s">
        <v>1707</v>
      </c>
      <c r="E247" s="197" t="s">
        <v>1967</v>
      </c>
      <c r="F247" s="231" t="s">
        <v>3913</v>
      </c>
      <c r="G247" s="232" t="s">
        <v>1968</v>
      </c>
      <c r="H247" s="221" t="s">
        <v>2038</v>
      </c>
      <c r="I247" s="222" t="s">
        <v>2044</v>
      </c>
      <c r="J247" s="137"/>
      <c r="K247" s="249" t="s">
        <v>1170</v>
      </c>
      <c r="L247" s="189">
        <f t="shared" si="14"/>
        <v>5.2</v>
      </c>
      <c r="M247" s="140">
        <f t="shared" si="12"/>
        <v>1</v>
      </c>
      <c r="N247" s="141">
        <f t="shared" si="13"/>
        <v>5.2</v>
      </c>
      <c r="O247" s="140" t="s">
        <v>1156</v>
      </c>
      <c r="P247" s="143" t="s">
        <v>1780</v>
      </c>
      <c r="R247" s="177"/>
      <c r="S247" s="233"/>
      <c r="T247" s="234"/>
      <c r="U247" s="234"/>
    </row>
    <row r="248" spans="3:21" s="144" customFormat="1" ht="19.5" customHeight="1">
      <c r="C248" s="147">
        <v>243</v>
      </c>
      <c r="D248" s="142" t="s">
        <v>1707</v>
      </c>
      <c r="E248" s="197" t="s">
        <v>1967</v>
      </c>
      <c r="F248" s="231" t="s">
        <v>3914</v>
      </c>
      <c r="G248" s="232" t="s">
        <v>1968</v>
      </c>
      <c r="H248" s="221" t="s">
        <v>2038</v>
      </c>
      <c r="I248" s="222" t="s">
        <v>2045</v>
      </c>
      <c r="J248" s="137"/>
      <c r="K248" s="218" t="s">
        <v>2043</v>
      </c>
      <c r="L248" s="189">
        <f t="shared" si="14"/>
        <v>5.2</v>
      </c>
      <c r="M248" s="140">
        <f t="shared" si="12"/>
        <v>1</v>
      </c>
      <c r="N248" s="141">
        <f t="shared" si="13"/>
        <v>5.2</v>
      </c>
      <c r="O248" s="140" t="s">
        <v>1156</v>
      </c>
      <c r="P248" s="143" t="s">
        <v>1780</v>
      </c>
      <c r="R248" s="177"/>
      <c r="S248" s="233"/>
      <c r="T248" s="234"/>
      <c r="U248" s="234"/>
    </row>
    <row r="249" spans="3:21" s="144" customFormat="1" ht="19.5" customHeight="1">
      <c r="C249" s="147">
        <v>244</v>
      </c>
      <c r="D249" s="142" t="s">
        <v>1707</v>
      </c>
      <c r="E249" s="197" t="s">
        <v>1967</v>
      </c>
      <c r="F249" s="231" t="s">
        <v>3915</v>
      </c>
      <c r="G249" s="232" t="s">
        <v>1968</v>
      </c>
      <c r="H249" s="221" t="s">
        <v>2038</v>
      </c>
      <c r="I249" s="222" t="s">
        <v>2046</v>
      </c>
      <c r="J249" s="137"/>
      <c r="K249" s="138" t="s">
        <v>1416</v>
      </c>
      <c r="L249" s="189">
        <f t="shared" si="14"/>
        <v>5.4</v>
      </c>
      <c r="M249" s="140">
        <f t="shared" si="12"/>
        <v>1</v>
      </c>
      <c r="N249" s="141">
        <f t="shared" si="13"/>
        <v>5.4</v>
      </c>
      <c r="O249" s="140" t="s">
        <v>1156</v>
      </c>
      <c r="P249" s="143" t="s">
        <v>1780</v>
      </c>
      <c r="R249" s="177"/>
      <c r="S249" s="233"/>
      <c r="T249" s="234"/>
      <c r="U249" s="234"/>
    </row>
    <row r="250" spans="3:21" s="144" customFormat="1" ht="19.5" customHeight="1">
      <c r="C250" s="147">
        <v>245</v>
      </c>
      <c r="D250" s="142" t="s">
        <v>1707</v>
      </c>
      <c r="E250" s="197" t="s">
        <v>1967</v>
      </c>
      <c r="F250" s="231" t="s">
        <v>3916</v>
      </c>
      <c r="G250" s="232" t="s">
        <v>1968</v>
      </c>
      <c r="H250" s="221" t="s">
        <v>2038</v>
      </c>
      <c r="I250" s="222" t="s">
        <v>2047</v>
      </c>
      <c r="J250" s="137"/>
      <c r="K250" s="138" t="s">
        <v>1416</v>
      </c>
      <c r="L250" s="189">
        <f t="shared" si="14"/>
        <v>5.4</v>
      </c>
      <c r="M250" s="140">
        <f t="shared" si="12"/>
        <v>1</v>
      </c>
      <c r="N250" s="141">
        <f t="shared" si="13"/>
        <v>5.4</v>
      </c>
      <c r="O250" s="140" t="s">
        <v>1156</v>
      </c>
      <c r="P250" s="143" t="s">
        <v>1780</v>
      </c>
      <c r="R250" s="177"/>
      <c r="S250" s="233"/>
      <c r="T250" s="234"/>
      <c r="U250" s="234"/>
    </row>
    <row r="251" spans="3:21" s="144" customFormat="1" ht="19.5" customHeight="1">
      <c r="C251" s="147">
        <v>246</v>
      </c>
      <c r="D251" s="142" t="s">
        <v>1707</v>
      </c>
      <c r="E251" s="197" t="s">
        <v>1967</v>
      </c>
      <c r="F251" s="231" t="s">
        <v>3917</v>
      </c>
      <c r="G251" s="232" t="s">
        <v>1968</v>
      </c>
      <c r="H251" s="221" t="s">
        <v>2048</v>
      </c>
      <c r="I251" s="222" t="s">
        <v>2049</v>
      </c>
      <c r="J251" s="137"/>
      <c r="K251" s="218" t="s">
        <v>1155</v>
      </c>
      <c r="L251" s="189">
        <f t="shared" si="14"/>
        <v>7.5</v>
      </c>
      <c r="M251" s="140">
        <f t="shared" si="12"/>
        <v>1</v>
      </c>
      <c r="N251" s="141">
        <f t="shared" si="13"/>
        <v>7.5</v>
      </c>
      <c r="O251" s="140" t="s">
        <v>1156</v>
      </c>
      <c r="P251" s="143" t="s">
        <v>1780</v>
      </c>
      <c r="R251" s="177"/>
      <c r="S251" s="233"/>
      <c r="T251" s="234"/>
      <c r="U251" s="234"/>
    </row>
    <row r="252" spans="3:21" s="144" customFormat="1" ht="19.5" customHeight="1">
      <c r="C252" s="147">
        <v>247</v>
      </c>
      <c r="D252" s="142" t="s">
        <v>1707</v>
      </c>
      <c r="E252" s="197" t="s">
        <v>1967</v>
      </c>
      <c r="F252" s="231" t="s">
        <v>3918</v>
      </c>
      <c r="G252" s="232" t="s">
        <v>1968</v>
      </c>
      <c r="H252" s="221" t="s">
        <v>2048</v>
      </c>
      <c r="I252" s="222" t="s">
        <v>2050</v>
      </c>
      <c r="J252" s="137"/>
      <c r="K252" s="218" t="s">
        <v>1160</v>
      </c>
      <c r="L252" s="189">
        <f t="shared" si="14"/>
        <v>3.9</v>
      </c>
      <c r="M252" s="140">
        <f t="shared" si="12"/>
        <v>1</v>
      </c>
      <c r="N252" s="141">
        <f t="shared" si="13"/>
        <v>3.9</v>
      </c>
      <c r="O252" s="140" t="s">
        <v>1156</v>
      </c>
      <c r="P252" s="143" t="s">
        <v>1780</v>
      </c>
      <c r="R252" s="177"/>
      <c r="S252" s="233"/>
      <c r="T252" s="234"/>
      <c r="U252" s="234"/>
    </row>
    <row r="253" spans="3:21" s="144" customFormat="1" ht="19.5" customHeight="1">
      <c r="C253" s="147">
        <v>248</v>
      </c>
      <c r="D253" s="142" t="s">
        <v>1707</v>
      </c>
      <c r="E253" s="197" t="s">
        <v>1967</v>
      </c>
      <c r="F253" s="231" t="s">
        <v>3919</v>
      </c>
      <c r="G253" s="232" t="s">
        <v>1968</v>
      </c>
      <c r="H253" s="221" t="s">
        <v>2048</v>
      </c>
      <c r="I253" s="222" t="s">
        <v>2051</v>
      </c>
      <c r="J253" s="137"/>
      <c r="K253" s="138" t="s">
        <v>1416</v>
      </c>
      <c r="L253" s="189">
        <f t="shared" si="14"/>
        <v>5.4</v>
      </c>
      <c r="M253" s="140">
        <f t="shared" si="12"/>
        <v>1</v>
      </c>
      <c r="N253" s="141">
        <f t="shared" si="13"/>
        <v>5.4</v>
      </c>
      <c r="O253" s="140" t="s">
        <v>1156</v>
      </c>
      <c r="P253" s="143" t="s">
        <v>1780</v>
      </c>
      <c r="R253" s="177"/>
      <c r="S253" s="233"/>
      <c r="T253" s="234"/>
      <c r="U253" s="234"/>
    </row>
    <row r="254" spans="3:21" s="144" customFormat="1" ht="19.5" customHeight="1">
      <c r="C254" s="147">
        <v>249</v>
      </c>
      <c r="D254" s="142" t="s">
        <v>1707</v>
      </c>
      <c r="E254" s="197" t="s">
        <v>1967</v>
      </c>
      <c r="F254" s="231" t="s">
        <v>3920</v>
      </c>
      <c r="G254" s="232" t="s">
        <v>1968</v>
      </c>
      <c r="H254" s="221" t="s">
        <v>2048</v>
      </c>
      <c r="I254" s="222" t="s">
        <v>2052</v>
      </c>
      <c r="J254" s="137"/>
      <c r="K254" s="218" t="s">
        <v>1170</v>
      </c>
      <c r="L254" s="189">
        <f t="shared" si="14"/>
        <v>5.2</v>
      </c>
      <c r="M254" s="140">
        <f t="shared" si="12"/>
        <v>1</v>
      </c>
      <c r="N254" s="141">
        <f t="shared" si="13"/>
        <v>5.2</v>
      </c>
      <c r="O254" s="140" t="s">
        <v>1156</v>
      </c>
      <c r="P254" s="143" t="s">
        <v>1780</v>
      </c>
      <c r="R254" s="177"/>
      <c r="S254" s="233"/>
      <c r="T254" s="234"/>
      <c r="U254" s="234"/>
    </row>
    <row r="255" spans="3:21" s="144" customFormat="1" ht="19.5" customHeight="1">
      <c r="C255" s="147">
        <v>250</v>
      </c>
      <c r="D255" s="142" t="s">
        <v>1707</v>
      </c>
      <c r="E255" s="197" t="s">
        <v>1967</v>
      </c>
      <c r="F255" s="231" t="s">
        <v>3921</v>
      </c>
      <c r="G255" s="232" t="s">
        <v>1968</v>
      </c>
      <c r="H255" s="221" t="s">
        <v>2053</v>
      </c>
      <c r="I255" s="222" t="s">
        <v>2054</v>
      </c>
      <c r="J255" s="137"/>
      <c r="K255" s="218" t="s">
        <v>1985</v>
      </c>
      <c r="L255" s="189">
        <f t="shared" si="14"/>
        <v>4</v>
      </c>
      <c r="M255" s="140">
        <f t="shared" si="12"/>
        <v>1</v>
      </c>
      <c r="N255" s="141">
        <f t="shared" si="13"/>
        <v>4</v>
      </c>
      <c r="O255" s="140" t="s">
        <v>1156</v>
      </c>
      <c r="P255" s="143" t="s">
        <v>1780</v>
      </c>
      <c r="R255" s="177"/>
      <c r="S255" s="233"/>
      <c r="T255" s="234"/>
      <c r="U255" s="234"/>
    </row>
    <row r="256" spans="3:21" s="144" customFormat="1" ht="19.5" customHeight="1">
      <c r="C256" s="147">
        <v>251</v>
      </c>
      <c r="D256" s="142" t="s">
        <v>1707</v>
      </c>
      <c r="E256" s="197" t="s">
        <v>1967</v>
      </c>
      <c r="F256" s="231" t="s">
        <v>3922</v>
      </c>
      <c r="G256" s="232" t="s">
        <v>1968</v>
      </c>
      <c r="H256" s="221" t="s">
        <v>2053</v>
      </c>
      <c r="I256" s="222" t="s">
        <v>2055</v>
      </c>
      <c r="J256" s="137"/>
      <c r="K256" s="218" t="s">
        <v>1985</v>
      </c>
      <c r="L256" s="189">
        <f t="shared" si="14"/>
        <v>4</v>
      </c>
      <c r="M256" s="140">
        <f t="shared" si="12"/>
        <v>1</v>
      </c>
      <c r="N256" s="141">
        <f t="shared" si="13"/>
        <v>4</v>
      </c>
      <c r="O256" s="140" t="s">
        <v>1156</v>
      </c>
      <c r="P256" s="143" t="s">
        <v>1780</v>
      </c>
      <c r="R256" s="177"/>
      <c r="S256" s="233"/>
      <c r="T256" s="234"/>
      <c r="U256" s="234"/>
    </row>
    <row r="257" spans="3:21" s="144" customFormat="1" ht="19.5" customHeight="1">
      <c r="C257" s="147">
        <v>252</v>
      </c>
      <c r="D257" s="142" t="s">
        <v>1707</v>
      </c>
      <c r="E257" s="197" t="s">
        <v>1967</v>
      </c>
      <c r="F257" s="231" t="s">
        <v>3923</v>
      </c>
      <c r="G257" s="232" t="s">
        <v>1968</v>
      </c>
      <c r="H257" s="221" t="s">
        <v>2056</v>
      </c>
      <c r="I257" s="222" t="s">
        <v>2057</v>
      </c>
      <c r="J257" s="137"/>
      <c r="K257" s="218" t="s">
        <v>1163</v>
      </c>
      <c r="L257" s="189">
        <f t="shared" si="14"/>
        <v>4</v>
      </c>
      <c r="M257" s="140">
        <f t="shared" si="12"/>
        <v>1</v>
      </c>
      <c r="N257" s="141">
        <f t="shared" si="13"/>
        <v>4</v>
      </c>
      <c r="O257" s="140" t="s">
        <v>1156</v>
      </c>
      <c r="P257" s="143" t="s">
        <v>1780</v>
      </c>
      <c r="R257" s="177"/>
      <c r="S257" s="233"/>
      <c r="T257" s="234"/>
      <c r="U257" s="234"/>
    </row>
    <row r="258" spans="3:21" s="144" customFormat="1" ht="19.5" customHeight="1">
      <c r="C258" s="147">
        <v>253</v>
      </c>
      <c r="D258" s="142" t="s">
        <v>1707</v>
      </c>
      <c r="E258" s="197" t="s">
        <v>1967</v>
      </c>
      <c r="F258" s="231" t="s">
        <v>3924</v>
      </c>
      <c r="G258" s="232" t="s">
        <v>1968</v>
      </c>
      <c r="H258" s="221" t="s">
        <v>2056</v>
      </c>
      <c r="I258" s="222" t="s">
        <v>2058</v>
      </c>
      <c r="J258" s="137"/>
      <c r="K258" s="218" t="s">
        <v>1985</v>
      </c>
      <c r="L258" s="189">
        <f t="shared" si="14"/>
        <v>4</v>
      </c>
      <c r="M258" s="140">
        <f t="shared" si="12"/>
        <v>1</v>
      </c>
      <c r="N258" s="141">
        <f t="shared" si="13"/>
        <v>4</v>
      </c>
      <c r="O258" s="140" t="s">
        <v>1156</v>
      </c>
      <c r="P258" s="143" t="s">
        <v>1780</v>
      </c>
      <c r="R258" s="177"/>
      <c r="S258" s="233"/>
      <c r="T258" s="234"/>
      <c r="U258" s="234"/>
    </row>
    <row r="259" spans="3:21" s="144" customFormat="1" ht="19.5" customHeight="1">
      <c r="C259" s="147">
        <v>254</v>
      </c>
      <c r="D259" s="142" t="s">
        <v>1707</v>
      </c>
      <c r="E259" s="197" t="s">
        <v>1967</v>
      </c>
      <c r="F259" s="231" t="s">
        <v>3925</v>
      </c>
      <c r="G259" s="232" t="s">
        <v>1968</v>
      </c>
      <c r="H259" s="221" t="s">
        <v>2056</v>
      </c>
      <c r="I259" s="222" t="s">
        <v>2059</v>
      </c>
      <c r="J259" s="137"/>
      <c r="K259" s="249" t="s">
        <v>1170</v>
      </c>
      <c r="L259" s="189">
        <f t="shared" si="14"/>
        <v>5.2</v>
      </c>
      <c r="M259" s="140">
        <f t="shared" si="12"/>
        <v>1</v>
      </c>
      <c r="N259" s="141">
        <f t="shared" si="13"/>
        <v>5.2</v>
      </c>
      <c r="O259" s="140" t="s">
        <v>1156</v>
      </c>
      <c r="P259" s="143" t="s">
        <v>1780</v>
      </c>
      <c r="R259" s="177"/>
      <c r="S259" s="233"/>
      <c r="T259" s="234"/>
      <c r="U259" s="234"/>
    </row>
    <row r="260" spans="3:21" s="144" customFormat="1" ht="19.5" customHeight="1">
      <c r="C260" s="147">
        <v>255</v>
      </c>
      <c r="D260" s="142" t="s">
        <v>1707</v>
      </c>
      <c r="E260" s="197" t="s">
        <v>1967</v>
      </c>
      <c r="F260" s="231" t="s">
        <v>3926</v>
      </c>
      <c r="G260" s="232" t="s">
        <v>1968</v>
      </c>
      <c r="H260" s="221" t="s">
        <v>2056</v>
      </c>
      <c r="I260" s="222" t="s">
        <v>2060</v>
      </c>
      <c r="J260" s="137"/>
      <c r="K260" s="218" t="s">
        <v>1170</v>
      </c>
      <c r="L260" s="189">
        <f t="shared" si="14"/>
        <v>5.2</v>
      </c>
      <c r="M260" s="140">
        <f t="shared" si="12"/>
        <v>1</v>
      </c>
      <c r="N260" s="141">
        <f t="shared" si="13"/>
        <v>5.2</v>
      </c>
      <c r="O260" s="140" t="s">
        <v>1156</v>
      </c>
      <c r="P260" s="143" t="s">
        <v>1780</v>
      </c>
      <c r="R260" s="177"/>
      <c r="S260" s="233"/>
      <c r="T260" s="234"/>
      <c r="U260" s="234"/>
    </row>
    <row r="261" spans="3:21" s="144" customFormat="1" ht="19.5" customHeight="1">
      <c r="C261" s="147">
        <v>256</v>
      </c>
      <c r="D261" s="142" t="s">
        <v>1707</v>
      </c>
      <c r="E261" s="197" t="s">
        <v>1967</v>
      </c>
      <c r="F261" s="231" t="s">
        <v>3927</v>
      </c>
      <c r="G261" s="232" t="s">
        <v>1968</v>
      </c>
      <c r="H261" s="221" t="s">
        <v>2056</v>
      </c>
      <c r="I261" s="222" t="s">
        <v>2061</v>
      </c>
      <c r="J261" s="137"/>
      <c r="K261" s="218" t="s">
        <v>1985</v>
      </c>
      <c r="L261" s="189">
        <f t="shared" si="14"/>
        <v>4</v>
      </c>
      <c r="M261" s="140">
        <f t="shared" si="12"/>
        <v>1</v>
      </c>
      <c r="N261" s="141">
        <f t="shared" si="13"/>
        <v>4</v>
      </c>
      <c r="O261" s="140" t="s">
        <v>1156</v>
      </c>
      <c r="P261" s="143" t="s">
        <v>1780</v>
      </c>
      <c r="R261" s="177"/>
      <c r="S261" s="233"/>
      <c r="T261" s="234"/>
      <c r="U261" s="234"/>
    </row>
    <row r="262" spans="3:21" s="144" customFormat="1" ht="19.5" customHeight="1">
      <c r="C262" s="147">
        <v>257</v>
      </c>
      <c r="D262" s="142" t="s">
        <v>1707</v>
      </c>
      <c r="E262" s="197" t="s">
        <v>1967</v>
      </c>
      <c r="F262" s="231" t="s">
        <v>3928</v>
      </c>
      <c r="G262" s="232" t="s">
        <v>1968</v>
      </c>
      <c r="H262" s="221" t="s">
        <v>2056</v>
      </c>
      <c r="I262" s="222" t="s">
        <v>2062</v>
      </c>
      <c r="J262" s="137"/>
      <c r="K262" s="218" t="s">
        <v>1985</v>
      </c>
      <c r="L262" s="189">
        <f t="shared" si="14"/>
        <v>4</v>
      </c>
      <c r="M262" s="140">
        <f t="shared" ref="M262:M325" si="15">IF(O262="","",IF(O262="신규",1,IF(O262="고도화",1.04,IF(O262="재사용",0.25))))</f>
        <v>1</v>
      </c>
      <c r="N262" s="141">
        <f t="shared" ref="N262:N325" si="16">L262*M262</f>
        <v>4</v>
      </c>
      <c r="O262" s="140" t="s">
        <v>1156</v>
      </c>
      <c r="P262" s="143" t="s">
        <v>1780</v>
      </c>
      <c r="R262" s="177"/>
      <c r="S262" s="233"/>
      <c r="T262" s="234"/>
      <c r="U262" s="234"/>
    </row>
    <row r="263" spans="3:21" s="144" customFormat="1" ht="19.5" customHeight="1">
      <c r="C263" s="147">
        <v>258</v>
      </c>
      <c r="D263" s="142" t="s">
        <v>1707</v>
      </c>
      <c r="E263" s="197" t="s">
        <v>1967</v>
      </c>
      <c r="F263" s="231" t="s">
        <v>3929</v>
      </c>
      <c r="G263" s="232" t="s">
        <v>2063</v>
      </c>
      <c r="H263" s="221" t="s">
        <v>2064</v>
      </c>
      <c r="I263" s="222" t="s">
        <v>2065</v>
      </c>
      <c r="J263" s="137"/>
      <c r="K263" s="218" t="s">
        <v>1985</v>
      </c>
      <c r="L263" s="189">
        <f t="shared" ref="L263:L326" si="17">IF(K263="","",IF(K263="EI",4,IF(K263="EO",5.2,IF(K263="EQ",3.9,IF(K263="ILF",7.5,IF(K263="EIF",5.4))))))</f>
        <v>4</v>
      </c>
      <c r="M263" s="140">
        <f t="shared" si="15"/>
        <v>1</v>
      </c>
      <c r="N263" s="141">
        <f t="shared" si="16"/>
        <v>4</v>
      </c>
      <c r="O263" s="140" t="s">
        <v>1156</v>
      </c>
      <c r="P263" s="143" t="s">
        <v>1780</v>
      </c>
      <c r="R263" s="177"/>
      <c r="S263" s="233"/>
      <c r="T263" s="234"/>
      <c r="U263" s="234"/>
    </row>
    <row r="264" spans="3:21" s="144" customFormat="1" ht="19.5" customHeight="1">
      <c r="C264" s="147">
        <v>259</v>
      </c>
      <c r="D264" s="142" t="s">
        <v>1707</v>
      </c>
      <c r="E264" s="197" t="s">
        <v>1967</v>
      </c>
      <c r="F264" s="231" t="s">
        <v>3930</v>
      </c>
      <c r="G264" s="232" t="s">
        <v>2063</v>
      </c>
      <c r="H264" s="221" t="s">
        <v>2066</v>
      </c>
      <c r="I264" s="222" t="s">
        <v>2067</v>
      </c>
      <c r="J264" s="137"/>
      <c r="K264" s="218" t="s">
        <v>1170</v>
      </c>
      <c r="L264" s="189">
        <f t="shared" si="17"/>
        <v>5.2</v>
      </c>
      <c r="M264" s="140">
        <f t="shared" si="15"/>
        <v>1</v>
      </c>
      <c r="N264" s="141">
        <f t="shared" si="16"/>
        <v>5.2</v>
      </c>
      <c r="O264" s="140" t="s">
        <v>1156</v>
      </c>
      <c r="P264" s="143" t="s">
        <v>1780</v>
      </c>
      <c r="R264" s="177"/>
      <c r="S264" s="233"/>
      <c r="T264" s="234"/>
      <c r="U264" s="234"/>
    </row>
    <row r="265" spans="3:21" s="144" customFormat="1" ht="19.5" customHeight="1">
      <c r="C265" s="147">
        <v>260</v>
      </c>
      <c r="D265" s="142" t="s">
        <v>1707</v>
      </c>
      <c r="E265" s="197" t="s">
        <v>1967</v>
      </c>
      <c r="F265" s="231" t="s">
        <v>3931</v>
      </c>
      <c r="G265" s="232" t="s">
        <v>2063</v>
      </c>
      <c r="H265" s="221" t="s">
        <v>2066</v>
      </c>
      <c r="I265" s="222" t="s">
        <v>2068</v>
      </c>
      <c r="J265" s="137"/>
      <c r="K265" s="218" t="s">
        <v>1170</v>
      </c>
      <c r="L265" s="189">
        <f t="shared" si="17"/>
        <v>5.2</v>
      </c>
      <c r="M265" s="140">
        <f t="shared" si="15"/>
        <v>1</v>
      </c>
      <c r="N265" s="141">
        <f t="shared" si="16"/>
        <v>5.2</v>
      </c>
      <c r="O265" s="140" t="s">
        <v>1156</v>
      </c>
      <c r="P265" s="143" t="s">
        <v>1780</v>
      </c>
      <c r="R265" s="177"/>
      <c r="S265" s="233"/>
      <c r="T265" s="234"/>
      <c r="U265" s="234"/>
    </row>
    <row r="266" spans="3:21" s="144" customFormat="1" ht="19.5" customHeight="1">
      <c r="C266" s="147">
        <v>261</v>
      </c>
      <c r="D266" s="142" t="s">
        <v>1707</v>
      </c>
      <c r="E266" s="197" t="s">
        <v>1967</v>
      </c>
      <c r="F266" s="231" t="s">
        <v>3932</v>
      </c>
      <c r="G266" s="232" t="s">
        <v>2063</v>
      </c>
      <c r="H266" s="221" t="s">
        <v>2066</v>
      </c>
      <c r="I266" s="222" t="s">
        <v>2069</v>
      </c>
      <c r="J266" s="137"/>
      <c r="K266" s="218" t="s">
        <v>1170</v>
      </c>
      <c r="L266" s="189">
        <f t="shared" si="17"/>
        <v>5.2</v>
      </c>
      <c r="M266" s="140">
        <f t="shared" si="15"/>
        <v>1</v>
      </c>
      <c r="N266" s="141">
        <f t="shared" si="16"/>
        <v>5.2</v>
      </c>
      <c r="O266" s="140" t="s">
        <v>1156</v>
      </c>
      <c r="P266" s="143" t="s">
        <v>1780</v>
      </c>
      <c r="R266" s="177"/>
      <c r="S266" s="233"/>
      <c r="T266" s="234"/>
      <c r="U266" s="234"/>
    </row>
    <row r="267" spans="3:21" s="144" customFormat="1" ht="19.5" customHeight="1">
      <c r="C267" s="147">
        <v>262</v>
      </c>
      <c r="D267" s="142" t="s">
        <v>1707</v>
      </c>
      <c r="E267" s="197" t="s">
        <v>1967</v>
      </c>
      <c r="F267" s="231" t="s">
        <v>3933</v>
      </c>
      <c r="G267" s="232" t="s">
        <v>2063</v>
      </c>
      <c r="H267" s="221" t="s">
        <v>2070</v>
      </c>
      <c r="I267" s="222" t="s">
        <v>2071</v>
      </c>
      <c r="J267" s="137"/>
      <c r="K267" s="218" t="s">
        <v>1160</v>
      </c>
      <c r="L267" s="189">
        <f t="shared" si="17"/>
        <v>3.9</v>
      </c>
      <c r="M267" s="140">
        <f t="shared" si="15"/>
        <v>1</v>
      </c>
      <c r="N267" s="141">
        <f t="shared" si="16"/>
        <v>3.9</v>
      </c>
      <c r="O267" s="140" t="s">
        <v>1156</v>
      </c>
      <c r="P267" s="143" t="s">
        <v>1780</v>
      </c>
      <c r="R267" s="177"/>
      <c r="S267" s="233"/>
      <c r="T267" s="234"/>
      <c r="U267" s="234"/>
    </row>
    <row r="268" spans="3:21" s="144" customFormat="1" ht="19.5" customHeight="1">
      <c r="C268" s="147">
        <v>263</v>
      </c>
      <c r="D268" s="142" t="s">
        <v>1707</v>
      </c>
      <c r="E268" s="197" t="s">
        <v>1967</v>
      </c>
      <c r="F268" s="231" t="s">
        <v>3934</v>
      </c>
      <c r="G268" s="232" t="s">
        <v>2063</v>
      </c>
      <c r="H268" s="221" t="s">
        <v>2070</v>
      </c>
      <c r="I268" s="222" t="s">
        <v>2072</v>
      </c>
      <c r="J268" s="137"/>
      <c r="K268" s="218" t="s">
        <v>1170</v>
      </c>
      <c r="L268" s="189">
        <f t="shared" si="17"/>
        <v>5.2</v>
      </c>
      <c r="M268" s="140">
        <f t="shared" si="15"/>
        <v>1</v>
      </c>
      <c r="N268" s="141">
        <f t="shared" si="16"/>
        <v>5.2</v>
      </c>
      <c r="O268" s="140" t="s">
        <v>1156</v>
      </c>
      <c r="P268" s="143" t="s">
        <v>1780</v>
      </c>
      <c r="R268" s="177"/>
      <c r="S268" s="233"/>
      <c r="T268" s="234"/>
      <c r="U268" s="234"/>
    </row>
    <row r="269" spans="3:21" s="144" customFormat="1" ht="19.5" customHeight="1">
      <c r="C269" s="147">
        <v>264</v>
      </c>
      <c r="D269" s="142" t="s">
        <v>1707</v>
      </c>
      <c r="E269" s="197" t="s">
        <v>1967</v>
      </c>
      <c r="F269" s="231" t="s">
        <v>3935</v>
      </c>
      <c r="G269" s="232" t="s">
        <v>2063</v>
      </c>
      <c r="H269" s="221" t="s">
        <v>2070</v>
      </c>
      <c r="I269" s="222" t="s">
        <v>2073</v>
      </c>
      <c r="J269" s="137"/>
      <c r="K269" s="218" t="s">
        <v>1985</v>
      </c>
      <c r="L269" s="189">
        <f t="shared" si="17"/>
        <v>4</v>
      </c>
      <c r="M269" s="140">
        <f t="shared" si="15"/>
        <v>1</v>
      </c>
      <c r="N269" s="141">
        <f t="shared" si="16"/>
        <v>4</v>
      </c>
      <c r="O269" s="140" t="s">
        <v>1156</v>
      </c>
      <c r="P269" s="143" t="s">
        <v>1780</v>
      </c>
      <c r="R269" s="177"/>
      <c r="S269" s="233"/>
      <c r="T269" s="234"/>
      <c r="U269" s="234"/>
    </row>
    <row r="270" spans="3:21" s="144" customFormat="1" ht="19.5" customHeight="1">
      <c r="C270" s="147">
        <v>265</v>
      </c>
      <c r="D270" s="142" t="s">
        <v>1707</v>
      </c>
      <c r="E270" s="197" t="s">
        <v>1967</v>
      </c>
      <c r="F270" s="231" t="s">
        <v>3936</v>
      </c>
      <c r="G270" s="232" t="s">
        <v>2063</v>
      </c>
      <c r="H270" s="221" t="s">
        <v>2070</v>
      </c>
      <c r="I270" s="222" t="s">
        <v>2074</v>
      </c>
      <c r="J270" s="137"/>
      <c r="K270" s="218" t="s">
        <v>1170</v>
      </c>
      <c r="L270" s="189">
        <f t="shared" si="17"/>
        <v>5.2</v>
      </c>
      <c r="M270" s="140">
        <f t="shared" si="15"/>
        <v>1</v>
      </c>
      <c r="N270" s="141">
        <f t="shared" si="16"/>
        <v>5.2</v>
      </c>
      <c r="O270" s="140" t="s">
        <v>1156</v>
      </c>
      <c r="P270" s="143" t="s">
        <v>1780</v>
      </c>
      <c r="R270" s="177"/>
      <c r="S270" s="233"/>
      <c r="T270" s="234"/>
      <c r="U270" s="234"/>
    </row>
    <row r="271" spans="3:21" s="144" customFormat="1" ht="19.5" customHeight="1">
      <c r="C271" s="147">
        <v>266</v>
      </c>
      <c r="D271" s="142" t="s">
        <v>1707</v>
      </c>
      <c r="E271" s="197" t="s">
        <v>1967</v>
      </c>
      <c r="F271" s="231" t="s">
        <v>3937</v>
      </c>
      <c r="G271" s="232" t="s">
        <v>2063</v>
      </c>
      <c r="H271" s="221" t="s">
        <v>2070</v>
      </c>
      <c r="I271" s="222" t="s">
        <v>2075</v>
      </c>
      <c r="J271" s="137"/>
      <c r="K271" s="218" t="s">
        <v>1170</v>
      </c>
      <c r="L271" s="189">
        <f t="shared" si="17"/>
        <v>5.2</v>
      </c>
      <c r="M271" s="140">
        <f t="shared" si="15"/>
        <v>1</v>
      </c>
      <c r="N271" s="141">
        <f t="shared" si="16"/>
        <v>5.2</v>
      </c>
      <c r="O271" s="140" t="s">
        <v>1156</v>
      </c>
      <c r="P271" s="143" t="s">
        <v>1780</v>
      </c>
      <c r="R271" s="177"/>
      <c r="S271" s="233"/>
      <c r="T271" s="234"/>
      <c r="U271" s="234"/>
    </row>
    <row r="272" spans="3:21" s="144" customFormat="1" ht="19.5" customHeight="1">
      <c r="C272" s="147">
        <v>267</v>
      </c>
      <c r="D272" s="142" t="s">
        <v>1707</v>
      </c>
      <c r="E272" s="197" t="s">
        <v>1967</v>
      </c>
      <c r="F272" s="231" t="s">
        <v>3938</v>
      </c>
      <c r="G272" s="232" t="s">
        <v>2063</v>
      </c>
      <c r="H272" s="221" t="s">
        <v>2070</v>
      </c>
      <c r="I272" s="222" t="s">
        <v>2076</v>
      </c>
      <c r="J272" s="137"/>
      <c r="K272" s="138" t="s">
        <v>1416</v>
      </c>
      <c r="L272" s="189">
        <f t="shared" si="17"/>
        <v>5.4</v>
      </c>
      <c r="M272" s="140">
        <f t="shared" si="15"/>
        <v>1</v>
      </c>
      <c r="N272" s="141">
        <f t="shared" si="16"/>
        <v>5.4</v>
      </c>
      <c r="O272" s="140" t="s">
        <v>1156</v>
      </c>
      <c r="P272" s="143" t="s">
        <v>1780</v>
      </c>
      <c r="R272" s="177"/>
      <c r="S272" s="233"/>
      <c r="T272" s="234"/>
      <c r="U272" s="234"/>
    </row>
    <row r="273" spans="3:21" s="144" customFormat="1" ht="19.5" customHeight="1">
      <c r="C273" s="147">
        <v>268</v>
      </c>
      <c r="D273" s="142" t="s">
        <v>1707</v>
      </c>
      <c r="E273" s="197" t="s">
        <v>1967</v>
      </c>
      <c r="F273" s="231" t="s">
        <v>3939</v>
      </c>
      <c r="G273" s="232" t="s">
        <v>2063</v>
      </c>
      <c r="H273" s="221" t="s">
        <v>2077</v>
      </c>
      <c r="I273" s="222" t="s">
        <v>2078</v>
      </c>
      <c r="J273" s="137"/>
      <c r="K273" s="218" t="s">
        <v>1170</v>
      </c>
      <c r="L273" s="189">
        <f t="shared" si="17"/>
        <v>5.2</v>
      </c>
      <c r="M273" s="140">
        <f t="shared" si="15"/>
        <v>1</v>
      </c>
      <c r="N273" s="141">
        <f t="shared" si="16"/>
        <v>5.2</v>
      </c>
      <c r="O273" s="140" t="s">
        <v>1156</v>
      </c>
      <c r="P273" s="143" t="s">
        <v>1780</v>
      </c>
      <c r="R273" s="177"/>
      <c r="S273" s="233"/>
      <c r="T273" s="234"/>
      <c r="U273" s="234"/>
    </row>
    <row r="274" spans="3:21" s="144" customFormat="1" ht="19.5" customHeight="1">
      <c r="C274" s="147">
        <v>269</v>
      </c>
      <c r="D274" s="142" t="s">
        <v>1707</v>
      </c>
      <c r="E274" s="197" t="s">
        <v>1967</v>
      </c>
      <c r="F274" s="231" t="s">
        <v>3940</v>
      </c>
      <c r="G274" s="232" t="s">
        <v>2063</v>
      </c>
      <c r="H274" s="221" t="s">
        <v>2079</v>
      </c>
      <c r="I274" s="222" t="s">
        <v>2080</v>
      </c>
      <c r="J274" s="137"/>
      <c r="K274" s="138" t="s">
        <v>1416</v>
      </c>
      <c r="L274" s="189">
        <f t="shared" si="17"/>
        <v>5.4</v>
      </c>
      <c r="M274" s="140">
        <f t="shared" si="15"/>
        <v>1</v>
      </c>
      <c r="N274" s="141">
        <f t="shared" si="16"/>
        <v>5.4</v>
      </c>
      <c r="O274" s="140" t="s">
        <v>1156</v>
      </c>
      <c r="P274" s="143" t="s">
        <v>1780</v>
      </c>
      <c r="R274" s="177"/>
      <c r="S274" s="233"/>
      <c r="T274" s="234"/>
      <c r="U274" s="234"/>
    </row>
    <row r="275" spans="3:21" s="144" customFormat="1" ht="19.5" customHeight="1">
      <c r="C275" s="147">
        <v>270</v>
      </c>
      <c r="D275" s="142" t="s">
        <v>1707</v>
      </c>
      <c r="E275" s="197" t="s">
        <v>1967</v>
      </c>
      <c r="F275" s="231" t="s">
        <v>3941</v>
      </c>
      <c r="G275" s="232" t="s">
        <v>2063</v>
      </c>
      <c r="H275" s="221" t="s">
        <v>2079</v>
      </c>
      <c r="I275" s="222" t="s">
        <v>2081</v>
      </c>
      <c r="J275" s="137"/>
      <c r="K275" s="138" t="s">
        <v>1416</v>
      </c>
      <c r="L275" s="189">
        <f t="shared" si="17"/>
        <v>5.4</v>
      </c>
      <c r="M275" s="140">
        <f t="shared" si="15"/>
        <v>1</v>
      </c>
      <c r="N275" s="141">
        <f t="shared" si="16"/>
        <v>5.4</v>
      </c>
      <c r="O275" s="140" t="s">
        <v>1156</v>
      </c>
      <c r="P275" s="143" t="s">
        <v>1780</v>
      </c>
      <c r="R275" s="177"/>
      <c r="S275" s="233"/>
      <c r="T275" s="234"/>
      <c r="U275" s="234"/>
    </row>
    <row r="276" spans="3:21" s="144" customFormat="1" ht="19.5" customHeight="1">
      <c r="C276" s="147">
        <v>271</v>
      </c>
      <c r="D276" s="142" t="s">
        <v>1707</v>
      </c>
      <c r="E276" s="197" t="s">
        <v>1967</v>
      </c>
      <c r="F276" s="231" t="s">
        <v>3942</v>
      </c>
      <c r="G276" s="232" t="s">
        <v>2063</v>
      </c>
      <c r="H276" s="221" t="s">
        <v>2079</v>
      </c>
      <c r="I276" s="222" t="s">
        <v>2082</v>
      </c>
      <c r="J276" s="137"/>
      <c r="K276" s="138" t="s">
        <v>1416</v>
      </c>
      <c r="L276" s="189">
        <f t="shared" si="17"/>
        <v>5.4</v>
      </c>
      <c r="M276" s="140">
        <f t="shared" si="15"/>
        <v>1</v>
      </c>
      <c r="N276" s="141">
        <f t="shared" si="16"/>
        <v>5.4</v>
      </c>
      <c r="O276" s="140" t="s">
        <v>1156</v>
      </c>
      <c r="P276" s="143" t="s">
        <v>1780</v>
      </c>
      <c r="R276" s="177"/>
      <c r="S276" s="233"/>
      <c r="T276" s="234"/>
      <c r="U276" s="234"/>
    </row>
    <row r="277" spans="3:21" s="144" customFormat="1" ht="19.5" customHeight="1">
      <c r="C277" s="147">
        <v>272</v>
      </c>
      <c r="D277" s="142" t="s">
        <v>1707</v>
      </c>
      <c r="E277" s="197" t="s">
        <v>1967</v>
      </c>
      <c r="F277" s="231" t="s">
        <v>3943</v>
      </c>
      <c r="G277" s="232" t="s">
        <v>2063</v>
      </c>
      <c r="H277" s="221" t="s">
        <v>2083</v>
      </c>
      <c r="I277" s="222" t="s">
        <v>2084</v>
      </c>
      <c r="J277" s="137"/>
      <c r="K277" s="218" t="s">
        <v>1160</v>
      </c>
      <c r="L277" s="189">
        <f t="shared" si="17"/>
        <v>3.9</v>
      </c>
      <c r="M277" s="140">
        <f t="shared" si="15"/>
        <v>1</v>
      </c>
      <c r="N277" s="141">
        <f t="shared" si="16"/>
        <v>3.9</v>
      </c>
      <c r="O277" s="140" t="s">
        <v>1156</v>
      </c>
      <c r="P277" s="143" t="s">
        <v>1780</v>
      </c>
      <c r="R277" s="177"/>
      <c r="S277" s="233"/>
      <c r="T277" s="234"/>
      <c r="U277" s="234"/>
    </row>
    <row r="278" spans="3:21" s="144" customFormat="1" ht="19.5" customHeight="1">
      <c r="C278" s="147">
        <v>273</v>
      </c>
      <c r="D278" s="142" t="s">
        <v>1707</v>
      </c>
      <c r="E278" s="197" t="s">
        <v>1967</v>
      </c>
      <c r="F278" s="231" t="s">
        <v>3944</v>
      </c>
      <c r="G278" s="232" t="s">
        <v>2063</v>
      </c>
      <c r="H278" s="221" t="s">
        <v>2085</v>
      </c>
      <c r="I278" s="222" t="s">
        <v>2086</v>
      </c>
      <c r="J278" s="137"/>
      <c r="K278" s="249" t="s">
        <v>1170</v>
      </c>
      <c r="L278" s="189">
        <f t="shared" si="17"/>
        <v>5.2</v>
      </c>
      <c r="M278" s="140">
        <f t="shared" si="15"/>
        <v>1</v>
      </c>
      <c r="N278" s="141">
        <f t="shared" si="16"/>
        <v>5.2</v>
      </c>
      <c r="O278" s="140" t="s">
        <v>1156</v>
      </c>
      <c r="P278" s="143" t="s">
        <v>1780</v>
      </c>
      <c r="R278" s="177"/>
      <c r="S278" s="233"/>
      <c r="T278" s="234"/>
      <c r="U278" s="234"/>
    </row>
    <row r="279" spans="3:21" s="144" customFormat="1" ht="19.5" customHeight="1">
      <c r="C279" s="147">
        <v>274</v>
      </c>
      <c r="D279" s="142" t="s">
        <v>1707</v>
      </c>
      <c r="E279" s="197" t="s">
        <v>1967</v>
      </c>
      <c r="F279" s="231" t="s">
        <v>3945</v>
      </c>
      <c r="G279" s="232" t="s">
        <v>2063</v>
      </c>
      <c r="H279" s="221" t="s">
        <v>2085</v>
      </c>
      <c r="I279" s="222" t="s">
        <v>2087</v>
      </c>
      <c r="J279" s="137"/>
      <c r="K279" s="218" t="s">
        <v>1160</v>
      </c>
      <c r="L279" s="189">
        <f t="shared" si="17"/>
        <v>3.9</v>
      </c>
      <c r="M279" s="140">
        <f t="shared" si="15"/>
        <v>1</v>
      </c>
      <c r="N279" s="141">
        <f t="shared" si="16"/>
        <v>3.9</v>
      </c>
      <c r="O279" s="140" t="s">
        <v>1156</v>
      </c>
      <c r="P279" s="143" t="s">
        <v>1780</v>
      </c>
      <c r="R279" s="177"/>
      <c r="S279" s="233"/>
      <c r="T279" s="234"/>
      <c r="U279" s="234"/>
    </row>
    <row r="280" spans="3:21" s="144" customFormat="1" ht="19.5" customHeight="1">
      <c r="C280" s="147">
        <v>275</v>
      </c>
      <c r="D280" s="142" t="s">
        <v>1707</v>
      </c>
      <c r="E280" s="197" t="s">
        <v>1967</v>
      </c>
      <c r="F280" s="231" t="s">
        <v>3946</v>
      </c>
      <c r="G280" s="232" t="s">
        <v>2063</v>
      </c>
      <c r="H280" s="221" t="s">
        <v>2088</v>
      </c>
      <c r="I280" s="222" t="s">
        <v>2089</v>
      </c>
      <c r="J280" s="137"/>
      <c r="K280" s="218" t="s">
        <v>1160</v>
      </c>
      <c r="L280" s="189">
        <f t="shared" si="17"/>
        <v>3.9</v>
      </c>
      <c r="M280" s="140">
        <f t="shared" si="15"/>
        <v>1</v>
      </c>
      <c r="N280" s="141">
        <f t="shared" si="16"/>
        <v>3.9</v>
      </c>
      <c r="O280" s="140" t="s">
        <v>1156</v>
      </c>
      <c r="P280" s="143" t="s">
        <v>1780</v>
      </c>
      <c r="R280" s="177"/>
      <c r="S280" s="233"/>
      <c r="T280" s="234"/>
      <c r="U280" s="234"/>
    </row>
    <row r="281" spans="3:21" s="144" customFormat="1" ht="19.5" customHeight="1">
      <c r="C281" s="147">
        <v>276</v>
      </c>
      <c r="D281" s="142" t="s">
        <v>1707</v>
      </c>
      <c r="E281" s="197" t="s">
        <v>1967</v>
      </c>
      <c r="F281" s="231" t="s">
        <v>3947</v>
      </c>
      <c r="G281" s="232" t="s">
        <v>2063</v>
      </c>
      <c r="H281" s="221" t="s">
        <v>2090</v>
      </c>
      <c r="I281" s="222" t="s">
        <v>2091</v>
      </c>
      <c r="J281" s="137"/>
      <c r="K281" s="218" t="s">
        <v>1985</v>
      </c>
      <c r="L281" s="189">
        <f t="shared" si="17"/>
        <v>4</v>
      </c>
      <c r="M281" s="140">
        <f t="shared" si="15"/>
        <v>1</v>
      </c>
      <c r="N281" s="141">
        <f t="shared" si="16"/>
        <v>4</v>
      </c>
      <c r="O281" s="140" t="s">
        <v>1156</v>
      </c>
      <c r="P281" s="143" t="s">
        <v>1780</v>
      </c>
      <c r="R281" s="177"/>
      <c r="S281" s="233"/>
      <c r="T281" s="234"/>
      <c r="U281" s="234"/>
    </row>
    <row r="282" spans="3:21" s="144" customFormat="1" ht="19.5" customHeight="1">
      <c r="C282" s="147">
        <v>277</v>
      </c>
      <c r="D282" s="142" t="s">
        <v>1707</v>
      </c>
      <c r="E282" s="197" t="s">
        <v>1967</v>
      </c>
      <c r="F282" s="231" t="s">
        <v>3948</v>
      </c>
      <c r="G282" s="232" t="s">
        <v>2063</v>
      </c>
      <c r="H282" s="221" t="s">
        <v>2090</v>
      </c>
      <c r="I282" s="222" t="s">
        <v>2092</v>
      </c>
      <c r="J282" s="137"/>
      <c r="K282" s="218" t="s">
        <v>1985</v>
      </c>
      <c r="L282" s="189">
        <f t="shared" si="17"/>
        <v>4</v>
      </c>
      <c r="M282" s="140">
        <f t="shared" si="15"/>
        <v>1</v>
      </c>
      <c r="N282" s="141">
        <f t="shared" si="16"/>
        <v>4</v>
      </c>
      <c r="O282" s="140" t="s">
        <v>1156</v>
      </c>
      <c r="P282" s="143" t="s">
        <v>1780</v>
      </c>
      <c r="R282" s="177"/>
      <c r="S282" s="233"/>
      <c r="T282" s="234"/>
      <c r="U282" s="234"/>
    </row>
    <row r="283" spans="3:21" s="144" customFormat="1" ht="19.5" customHeight="1">
      <c r="C283" s="147">
        <v>278</v>
      </c>
      <c r="D283" s="142" t="s">
        <v>1707</v>
      </c>
      <c r="E283" s="197" t="s">
        <v>1967</v>
      </c>
      <c r="F283" s="231" t="s">
        <v>3949</v>
      </c>
      <c r="G283" s="232" t="s">
        <v>2063</v>
      </c>
      <c r="H283" s="221" t="s">
        <v>2090</v>
      </c>
      <c r="I283" s="222" t="s">
        <v>2093</v>
      </c>
      <c r="J283" s="137"/>
      <c r="K283" s="218" t="s">
        <v>1160</v>
      </c>
      <c r="L283" s="189">
        <f t="shared" si="17"/>
        <v>3.9</v>
      </c>
      <c r="M283" s="140">
        <f t="shared" si="15"/>
        <v>1</v>
      </c>
      <c r="N283" s="141">
        <f t="shared" si="16"/>
        <v>3.9</v>
      </c>
      <c r="O283" s="140" t="s">
        <v>1156</v>
      </c>
      <c r="P283" s="143" t="s">
        <v>1780</v>
      </c>
      <c r="R283" s="177"/>
      <c r="S283" s="233"/>
      <c r="T283" s="234"/>
      <c r="U283" s="234"/>
    </row>
    <row r="284" spans="3:21" s="144" customFormat="1" ht="19.5" customHeight="1">
      <c r="C284" s="147">
        <v>279</v>
      </c>
      <c r="D284" s="142" t="s">
        <v>1707</v>
      </c>
      <c r="E284" s="197" t="s">
        <v>1967</v>
      </c>
      <c r="F284" s="231" t="s">
        <v>3950</v>
      </c>
      <c r="G284" s="232" t="s">
        <v>2063</v>
      </c>
      <c r="H284" s="221" t="s">
        <v>2090</v>
      </c>
      <c r="I284" s="222" t="s">
        <v>2094</v>
      </c>
      <c r="J284" s="137"/>
      <c r="K284" s="138" t="s">
        <v>1416</v>
      </c>
      <c r="L284" s="189">
        <f t="shared" si="17"/>
        <v>5.4</v>
      </c>
      <c r="M284" s="140">
        <f t="shared" si="15"/>
        <v>1</v>
      </c>
      <c r="N284" s="141">
        <f t="shared" si="16"/>
        <v>5.4</v>
      </c>
      <c r="O284" s="140" t="s">
        <v>1156</v>
      </c>
      <c r="P284" s="143" t="s">
        <v>1780</v>
      </c>
      <c r="R284" s="177"/>
      <c r="S284" s="233"/>
      <c r="T284" s="234"/>
      <c r="U284" s="234"/>
    </row>
    <row r="285" spans="3:21" s="144" customFormat="1" ht="19.5" customHeight="1">
      <c r="C285" s="147">
        <v>280</v>
      </c>
      <c r="D285" s="142" t="s">
        <v>1707</v>
      </c>
      <c r="E285" s="197" t="s">
        <v>1967</v>
      </c>
      <c r="F285" s="231" t="s">
        <v>3951</v>
      </c>
      <c r="G285" s="232" t="s">
        <v>2063</v>
      </c>
      <c r="H285" s="221" t="s">
        <v>2095</v>
      </c>
      <c r="I285" s="222" t="s">
        <v>2096</v>
      </c>
      <c r="J285" s="137"/>
      <c r="K285" s="138" t="s">
        <v>1416</v>
      </c>
      <c r="L285" s="189">
        <f t="shared" si="17"/>
        <v>5.4</v>
      </c>
      <c r="M285" s="140">
        <f t="shared" si="15"/>
        <v>1</v>
      </c>
      <c r="N285" s="141">
        <f t="shared" si="16"/>
        <v>5.4</v>
      </c>
      <c r="O285" s="140" t="s">
        <v>1156</v>
      </c>
      <c r="P285" s="143" t="s">
        <v>1780</v>
      </c>
      <c r="R285" s="177"/>
      <c r="S285" s="233"/>
      <c r="T285" s="234"/>
      <c r="U285" s="234"/>
    </row>
    <row r="286" spans="3:21" s="144" customFormat="1" ht="19.5" customHeight="1">
      <c r="C286" s="147">
        <v>281</v>
      </c>
      <c r="D286" s="142" t="s">
        <v>1707</v>
      </c>
      <c r="E286" s="197" t="s">
        <v>1967</v>
      </c>
      <c r="F286" s="231" t="s">
        <v>3952</v>
      </c>
      <c r="G286" s="232" t="s">
        <v>2063</v>
      </c>
      <c r="H286" s="221" t="s">
        <v>2097</v>
      </c>
      <c r="I286" s="222" t="s">
        <v>2098</v>
      </c>
      <c r="J286" s="137"/>
      <c r="K286" s="138" t="s">
        <v>1416</v>
      </c>
      <c r="L286" s="189">
        <f t="shared" si="17"/>
        <v>5.4</v>
      </c>
      <c r="M286" s="140">
        <f t="shared" si="15"/>
        <v>1</v>
      </c>
      <c r="N286" s="141">
        <f t="shared" si="16"/>
        <v>5.4</v>
      </c>
      <c r="O286" s="140" t="s">
        <v>1156</v>
      </c>
      <c r="P286" s="143" t="s">
        <v>1780</v>
      </c>
      <c r="R286" s="177"/>
      <c r="S286" s="233"/>
      <c r="T286" s="234"/>
      <c r="U286" s="234"/>
    </row>
    <row r="287" spans="3:21" s="144" customFormat="1" ht="19.5" customHeight="1">
      <c r="C287" s="147">
        <v>282</v>
      </c>
      <c r="D287" s="142" t="s">
        <v>1707</v>
      </c>
      <c r="E287" s="197" t="s">
        <v>1967</v>
      </c>
      <c r="F287" s="231" t="s">
        <v>3953</v>
      </c>
      <c r="G287" s="232" t="s">
        <v>2063</v>
      </c>
      <c r="H287" s="221" t="s">
        <v>2097</v>
      </c>
      <c r="I287" s="222" t="s">
        <v>2099</v>
      </c>
      <c r="J287" s="137"/>
      <c r="K287" s="138" t="s">
        <v>1416</v>
      </c>
      <c r="L287" s="189">
        <f t="shared" si="17"/>
        <v>5.4</v>
      </c>
      <c r="M287" s="140">
        <f t="shared" si="15"/>
        <v>1</v>
      </c>
      <c r="N287" s="141">
        <f t="shared" si="16"/>
        <v>5.4</v>
      </c>
      <c r="O287" s="140" t="s">
        <v>1156</v>
      </c>
      <c r="P287" s="143" t="s">
        <v>1780</v>
      </c>
      <c r="R287" s="177"/>
      <c r="S287" s="233"/>
      <c r="T287" s="234"/>
      <c r="U287" s="234"/>
    </row>
    <row r="288" spans="3:21" s="144" customFormat="1" ht="19.5" customHeight="1">
      <c r="C288" s="147">
        <v>283</v>
      </c>
      <c r="D288" s="142" t="s">
        <v>1707</v>
      </c>
      <c r="E288" s="197" t="s">
        <v>1967</v>
      </c>
      <c r="F288" s="231" t="s">
        <v>3954</v>
      </c>
      <c r="G288" s="232" t="s">
        <v>2063</v>
      </c>
      <c r="H288" s="221" t="s">
        <v>2097</v>
      </c>
      <c r="I288" s="222" t="s">
        <v>2100</v>
      </c>
      <c r="J288" s="137"/>
      <c r="K288" s="218" t="s">
        <v>1160</v>
      </c>
      <c r="L288" s="189">
        <f t="shared" si="17"/>
        <v>3.9</v>
      </c>
      <c r="M288" s="140">
        <f t="shared" si="15"/>
        <v>1</v>
      </c>
      <c r="N288" s="141">
        <f t="shared" si="16"/>
        <v>3.9</v>
      </c>
      <c r="O288" s="140" t="s">
        <v>1156</v>
      </c>
      <c r="P288" s="143" t="s">
        <v>1780</v>
      </c>
      <c r="R288" s="177"/>
      <c r="S288" s="233"/>
      <c r="T288" s="234"/>
      <c r="U288" s="234"/>
    </row>
    <row r="289" spans="3:21" s="144" customFormat="1" ht="19.5" customHeight="1">
      <c r="C289" s="147">
        <v>284</v>
      </c>
      <c r="D289" s="142" t="s">
        <v>1707</v>
      </c>
      <c r="E289" s="197" t="s">
        <v>1967</v>
      </c>
      <c r="F289" s="231" t="s">
        <v>3955</v>
      </c>
      <c r="G289" s="232" t="s">
        <v>2063</v>
      </c>
      <c r="H289" s="221" t="s">
        <v>2097</v>
      </c>
      <c r="I289" s="222" t="s">
        <v>2101</v>
      </c>
      <c r="J289" s="137"/>
      <c r="K289" s="138" t="s">
        <v>1416</v>
      </c>
      <c r="L289" s="189">
        <f t="shared" si="17"/>
        <v>5.4</v>
      </c>
      <c r="M289" s="140">
        <f t="shared" si="15"/>
        <v>1</v>
      </c>
      <c r="N289" s="141">
        <f t="shared" si="16"/>
        <v>5.4</v>
      </c>
      <c r="O289" s="140" t="s">
        <v>1156</v>
      </c>
      <c r="P289" s="143" t="s">
        <v>1780</v>
      </c>
      <c r="R289" s="177"/>
      <c r="S289" s="233"/>
      <c r="T289" s="234"/>
      <c r="U289" s="234"/>
    </row>
    <row r="290" spans="3:21" s="144" customFormat="1" ht="19.5" customHeight="1">
      <c r="C290" s="147">
        <v>285</v>
      </c>
      <c r="D290" s="142" t="s">
        <v>1707</v>
      </c>
      <c r="E290" s="197" t="s">
        <v>1967</v>
      </c>
      <c r="F290" s="231" t="s">
        <v>3956</v>
      </c>
      <c r="G290" s="232" t="s">
        <v>2063</v>
      </c>
      <c r="H290" s="221" t="s">
        <v>2097</v>
      </c>
      <c r="I290" s="222" t="s">
        <v>2102</v>
      </c>
      <c r="J290" s="137"/>
      <c r="K290" s="138" t="s">
        <v>1416</v>
      </c>
      <c r="L290" s="189">
        <f t="shared" si="17"/>
        <v>5.4</v>
      </c>
      <c r="M290" s="140">
        <f t="shared" si="15"/>
        <v>1</v>
      </c>
      <c r="N290" s="141">
        <f t="shared" si="16"/>
        <v>5.4</v>
      </c>
      <c r="O290" s="140" t="s">
        <v>1156</v>
      </c>
      <c r="P290" s="143" t="s">
        <v>1780</v>
      </c>
      <c r="R290" s="177"/>
      <c r="S290" s="233"/>
      <c r="T290" s="234"/>
      <c r="U290" s="234"/>
    </row>
    <row r="291" spans="3:21" s="144" customFormat="1" ht="19.5" customHeight="1">
      <c r="C291" s="147">
        <v>286</v>
      </c>
      <c r="D291" s="142" t="s">
        <v>1707</v>
      </c>
      <c r="E291" s="197" t="s">
        <v>1967</v>
      </c>
      <c r="F291" s="231" t="s">
        <v>3957</v>
      </c>
      <c r="G291" s="232" t="s">
        <v>2063</v>
      </c>
      <c r="H291" s="221" t="s">
        <v>2097</v>
      </c>
      <c r="I291" s="222" t="s">
        <v>2103</v>
      </c>
      <c r="J291" s="137"/>
      <c r="K291" s="218" t="s">
        <v>1607</v>
      </c>
      <c r="L291" s="189">
        <f t="shared" si="17"/>
        <v>5.4</v>
      </c>
      <c r="M291" s="140">
        <f t="shared" si="15"/>
        <v>1</v>
      </c>
      <c r="N291" s="141">
        <f t="shared" si="16"/>
        <v>5.4</v>
      </c>
      <c r="O291" s="140" t="s">
        <v>1156</v>
      </c>
      <c r="P291" s="143" t="s">
        <v>1780</v>
      </c>
      <c r="R291" s="177"/>
      <c r="S291" s="233"/>
      <c r="T291" s="234"/>
      <c r="U291" s="234"/>
    </row>
    <row r="292" spans="3:21" s="144" customFormat="1" ht="19.5" customHeight="1">
      <c r="C292" s="147">
        <v>287</v>
      </c>
      <c r="D292" s="142" t="s">
        <v>1707</v>
      </c>
      <c r="E292" s="197" t="s">
        <v>1967</v>
      </c>
      <c r="F292" s="231" t="s">
        <v>3958</v>
      </c>
      <c r="G292" s="232" t="s">
        <v>2063</v>
      </c>
      <c r="H292" s="221" t="s">
        <v>2097</v>
      </c>
      <c r="I292" s="222" t="s">
        <v>2104</v>
      </c>
      <c r="J292" s="137"/>
      <c r="K292" s="138" t="s">
        <v>1416</v>
      </c>
      <c r="L292" s="189">
        <f t="shared" si="17"/>
        <v>5.4</v>
      </c>
      <c r="M292" s="140">
        <f t="shared" si="15"/>
        <v>1</v>
      </c>
      <c r="N292" s="141">
        <f t="shared" si="16"/>
        <v>5.4</v>
      </c>
      <c r="O292" s="140" t="s">
        <v>1156</v>
      </c>
      <c r="P292" s="143" t="s">
        <v>1780</v>
      </c>
      <c r="R292" s="177"/>
      <c r="S292" s="233"/>
      <c r="T292" s="234"/>
      <c r="U292" s="234"/>
    </row>
    <row r="293" spans="3:21" s="144" customFormat="1" ht="19.5" customHeight="1">
      <c r="C293" s="147">
        <v>288</v>
      </c>
      <c r="D293" s="142" t="s">
        <v>1707</v>
      </c>
      <c r="E293" s="197" t="s">
        <v>1967</v>
      </c>
      <c r="F293" s="231" t="s">
        <v>3959</v>
      </c>
      <c r="G293" s="232" t="s">
        <v>2105</v>
      </c>
      <c r="H293" s="221" t="s">
        <v>2106</v>
      </c>
      <c r="I293" s="222" t="s">
        <v>2107</v>
      </c>
      <c r="J293" s="137"/>
      <c r="K293" s="138" t="s">
        <v>1416</v>
      </c>
      <c r="L293" s="189">
        <f t="shared" si="17"/>
        <v>5.4</v>
      </c>
      <c r="M293" s="140">
        <f t="shared" si="15"/>
        <v>1</v>
      </c>
      <c r="N293" s="141">
        <f t="shared" si="16"/>
        <v>5.4</v>
      </c>
      <c r="O293" s="140" t="s">
        <v>1156</v>
      </c>
      <c r="P293" s="143" t="s">
        <v>1780</v>
      </c>
      <c r="R293" s="177"/>
      <c r="S293" s="233"/>
      <c r="T293" s="234"/>
      <c r="U293" s="234"/>
    </row>
    <row r="294" spans="3:21" s="144" customFormat="1" ht="19.5" customHeight="1">
      <c r="C294" s="147">
        <v>289</v>
      </c>
      <c r="D294" s="142" t="s">
        <v>1707</v>
      </c>
      <c r="E294" s="197" t="s">
        <v>1967</v>
      </c>
      <c r="F294" s="231" t="s">
        <v>3960</v>
      </c>
      <c r="G294" s="232" t="s">
        <v>2105</v>
      </c>
      <c r="H294" s="221" t="s">
        <v>2106</v>
      </c>
      <c r="I294" s="222" t="s">
        <v>2108</v>
      </c>
      <c r="J294" s="137"/>
      <c r="K294" s="218" t="s">
        <v>1160</v>
      </c>
      <c r="L294" s="189">
        <f t="shared" si="17"/>
        <v>3.9</v>
      </c>
      <c r="M294" s="140">
        <f t="shared" si="15"/>
        <v>1</v>
      </c>
      <c r="N294" s="141">
        <f t="shared" si="16"/>
        <v>3.9</v>
      </c>
      <c r="O294" s="140" t="s">
        <v>1156</v>
      </c>
      <c r="P294" s="143" t="s">
        <v>1780</v>
      </c>
      <c r="R294" s="177"/>
      <c r="S294" s="233"/>
      <c r="T294" s="234"/>
      <c r="U294" s="234"/>
    </row>
    <row r="295" spans="3:21" s="144" customFormat="1" ht="19.5" customHeight="1">
      <c r="C295" s="147">
        <v>290</v>
      </c>
      <c r="D295" s="142" t="s">
        <v>1707</v>
      </c>
      <c r="E295" s="197" t="s">
        <v>1967</v>
      </c>
      <c r="F295" s="231" t="s">
        <v>3961</v>
      </c>
      <c r="G295" s="232" t="s">
        <v>2105</v>
      </c>
      <c r="H295" s="221" t="s">
        <v>2106</v>
      </c>
      <c r="I295" s="222" t="s">
        <v>2109</v>
      </c>
      <c r="J295" s="137"/>
      <c r="K295" s="218" t="s">
        <v>1160</v>
      </c>
      <c r="L295" s="189">
        <f t="shared" si="17"/>
        <v>3.9</v>
      </c>
      <c r="M295" s="140">
        <f t="shared" si="15"/>
        <v>1</v>
      </c>
      <c r="N295" s="141">
        <f t="shared" si="16"/>
        <v>3.9</v>
      </c>
      <c r="O295" s="140" t="s">
        <v>1156</v>
      </c>
      <c r="P295" s="143" t="s">
        <v>1780</v>
      </c>
      <c r="R295" s="177"/>
      <c r="S295" s="233"/>
      <c r="T295" s="234"/>
      <c r="U295" s="234"/>
    </row>
    <row r="296" spans="3:21" s="144" customFormat="1" ht="19.5" customHeight="1">
      <c r="C296" s="147">
        <v>291</v>
      </c>
      <c r="D296" s="142" t="s">
        <v>1707</v>
      </c>
      <c r="E296" s="197" t="s">
        <v>1967</v>
      </c>
      <c r="F296" s="231" t="s">
        <v>3962</v>
      </c>
      <c r="G296" s="232" t="s">
        <v>2105</v>
      </c>
      <c r="H296" s="221" t="s">
        <v>2106</v>
      </c>
      <c r="I296" s="222" t="s">
        <v>2110</v>
      </c>
      <c r="J296" s="137"/>
      <c r="K296" s="218" t="s">
        <v>1985</v>
      </c>
      <c r="L296" s="189">
        <f t="shared" si="17"/>
        <v>4</v>
      </c>
      <c r="M296" s="140">
        <f t="shared" si="15"/>
        <v>1</v>
      </c>
      <c r="N296" s="141">
        <f t="shared" si="16"/>
        <v>4</v>
      </c>
      <c r="O296" s="140" t="s">
        <v>1156</v>
      </c>
      <c r="P296" s="143" t="s">
        <v>1780</v>
      </c>
      <c r="R296" s="177"/>
      <c r="S296" s="233"/>
      <c r="T296" s="234"/>
      <c r="U296" s="234"/>
    </row>
    <row r="297" spans="3:21" s="144" customFormat="1" ht="19.5" customHeight="1">
      <c r="C297" s="147">
        <v>292</v>
      </c>
      <c r="D297" s="142" t="s">
        <v>1707</v>
      </c>
      <c r="E297" s="197" t="s">
        <v>1967</v>
      </c>
      <c r="F297" s="231" t="s">
        <v>3963</v>
      </c>
      <c r="G297" s="232" t="s">
        <v>2105</v>
      </c>
      <c r="H297" s="221" t="s">
        <v>2106</v>
      </c>
      <c r="I297" s="222" t="s">
        <v>2111</v>
      </c>
      <c r="J297" s="137"/>
      <c r="K297" s="218" t="s">
        <v>1985</v>
      </c>
      <c r="L297" s="189">
        <f t="shared" si="17"/>
        <v>4</v>
      </c>
      <c r="M297" s="140">
        <f t="shared" si="15"/>
        <v>1</v>
      </c>
      <c r="N297" s="141">
        <f t="shared" si="16"/>
        <v>4</v>
      </c>
      <c r="O297" s="140" t="s">
        <v>1156</v>
      </c>
      <c r="P297" s="143" t="s">
        <v>1780</v>
      </c>
      <c r="R297" s="177"/>
      <c r="S297" s="233"/>
      <c r="T297" s="234"/>
      <c r="U297" s="234"/>
    </row>
    <row r="298" spans="3:21" s="144" customFormat="1" ht="19.5" customHeight="1">
      <c r="C298" s="147">
        <v>293</v>
      </c>
      <c r="D298" s="142" t="s">
        <v>1707</v>
      </c>
      <c r="E298" s="197" t="s">
        <v>1967</v>
      </c>
      <c r="F298" s="231" t="s">
        <v>3964</v>
      </c>
      <c r="G298" s="232" t="s">
        <v>2105</v>
      </c>
      <c r="H298" s="221" t="s">
        <v>2106</v>
      </c>
      <c r="I298" s="222" t="s">
        <v>2112</v>
      </c>
      <c r="J298" s="137"/>
      <c r="K298" s="138" t="s">
        <v>1416</v>
      </c>
      <c r="L298" s="189">
        <f t="shared" si="17"/>
        <v>5.4</v>
      </c>
      <c r="M298" s="140">
        <f t="shared" si="15"/>
        <v>1</v>
      </c>
      <c r="N298" s="141">
        <f t="shared" si="16"/>
        <v>5.4</v>
      </c>
      <c r="O298" s="140" t="s">
        <v>1156</v>
      </c>
      <c r="P298" s="143" t="s">
        <v>1780</v>
      </c>
      <c r="R298" s="177"/>
      <c r="S298" s="233"/>
      <c r="T298" s="234"/>
      <c r="U298" s="234"/>
    </row>
    <row r="299" spans="3:21" s="144" customFormat="1" ht="19.5" customHeight="1">
      <c r="C299" s="147">
        <v>294</v>
      </c>
      <c r="D299" s="142" t="s">
        <v>1707</v>
      </c>
      <c r="E299" s="197" t="s">
        <v>1967</v>
      </c>
      <c r="F299" s="231" t="s">
        <v>3965</v>
      </c>
      <c r="G299" s="232" t="s">
        <v>2105</v>
      </c>
      <c r="H299" s="221" t="s">
        <v>2113</v>
      </c>
      <c r="I299" s="222" t="s">
        <v>2114</v>
      </c>
      <c r="J299" s="137"/>
      <c r="K299" s="218" t="s">
        <v>1160</v>
      </c>
      <c r="L299" s="189">
        <f t="shared" si="17"/>
        <v>3.9</v>
      </c>
      <c r="M299" s="140">
        <f t="shared" si="15"/>
        <v>1</v>
      </c>
      <c r="N299" s="141">
        <f t="shared" si="16"/>
        <v>3.9</v>
      </c>
      <c r="O299" s="140" t="s">
        <v>1156</v>
      </c>
      <c r="P299" s="143" t="s">
        <v>1780</v>
      </c>
      <c r="R299" s="177"/>
      <c r="S299" s="233"/>
      <c r="T299" s="234"/>
      <c r="U299" s="234"/>
    </row>
    <row r="300" spans="3:21" s="144" customFormat="1" ht="19.5" customHeight="1">
      <c r="C300" s="147">
        <v>295</v>
      </c>
      <c r="D300" s="142" t="s">
        <v>1707</v>
      </c>
      <c r="E300" s="197" t="s">
        <v>1967</v>
      </c>
      <c r="F300" s="231" t="s">
        <v>3966</v>
      </c>
      <c r="G300" s="232" t="s">
        <v>2105</v>
      </c>
      <c r="H300" s="221" t="s">
        <v>2113</v>
      </c>
      <c r="I300" s="222" t="s">
        <v>2115</v>
      </c>
      <c r="J300" s="137"/>
      <c r="K300" s="138" t="s">
        <v>1416</v>
      </c>
      <c r="L300" s="189">
        <f t="shared" si="17"/>
        <v>5.4</v>
      </c>
      <c r="M300" s="140">
        <f t="shared" si="15"/>
        <v>1</v>
      </c>
      <c r="N300" s="141">
        <f t="shared" si="16"/>
        <v>5.4</v>
      </c>
      <c r="O300" s="140" t="s">
        <v>1156</v>
      </c>
      <c r="P300" s="143" t="s">
        <v>1780</v>
      </c>
      <c r="R300" s="177"/>
      <c r="S300" s="233"/>
      <c r="T300" s="234"/>
      <c r="U300" s="234"/>
    </row>
    <row r="301" spans="3:21" s="144" customFormat="1" ht="19.5" customHeight="1">
      <c r="C301" s="147">
        <v>296</v>
      </c>
      <c r="D301" s="142" t="s">
        <v>1707</v>
      </c>
      <c r="E301" s="197" t="s">
        <v>1967</v>
      </c>
      <c r="F301" s="231" t="s">
        <v>3967</v>
      </c>
      <c r="G301" s="232" t="s">
        <v>2105</v>
      </c>
      <c r="H301" s="221" t="s">
        <v>2113</v>
      </c>
      <c r="I301" s="222" t="s">
        <v>2116</v>
      </c>
      <c r="J301" s="137"/>
      <c r="K301" s="138" t="s">
        <v>1416</v>
      </c>
      <c r="L301" s="189">
        <f t="shared" si="17"/>
        <v>5.4</v>
      </c>
      <c r="M301" s="140">
        <f t="shared" si="15"/>
        <v>1</v>
      </c>
      <c r="N301" s="141">
        <f t="shared" si="16"/>
        <v>5.4</v>
      </c>
      <c r="O301" s="140" t="s">
        <v>1156</v>
      </c>
      <c r="P301" s="143" t="s">
        <v>1780</v>
      </c>
      <c r="R301" s="177"/>
      <c r="S301" s="233"/>
      <c r="T301" s="234"/>
      <c r="U301" s="234"/>
    </row>
    <row r="302" spans="3:21" s="144" customFormat="1" ht="19.5" customHeight="1">
      <c r="C302" s="133">
        <v>297</v>
      </c>
      <c r="D302" s="134" t="s">
        <v>1707</v>
      </c>
      <c r="E302" s="199" t="s">
        <v>1967</v>
      </c>
      <c r="F302" s="250" t="s">
        <v>3968</v>
      </c>
      <c r="G302" s="251" t="s">
        <v>2117</v>
      </c>
      <c r="H302" s="228" t="s">
        <v>2118</v>
      </c>
      <c r="I302" s="230" t="s">
        <v>2119</v>
      </c>
      <c r="J302" s="137"/>
      <c r="K302" s="138" t="s">
        <v>1416</v>
      </c>
      <c r="L302" s="189">
        <f t="shared" si="17"/>
        <v>5.4</v>
      </c>
      <c r="M302" s="140">
        <f t="shared" si="15"/>
        <v>1</v>
      </c>
      <c r="N302" s="141">
        <f t="shared" si="16"/>
        <v>5.4</v>
      </c>
      <c r="O302" s="140" t="s">
        <v>1156</v>
      </c>
      <c r="P302" s="143" t="s">
        <v>1780</v>
      </c>
      <c r="R302" s="177"/>
      <c r="S302" s="233"/>
      <c r="T302" s="234"/>
      <c r="U302" s="234"/>
    </row>
    <row r="303" spans="3:21" s="144" customFormat="1" ht="19.5" customHeight="1">
      <c r="C303" s="133">
        <v>298</v>
      </c>
      <c r="D303" s="134" t="s">
        <v>1707</v>
      </c>
      <c r="E303" s="199" t="s">
        <v>1967</v>
      </c>
      <c r="F303" s="250" t="s">
        <v>3969</v>
      </c>
      <c r="G303" s="251" t="s">
        <v>2117</v>
      </c>
      <c r="H303" s="228" t="s">
        <v>2118</v>
      </c>
      <c r="I303" s="230" t="s">
        <v>2120</v>
      </c>
      <c r="J303" s="137"/>
      <c r="K303" s="138" t="s">
        <v>1416</v>
      </c>
      <c r="L303" s="189">
        <f t="shared" si="17"/>
        <v>5.4</v>
      </c>
      <c r="M303" s="140">
        <f t="shared" si="15"/>
        <v>1</v>
      </c>
      <c r="N303" s="141">
        <f t="shared" si="16"/>
        <v>5.4</v>
      </c>
      <c r="O303" s="140" t="s">
        <v>1156</v>
      </c>
      <c r="P303" s="143" t="s">
        <v>1780</v>
      </c>
      <c r="R303" s="177"/>
      <c r="S303" s="233"/>
      <c r="T303" s="234"/>
      <c r="U303" s="234"/>
    </row>
    <row r="304" spans="3:21" s="144" customFormat="1" ht="19.5" customHeight="1">
      <c r="C304" s="133">
        <v>299</v>
      </c>
      <c r="D304" s="134" t="s">
        <v>1707</v>
      </c>
      <c r="E304" s="199" t="s">
        <v>1967</v>
      </c>
      <c r="F304" s="250" t="s">
        <v>3970</v>
      </c>
      <c r="G304" s="251" t="s">
        <v>2117</v>
      </c>
      <c r="H304" s="228" t="s">
        <v>2118</v>
      </c>
      <c r="I304" s="230" t="s">
        <v>2121</v>
      </c>
      <c r="J304" s="137"/>
      <c r="K304" s="138" t="s">
        <v>1416</v>
      </c>
      <c r="L304" s="189">
        <f t="shared" si="17"/>
        <v>5.4</v>
      </c>
      <c r="M304" s="140">
        <f t="shared" si="15"/>
        <v>1</v>
      </c>
      <c r="N304" s="141">
        <f t="shared" si="16"/>
        <v>5.4</v>
      </c>
      <c r="O304" s="140" t="s">
        <v>1156</v>
      </c>
      <c r="P304" s="143" t="s">
        <v>1780</v>
      </c>
      <c r="R304" s="177"/>
      <c r="S304" s="233"/>
      <c r="T304" s="234"/>
      <c r="U304" s="234"/>
    </row>
    <row r="305" spans="3:21" s="144" customFormat="1" ht="19.5" customHeight="1">
      <c r="C305" s="133">
        <v>300</v>
      </c>
      <c r="D305" s="134" t="s">
        <v>1707</v>
      </c>
      <c r="E305" s="199" t="s">
        <v>1967</v>
      </c>
      <c r="F305" s="250" t="s">
        <v>3971</v>
      </c>
      <c r="G305" s="251" t="s">
        <v>2117</v>
      </c>
      <c r="H305" s="228" t="s">
        <v>2122</v>
      </c>
      <c r="I305" s="230" t="s">
        <v>2123</v>
      </c>
      <c r="J305" s="137"/>
      <c r="K305" s="218" t="s">
        <v>1985</v>
      </c>
      <c r="L305" s="189">
        <f t="shared" si="17"/>
        <v>4</v>
      </c>
      <c r="M305" s="140">
        <f t="shared" si="15"/>
        <v>1</v>
      </c>
      <c r="N305" s="141">
        <f t="shared" si="16"/>
        <v>4</v>
      </c>
      <c r="O305" s="140" t="s">
        <v>1156</v>
      </c>
      <c r="P305" s="143" t="s">
        <v>1780</v>
      </c>
      <c r="R305" s="177"/>
      <c r="S305" s="233"/>
      <c r="T305" s="234"/>
      <c r="U305" s="234"/>
    </row>
    <row r="306" spans="3:21" s="144" customFormat="1" ht="19.5" customHeight="1">
      <c r="C306" s="133">
        <v>301</v>
      </c>
      <c r="D306" s="134" t="s">
        <v>1707</v>
      </c>
      <c r="E306" s="199" t="s">
        <v>1967</v>
      </c>
      <c r="F306" s="250" t="s">
        <v>3972</v>
      </c>
      <c r="G306" s="251" t="s">
        <v>2117</v>
      </c>
      <c r="H306" s="228" t="s">
        <v>2122</v>
      </c>
      <c r="I306" s="230" t="s">
        <v>2124</v>
      </c>
      <c r="J306" s="137"/>
      <c r="K306" s="138" t="s">
        <v>1416</v>
      </c>
      <c r="L306" s="189">
        <f t="shared" si="17"/>
        <v>5.4</v>
      </c>
      <c r="M306" s="140">
        <f t="shared" si="15"/>
        <v>1</v>
      </c>
      <c r="N306" s="141">
        <f t="shared" si="16"/>
        <v>5.4</v>
      </c>
      <c r="O306" s="140" t="s">
        <v>1156</v>
      </c>
      <c r="P306" s="143" t="s">
        <v>1780</v>
      </c>
      <c r="R306" s="177"/>
      <c r="S306" s="233"/>
      <c r="T306" s="234"/>
      <c r="U306" s="234"/>
    </row>
    <row r="307" spans="3:21" s="144" customFormat="1" ht="19.5" customHeight="1">
      <c r="C307" s="133">
        <v>302</v>
      </c>
      <c r="D307" s="134" t="s">
        <v>1707</v>
      </c>
      <c r="E307" s="199" t="s">
        <v>1967</v>
      </c>
      <c r="F307" s="250" t="s">
        <v>3973</v>
      </c>
      <c r="G307" s="251" t="s">
        <v>2117</v>
      </c>
      <c r="H307" s="228" t="s">
        <v>2122</v>
      </c>
      <c r="I307" s="230" t="s">
        <v>2125</v>
      </c>
      <c r="J307" s="137"/>
      <c r="K307" s="138" t="s">
        <v>1416</v>
      </c>
      <c r="L307" s="189">
        <f t="shared" si="17"/>
        <v>5.4</v>
      </c>
      <c r="M307" s="140">
        <f t="shared" si="15"/>
        <v>1</v>
      </c>
      <c r="N307" s="141">
        <f t="shared" si="16"/>
        <v>5.4</v>
      </c>
      <c r="O307" s="140" t="s">
        <v>1156</v>
      </c>
      <c r="P307" s="143" t="s">
        <v>1780</v>
      </c>
      <c r="R307" s="177"/>
      <c r="S307" s="233"/>
      <c r="T307" s="234"/>
      <c r="U307" s="234"/>
    </row>
    <row r="308" spans="3:21" s="144" customFormat="1" ht="19.5" customHeight="1">
      <c r="C308" s="133">
        <v>303</v>
      </c>
      <c r="D308" s="134" t="s">
        <v>1707</v>
      </c>
      <c r="E308" s="199" t="s">
        <v>1967</v>
      </c>
      <c r="F308" s="250" t="s">
        <v>3974</v>
      </c>
      <c r="G308" s="251" t="s">
        <v>2117</v>
      </c>
      <c r="H308" s="228" t="s">
        <v>2122</v>
      </c>
      <c r="I308" s="230" t="s">
        <v>2126</v>
      </c>
      <c r="J308" s="137"/>
      <c r="K308" s="138" t="s">
        <v>1416</v>
      </c>
      <c r="L308" s="189">
        <f t="shared" si="17"/>
        <v>5.4</v>
      </c>
      <c r="M308" s="140">
        <f t="shared" si="15"/>
        <v>1</v>
      </c>
      <c r="N308" s="141">
        <f t="shared" si="16"/>
        <v>5.4</v>
      </c>
      <c r="O308" s="140" t="s">
        <v>1156</v>
      </c>
      <c r="P308" s="143" t="s">
        <v>1780</v>
      </c>
      <c r="R308" s="177"/>
      <c r="S308" s="233"/>
      <c r="T308" s="234"/>
      <c r="U308" s="234"/>
    </row>
    <row r="309" spans="3:21" s="144" customFormat="1" ht="19.5" customHeight="1">
      <c r="C309" s="133">
        <v>304</v>
      </c>
      <c r="D309" s="134" t="s">
        <v>1707</v>
      </c>
      <c r="E309" s="199" t="s">
        <v>1967</v>
      </c>
      <c r="F309" s="250" t="s">
        <v>3975</v>
      </c>
      <c r="G309" s="251" t="s">
        <v>2117</v>
      </c>
      <c r="H309" s="228" t="s">
        <v>2122</v>
      </c>
      <c r="I309" s="230" t="s">
        <v>2127</v>
      </c>
      <c r="J309" s="137"/>
      <c r="K309" s="138" t="s">
        <v>1416</v>
      </c>
      <c r="L309" s="189">
        <f t="shared" si="17"/>
        <v>5.4</v>
      </c>
      <c r="M309" s="140">
        <f t="shared" si="15"/>
        <v>1</v>
      </c>
      <c r="N309" s="141">
        <f t="shared" si="16"/>
        <v>5.4</v>
      </c>
      <c r="O309" s="140" t="s">
        <v>1156</v>
      </c>
      <c r="P309" s="143" t="s">
        <v>1780</v>
      </c>
      <c r="R309" s="177"/>
      <c r="S309" s="233"/>
      <c r="T309" s="234"/>
      <c r="U309" s="234"/>
    </row>
    <row r="310" spans="3:21" s="144" customFormat="1" ht="19.5" customHeight="1">
      <c r="C310" s="133">
        <v>305</v>
      </c>
      <c r="D310" s="134" t="s">
        <v>1707</v>
      </c>
      <c r="E310" s="199" t="s">
        <v>1967</v>
      </c>
      <c r="F310" s="250" t="s">
        <v>3976</v>
      </c>
      <c r="G310" s="251" t="s">
        <v>2117</v>
      </c>
      <c r="H310" s="228" t="s">
        <v>2122</v>
      </c>
      <c r="I310" s="230" t="s">
        <v>2128</v>
      </c>
      <c r="J310" s="137"/>
      <c r="K310" s="138" t="s">
        <v>1416</v>
      </c>
      <c r="L310" s="189">
        <f t="shared" si="17"/>
        <v>5.4</v>
      </c>
      <c r="M310" s="140">
        <f t="shared" si="15"/>
        <v>1</v>
      </c>
      <c r="N310" s="141">
        <f t="shared" si="16"/>
        <v>5.4</v>
      </c>
      <c r="O310" s="140" t="s">
        <v>1156</v>
      </c>
      <c r="P310" s="143" t="s">
        <v>1780</v>
      </c>
      <c r="R310" s="177"/>
      <c r="S310" s="233"/>
      <c r="T310" s="234"/>
      <c r="U310" s="234"/>
    </row>
    <row r="311" spans="3:21" s="144" customFormat="1" ht="19.5" customHeight="1">
      <c r="C311" s="133">
        <v>306</v>
      </c>
      <c r="D311" s="134" t="s">
        <v>1707</v>
      </c>
      <c r="E311" s="199" t="s">
        <v>1967</v>
      </c>
      <c r="F311" s="250" t="s">
        <v>3977</v>
      </c>
      <c r="G311" s="251" t="s">
        <v>2117</v>
      </c>
      <c r="H311" s="228" t="s">
        <v>2122</v>
      </c>
      <c r="I311" s="230" t="s">
        <v>2129</v>
      </c>
      <c r="J311" s="137"/>
      <c r="K311" s="138" t="s">
        <v>1416</v>
      </c>
      <c r="L311" s="189">
        <f t="shared" si="17"/>
        <v>5.4</v>
      </c>
      <c r="M311" s="140">
        <f t="shared" si="15"/>
        <v>1</v>
      </c>
      <c r="N311" s="141">
        <f t="shared" si="16"/>
        <v>5.4</v>
      </c>
      <c r="O311" s="140" t="s">
        <v>1156</v>
      </c>
      <c r="P311" s="143" t="s">
        <v>1780</v>
      </c>
      <c r="R311" s="177"/>
      <c r="S311" s="233"/>
      <c r="T311" s="234"/>
      <c r="U311" s="234"/>
    </row>
    <row r="312" spans="3:21" s="144" customFormat="1" ht="19.5" customHeight="1">
      <c r="C312" s="133">
        <v>307</v>
      </c>
      <c r="D312" s="134" t="s">
        <v>1707</v>
      </c>
      <c r="E312" s="199" t="s">
        <v>1967</v>
      </c>
      <c r="F312" s="250" t="s">
        <v>3978</v>
      </c>
      <c r="G312" s="251" t="s">
        <v>2117</v>
      </c>
      <c r="H312" s="228" t="s">
        <v>2122</v>
      </c>
      <c r="I312" s="230" t="s">
        <v>2130</v>
      </c>
      <c r="J312" s="137"/>
      <c r="K312" s="218" t="s">
        <v>1160</v>
      </c>
      <c r="L312" s="189">
        <f t="shared" si="17"/>
        <v>3.9</v>
      </c>
      <c r="M312" s="140">
        <f t="shared" si="15"/>
        <v>1</v>
      </c>
      <c r="N312" s="141">
        <f t="shared" si="16"/>
        <v>3.9</v>
      </c>
      <c r="O312" s="140" t="s">
        <v>1156</v>
      </c>
      <c r="P312" s="143" t="s">
        <v>1780</v>
      </c>
      <c r="R312" s="177"/>
      <c r="S312" s="233"/>
      <c r="T312" s="234"/>
      <c r="U312" s="234"/>
    </row>
    <row r="313" spans="3:21" s="144" customFormat="1" ht="19.5" customHeight="1">
      <c r="C313" s="133">
        <v>308</v>
      </c>
      <c r="D313" s="134" t="s">
        <v>1707</v>
      </c>
      <c r="E313" s="199" t="s">
        <v>1967</v>
      </c>
      <c r="F313" s="250" t="s">
        <v>3979</v>
      </c>
      <c r="G313" s="251" t="s">
        <v>2117</v>
      </c>
      <c r="H313" s="228" t="s">
        <v>2122</v>
      </c>
      <c r="I313" s="230" t="s">
        <v>2131</v>
      </c>
      <c r="J313" s="137"/>
      <c r="K313" s="218" t="s">
        <v>1163</v>
      </c>
      <c r="L313" s="189">
        <f t="shared" si="17"/>
        <v>4</v>
      </c>
      <c r="M313" s="140">
        <f t="shared" si="15"/>
        <v>1</v>
      </c>
      <c r="N313" s="141">
        <f t="shared" si="16"/>
        <v>4</v>
      </c>
      <c r="O313" s="140" t="s">
        <v>1156</v>
      </c>
      <c r="P313" s="143" t="s">
        <v>1780</v>
      </c>
      <c r="R313" s="177"/>
      <c r="S313" s="233"/>
      <c r="T313" s="234"/>
      <c r="U313" s="234"/>
    </row>
    <row r="314" spans="3:21" s="144" customFormat="1" ht="19.5" customHeight="1">
      <c r="C314" s="133">
        <v>309</v>
      </c>
      <c r="D314" s="134" t="s">
        <v>1707</v>
      </c>
      <c r="E314" s="199" t="s">
        <v>1967</v>
      </c>
      <c r="F314" s="250" t="s">
        <v>3980</v>
      </c>
      <c r="G314" s="251" t="s">
        <v>2117</v>
      </c>
      <c r="H314" s="228" t="s">
        <v>2132</v>
      </c>
      <c r="I314" s="230" t="s">
        <v>2133</v>
      </c>
      <c r="J314" s="137"/>
      <c r="K314" s="218" t="s">
        <v>1163</v>
      </c>
      <c r="L314" s="189">
        <f t="shared" si="17"/>
        <v>4</v>
      </c>
      <c r="M314" s="140">
        <f t="shared" si="15"/>
        <v>1</v>
      </c>
      <c r="N314" s="141">
        <f t="shared" si="16"/>
        <v>4</v>
      </c>
      <c r="O314" s="140" t="s">
        <v>1156</v>
      </c>
      <c r="P314" s="143" t="s">
        <v>1780</v>
      </c>
      <c r="R314" s="177"/>
      <c r="S314" s="233"/>
      <c r="T314" s="234"/>
      <c r="U314" s="234"/>
    </row>
    <row r="315" spans="3:21" s="144" customFormat="1" ht="19.5" customHeight="1">
      <c r="C315" s="133">
        <v>310</v>
      </c>
      <c r="D315" s="134" t="s">
        <v>1707</v>
      </c>
      <c r="E315" s="199" t="s">
        <v>1967</v>
      </c>
      <c r="F315" s="250" t="s">
        <v>3981</v>
      </c>
      <c r="G315" s="251" t="s">
        <v>2117</v>
      </c>
      <c r="H315" s="228" t="s">
        <v>2132</v>
      </c>
      <c r="I315" s="230" t="s">
        <v>2134</v>
      </c>
      <c r="J315" s="137"/>
      <c r="K315" s="138" t="s">
        <v>1416</v>
      </c>
      <c r="L315" s="189">
        <f t="shared" si="17"/>
        <v>5.4</v>
      </c>
      <c r="M315" s="140">
        <f t="shared" si="15"/>
        <v>1</v>
      </c>
      <c r="N315" s="141">
        <f t="shared" si="16"/>
        <v>5.4</v>
      </c>
      <c r="O315" s="140" t="s">
        <v>1156</v>
      </c>
      <c r="P315" s="143" t="s">
        <v>1780</v>
      </c>
      <c r="R315" s="177"/>
    </row>
    <row r="316" spans="3:21" s="144" customFormat="1" ht="19.5" customHeight="1">
      <c r="C316" s="133">
        <v>311</v>
      </c>
      <c r="D316" s="134" t="s">
        <v>1707</v>
      </c>
      <c r="E316" s="199" t="s">
        <v>1967</v>
      </c>
      <c r="F316" s="250" t="s">
        <v>3982</v>
      </c>
      <c r="G316" s="251" t="s">
        <v>2117</v>
      </c>
      <c r="H316" s="228" t="s">
        <v>2132</v>
      </c>
      <c r="I316" s="230" t="s">
        <v>2135</v>
      </c>
      <c r="J316" s="137"/>
      <c r="K316" s="138" t="s">
        <v>1416</v>
      </c>
      <c r="L316" s="189">
        <f t="shared" si="17"/>
        <v>5.4</v>
      </c>
      <c r="M316" s="140">
        <f t="shared" si="15"/>
        <v>1</v>
      </c>
      <c r="N316" s="141">
        <f t="shared" si="16"/>
        <v>5.4</v>
      </c>
      <c r="O316" s="140" t="s">
        <v>1156</v>
      </c>
      <c r="P316" s="143" t="s">
        <v>1780</v>
      </c>
      <c r="R316" s="177"/>
    </row>
    <row r="317" spans="3:21" s="144" customFormat="1" ht="19.5" customHeight="1">
      <c r="C317" s="133">
        <v>312</v>
      </c>
      <c r="D317" s="134" t="s">
        <v>1707</v>
      </c>
      <c r="E317" s="199" t="s">
        <v>1967</v>
      </c>
      <c r="F317" s="250" t="s">
        <v>3983</v>
      </c>
      <c r="G317" s="251" t="s">
        <v>2117</v>
      </c>
      <c r="H317" s="228" t="s">
        <v>2136</v>
      </c>
      <c r="I317" s="230" t="s">
        <v>2137</v>
      </c>
      <c r="J317" s="137"/>
      <c r="K317" s="218" t="s">
        <v>1985</v>
      </c>
      <c r="L317" s="189">
        <f t="shared" si="17"/>
        <v>4</v>
      </c>
      <c r="M317" s="140">
        <f t="shared" si="15"/>
        <v>1</v>
      </c>
      <c r="N317" s="141">
        <f t="shared" si="16"/>
        <v>4</v>
      </c>
      <c r="O317" s="140" t="s">
        <v>1156</v>
      </c>
      <c r="P317" s="143" t="s">
        <v>1780</v>
      </c>
      <c r="R317" s="177"/>
    </row>
    <row r="318" spans="3:21" s="144" customFormat="1" ht="19.5" customHeight="1">
      <c r="C318" s="133">
        <v>313</v>
      </c>
      <c r="D318" s="134" t="s">
        <v>1707</v>
      </c>
      <c r="E318" s="199" t="s">
        <v>1967</v>
      </c>
      <c r="F318" s="250" t="s">
        <v>3984</v>
      </c>
      <c r="G318" s="251" t="s">
        <v>2117</v>
      </c>
      <c r="H318" s="228" t="s">
        <v>2138</v>
      </c>
      <c r="I318" s="230" t="s">
        <v>2139</v>
      </c>
      <c r="J318" s="137"/>
      <c r="K318" s="252" t="s">
        <v>1170</v>
      </c>
      <c r="L318" s="189">
        <f t="shared" si="17"/>
        <v>5.2</v>
      </c>
      <c r="M318" s="140">
        <f t="shared" si="15"/>
        <v>1</v>
      </c>
      <c r="N318" s="141">
        <f t="shared" si="16"/>
        <v>5.2</v>
      </c>
      <c r="O318" s="140" t="s">
        <v>1156</v>
      </c>
      <c r="P318" s="143" t="s">
        <v>1780</v>
      </c>
      <c r="R318" s="177"/>
    </row>
    <row r="319" spans="3:21" s="144" customFormat="1" ht="19.5" customHeight="1">
      <c r="C319" s="133">
        <v>314</v>
      </c>
      <c r="D319" s="134" t="s">
        <v>1707</v>
      </c>
      <c r="E319" s="199" t="s">
        <v>1967</v>
      </c>
      <c r="F319" s="250" t="s">
        <v>3985</v>
      </c>
      <c r="G319" s="251" t="s">
        <v>2117</v>
      </c>
      <c r="H319" s="228" t="s">
        <v>2138</v>
      </c>
      <c r="I319" s="230" t="s">
        <v>2140</v>
      </c>
      <c r="J319" s="137"/>
      <c r="K319" s="252" t="s">
        <v>1170</v>
      </c>
      <c r="L319" s="189">
        <f t="shared" si="17"/>
        <v>5.2</v>
      </c>
      <c r="M319" s="140">
        <f t="shared" si="15"/>
        <v>1</v>
      </c>
      <c r="N319" s="141">
        <f t="shared" si="16"/>
        <v>5.2</v>
      </c>
      <c r="O319" s="140" t="s">
        <v>1156</v>
      </c>
      <c r="P319" s="143" t="s">
        <v>1780</v>
      </c>
      <c r="R319" s="177"/>
    </row>
    <row r="320" spans="3:21" s="144" customFormat="1" ht="19.5" customHeight="1">
      <c r="C320" s="133">
        <v>315</v>
      </c>
      <c r="D320" s="134" t="s">
        <v>1707</v>
      </c>
      <c r="E320" s="199" t="s">
        <v>1967</v>
      </c>
      <c r="F320" s="250" t="s">
        <v>3986</v>
      </c>
      <c r="G320" s="251" t="s">
        <v>2117</v>
      </c>
      <c r="H320" s="228" t="s">
        <v>2138</v>
      </c>
      <c r="I320" s="230" t="s">
        <v>2141</v>
      </c>
      <c r="J320" s="137"/>
      <c r="K320" s="252" t="s">
        <v>1170</v>
      </c>
      <c r="L320" s="189">
        <f t="shared" si="17"/>
        <v>5.2</v>
      </c>
      <c r="M320" s="140">
        <f t="shared" si="15"/>
        <v>1</v>
      </c>
      <c r="N320" s="141">
        <f t="shared" si="16"/>
        <v>5.2</v>
      </c>
      <c r="O320" s="140" t="s">
        <v>1156</v>
      </c>
      <c r="P320" s="143" t="s">
        <v>1780</v>
      </c>
      <c r="R320" s="177"/>
    </row>
    <row r="321" spans="3:18" s="144" customFormat="1" ht="19.5" customHeight="1">
      <c r="C321" s="133">
        <v>316</v>
      </c>
      <c r="D321" s="134" t="s">
        <v>1707</v>
      </c>
      <c r="E321" s="199" t="s">
        <v>1967</v>
      </c>
      <c r="F321" s="250" t="s">
        <v>3987</v>
      </c>
      <c r="G321" s="251" t="s">
        <v>2117</v>
      </c>
      <c r="H321" s="228" t="s">
        <v>2142</v>
      </c>
      <c r="I321" s="230" t="s">
        <v>2143</v>
      </c>
      <c r="J321" s="137"/>
      <c r="K321" s="252" t="s">
        <v>1991</v>
      </c>
      <c r="L321" s="189">
        <f t="shared" si="17"/>
        <v>3.9</v>
      </c>
      <c r="M321" s="140">
        <f t="shared" si="15"/>
        <v>1</v>
      </c>
      <c r="N321" s="141">
        <f t="shared" si="16"/>
        <v>3.9</v>
      </c>
      <c r="O321" s="140" t="s">
        <v>1156</v>
      </c>
      <c r="P321" s="143" t="s">
        <v>1780</v>
      </c>
      <c r="R321" s="177"/>
    </row>
    <row r="322" spans="3:18" s="144" customFormat="1" ht="19.5" customHeight="1">
      <c r="C322" s="133">
        <v>317</v>
      </c>
      <c r="D322" s="134" t="s">
        <v>1707</v>
      </c>
      <c r="E322" s="199" t="s">
        <v>1967</v>
      </c>
      <c r="F322" s="250" t="s">
        <v>3988</v>
      </c>
      <c r="G322" s="251" t="s">
        <v>2117</v>
      </c>
      <c r="H322" s="228" t="s">
        <v>2142</v>
      </c>
      <c r="I322" s="230" t="s">
        <v>2144</v>
      </c>
      <c r="J322" s="137"/>
      <c r="K322" s="252" t="s">
        <v>1170</v>
      </c>
      <c r="L322" s="189">
        <f t="shared" si="17"/>
        <v>5.2</v>
      </c>
      <c r="M322" s="140">
        <f t="shared" si="15"/>
        <v>1</v>
      </c>
      <c r="N322" s="141">
        <f t="shared" si="16"/>
        <v>5.2</v>
      </c>
      <c r="O322" s="140" t="s">
        <v>1156</v>
      </c>
      <c r="P322" s="143" t="s">
        <v>1780</v>
      </c>
      <c r="R322" s="177"/>
    </row>
    <row r="323" spans="3:18" s="144" customFormat="1" ht="19.5" customHeight="1">
      <c r="C323" s="133">
        <v>318</v>
      </c>
      <c r="D323" s="134" t="s">
        <v>1707</v>
      </c>
      <c r="E323" s="199" t="s">
        <v>1967</v>
      </c>
      <c r="F323" s="250" t="s">
        <v>3989</v>
      </c>
      <c r="G323" s="251" t="s">
        <v>2117</v>
      </c>
      <c r="H323" s="228" t="s">
        <v>2142</v>
      </c>
      <c r="I323" s="230" t="s">
        <v>2145</v>
      </c>
      <c r="J323" s="137"/>
      <c r="K323" s="252" t="s">
        <v>1170</v>
      </c>
      <c r="L323" s="189">
        <f t="shared" si="17"/>
        <v>5.2</v>
      </c>
      <c r="M323" s="140">
        <f t="shared" si="15"/>
        <v>1</v>
      </c>
      <c r="N323" s="141">
        <f t="shared" si="16"/>
        <v>5.2</v>
      </c>
      <c r="O323" s="140" t="s">
        <v>1156</v>
      </c>
      <c r="P323" s="143" t="s">
        <v>1780</v>
      </c>
      <c r="R323" s="177"/>
    </row>
    <row r="324" spans="3:18" s="144" customFormat="1" ht="19.5" customHeight="1">
      <c r="C324" s="133">
        <v>319</v>
      </c>
      <c r="D324" s="134" t="s">
        <v>1707</v>
      </c>
      <c r="E324" s="199" t="s">
        <v>1967</v>
      </c>
      <c r="F324" s="250" t="s">
        <v>3990</v>
      </c>
      <c r="G324" s="251" t="s">
        <v>2117</v>
      </c>
      <c r="H324" s="228" t="s">
        <v>2142</v>
      </c>
      <c r="I324" s="230" t="s">
        <v>2146</v>
      </c>
      <c r="J324" s="137"/>
      <c r="K324" s="252" t="s">
        <v>1170</v>
      </c>
      <c r="L324" s="189">
        <f t="shared" si="17"/>
        <v>5.2</v>
      </c>
      <c r="M324" s="140">
        <f t="shared" si="15"/>
        <v>1</v>
      </c>
      <c r="N324" s="141">
        <f t="shared" si="16"/>
        <v>5.2</v>
      </c>
      <c r="O324" s="140" t="s">
        <v>1156</v>
      </c>
      <c r="P324" s="143" t="s">
        <v>1780</v>
      </c>
      <c r="R324" s="177"/>
    </row>
    <row r="325" spans="3:18" s="144" customFormat="1" ht="19.5" customHeight="1">
      <c r="C325" s="147">
        <v>320</v>
      </c>
      <c r="D325" s="142" t="s">
        <v>1707</v>
      </c>
      <c r="E325" s="197" t="s">
        <v>1967</v>
      </c>
      <c r="F325" s="231" t="s">
        <v>3991</v>
      </c>
      <c r="G325" s="232" t="s">
        <v>2147</v>
      </c>
      <c r="H325" s="221" t="s">
        <v>2148</v>
      </c>
      <c r="I325" s="222" t="s">
        <v>2149</v>
      </c>
      <c r="J325" s="137"/>
      <c r="K325" s="252" t="s">
        <v>1991</v>
      </c>
      <c r="L325" s="189">
        <f t="shared" si="17"/>
        <v>3.9</v>
      </c>
      <c r="M325" s="140">
        <f t="shared" si="15"/>
        <v>1</v>
      </c>
      <c r="N325" s="141">
        <f t="shared" si="16"/>
        <v>3.9</v>
      </c>
      <c r="O325" s="140" t="s">
        <v>1156</v>
      </c>
      <c r="P325" s="143" t="s">
        <v>1780</v>
      </c>
      <c r="R325" s="177"/>
    </row>
    <row r="326" spans="3:18" s="144" customFormat="1" ht="19.5" customHeight="1">
      <c r="C326" s="147">
        <v>321</v>
      </c>
      <c r="D326" s="142" t="s">
        <v>1707</v>
      </c>
      <c r="E326" s="197" t="s">
        <v>1967</v>
      </c>
      <c r="F326" s="231" t="s">
        <v>3992</v>
      </c>
      <c r="G326" s="232" t="s">
        <v>2147</v>
      </c>
      <c r="H326" s="221" t="s">
        <v>2150</v>
      </c>
      <c r="I326" s="222" t="s">
        <v>2151</v>
      </c>
      <c r="J326" s="137"/>
      <c r="K326" s="218" t="s">
        <v>1985</v>
      </c>
      <c r="L326" s="189">
        <f t="shared" si="17"/>
        <v>4</v>
      </c>
      <c r="M326" s="140">
        <f t="shared" ref="M326:M334" si="18">IF(O326="","",IF(O326="신규",1,IF(O326="고도화",1.04,IF(O326="재사용",0.25))))</f>
        <v>1</v>
      </c>
      <c r="N326" s="141">
        <f t="shared" ref="N326:N334" si="19">L326*M326</f>
        <v>4</v>
      </c>
      <c r="O326" s="140" t="s">
        <v>1156</v>
      </c>
      <c r="P326" s="143" t="s">
        <v>1780</v>
      </c>
      <c r="R326" s="177"/>
    </row>
    <row r="327" spans="3:18" s="144" customFormat="1" ht="19.5" customHeight="1">
      <c r="C327" s="147">
        <v>322</v>
      </c>
      <c r="D327" s="142" t="s">
        <v>1707</v>
      </c>
      <c r="E327" s="197" t="s">
        <v>1967</v>
      </c>
      <c r="F327" s="231" t="s">
        <v>3993</v>
      </c>
      <c r="G327" s="232" t="s">
        <v>2147</v>
      </c>
      <c r="H327" s="221" t="s">
        <v>2152</v>
      </c>
      <c r="I327" s="222" t="s">
        <v>2153</v>
      </c>
      <c r="J327" s="137"/>
      <c r="K327" s="218" t="s">
        <v>1985</v>
      </c>
      <c r="L327" s="189">
        <f t="shared" ref="L327:L334" si="20">IF(K327="","",IF(K327="EI",4,IF(K327="EO",5.2,IF(K327="EQ",3.9,IF(K327="ILF",7.5,IF(K327="EIF",5.4))))))</f>
        <v>4</v>
      </c>
      <c r="M327" s="140">
        <f t="shared" si="18"/>
        <v>1</v>
      </c>
      <c r="N327" s="141">
        <f t="shared" si="19"/>
        <v>4</v>
      </c>
      <c r="O327" s="140" t="s">
        <v>1156</v>
      </c>
      <c r="P327" s="143" t="s">
        <v>1780</v>
      </c>
      <c r="R327" s="177"/>
    </row>
    <row r="328" spans="3:18" s="144" customFormat="1" ht="19.5" customHeight="1">
      <c r="C328" s="147">
        <v>323</v>
      </c>
      <c r="D328" s="142" t="s">
        <v>1707</v>
      </c>
      <c r="E328" s="197" t="s">
        <v>1967</v>
      </c>
      <c r="F328" s="231" t="s">
        <v>3994</v>
      </c>
      <c r="G328" s="232" t="s">
        <v>2147</v>
      </c>
      <c r="H328" s="221" t="s">
        <v>2150</v>
      </c>
      <c r="I328" s="222" t="s">
        <v>2154</v>
      </c>
      <c r="J328" s="137"/>
      <c r="K328" s="252" t="s">
        <v>1170</v>
      </c>
      <c r="L328" s="189">
        <f t="shared" si="20"/>
        <v>5.2</v>
      </c>
      <c r="M328" s="140">
        <f t="shared" si="18"/>
        <v>1</v>
      </c>
      <c r="N328" s="141">
        <f t="shared" si="19"/>
        <v>5.2</v>
      </c>
      <c r="O328" s="140" t="s">
        <v>1156</v>
      </c>
      <c r="P328" s="143" t="s">
        <v>1780</v>
      </c>
      <c r="R328" s="177"/>
    </row>
    <row r="329" spans="3:18" s="144" customFormat="1" ht="19.5" customHeight="1">
      <c r="C329" s="147">
        <v>324</v>
      </c>
      <c r="D329" s="142" t="s">
        <v>1707</v>
      </c>
      <c r="E329" s="197" t="s">
        <v>1967</v>
      </c>
      <c r="F329" s="231" t="s">
        <v>3995</v>
      </c>
      <c r="G329" s="232" t="s">
        <v>2147</v>
      </c>
      <c r="H329" s="221" t="s">
        <v>2150</v>
      </c>
      <c r="I329" s="222" t="s">
        <v>2155</v>
      </c>
      <c r="J329" s="137"/>
      <c r="K329" s="252" t="s">
        <v>1170</v>
      </c>
      <c r="L329" s="189">
        <f t="shared" si="20"/>
        <v>5.2</v>
      </c>
      <c r="M329" s="140">
        <f t="shared" si="18"/>
        <v>1</v>
      </c>
      <c r="N329" s="141">
        <f t="shared" si="19"/>
        <v>5.2</v>
      </c>
      <c r="O329" s="140" t="s">
        <v>1156</v>
      </c>
      <c r="P329" s="143" t="s">
        <v>1780</v>
      </c>
      <c r="R329" s="177"/>
    </row>
    <row r="330" spans="3:18" s="144" customFormat="1" ht="19.5" customHeight="1">
      <c r="C330" s="147">
        <v>325</v>
      </c>
      <c r="D330" s="142" t="s">
        <v>1707</v>
      </c>
      <c r="E330" s="197" t="s">
        <v>1967</v>
      </c>
      <c r="F330" s="231" t="s">
        <v>3996</v>
      </c>
      <c r="G330" s="232" t="s">
        <v>2147</v>
      </c>
      <c r="H330" s="221" t="s">
        <v>2156</v>
      </c>
      <c r="I330" s="222" t="s">
        <v>2156</v>
      </c>
      <c r="J330" s="137"/>
      <c r="K330" s="252" t="s">
        <v>1991</v>
      </c>
      <c r="L330" s="189">
        <f t="shared" si="20"/>
        <v>3.9</v>
      </c>
      <c r="M330" s="140">
        <f t="shared" si="18"/>
        <v>1</v>
      </c>
      <c r="N330" s="141">
        <f t="shared" si="19"/>
        <v>3.9</v>
      </c>
      <c r="O330" s="140" t="s">
        <v>1156</v>
      </c>
      <c r="P330" s="143" t="s">
        <v>1780</v>
      </c>
      <c r="R330" s="177"/>
    </row>
    <row r="331" spans="3:18" s="144" customFormat="1" ht="27">
      <c r="C331" s="147">
        <v>326</v>
      </c>
      <c r="D331" s="142" t="s">
        <v>1707</v>
      </c>
      <c r="E331" s="197" t="s">
        <v>1967</v>
      </c>
      <c r="F331" s="231" t="s">
        <v>3997</v>
      </c>
      <c r="G331" s="232" t="s">
        <v>2147</v>
      </c>
      <c r="H331" s="221" t="s">
        <v>2157</v>
      </c>
      <c r="I331" s="222" t="s">
        <v>2157</v>
      </c>
      <c r="J331" s="137"/>
      <c r="K331" s="218" t="s">
        <v>1163</v>
      </c>
      <c r="L331" s="189">
        <f t="shared" si="20"/>
        <v>4</v>
      </c>
      <c r="M331" s="140">
        <f t="shared" si="18"/>
        <v>1</v>
      </c>
      <c r="N331" s="141">
        <f t="shared" si="19"/>
        <v>4</v>
      </c>
      <c r="O331" s="140" t="s">
        <v>1156</v>
      </c>
      <c r="P331" s="143" t="s">
        <v>1780</v>
      </c>
      <c r="R331" s="177"/>
    </row>
    <row r="332" spans="3:18" s="144" customFormat="1" ht="19.5" customHeight="1">
      <c r="C332" s="147">
        <v>327</v>
      </c>
      <c r="D332" s="142" t="s">
        <v>1707</v>
      </c>
      <c r="E332" s="197" t="s">
        <v>1967</v>
      </c>
      <c r="F332" s="231" t="s">
        <v>3998</v>
      </c>
      <c r="G332" s="232" t="s">
        <v>2158</v>
      </c>
      <c r="H332" s="221" t="s">
        <v>2159</v>
      </c>
      <c r="I332" s="222" t="s">
        <v>2160</v>
      </c>
      <c r="J332" s="137"/>
      <c r="K332" s="252" t="s">
        <v>1991</v>
      </c>
      <c r="L332" s="189">
        <f t="shared" si="20"/>
        <v>3.9</v>
      </c>
      <c r="M332" s="140">
        <f t="shared" si="18"/>
        <v>1</v>
      </c>
      <c r="N332" s="141">
        <f t="shared" si="19"/>
        <v>3.9</v>
      </c>
      <c r="O332" s="140" t="s">
        <v>1156</v>
      </c>
      <c r="P332" s="143" t="s">
        <v>1780</v>
      </c>
      <c r="R332" s="177"/>
    </row>
    <row r="333" spans="3:18" s="144" customFormat="1" ht="19.5" customHeight="1">
      <c r="C333" s="147">
        <v>328</v>
      </c>
      <c r="D333" s="142" t="s">
        <v>1707</v>
      </c>
      <c r="E333" s="197" t="s">
        <v>1967</v>
      </c>
      <c r="F333" s="231" t="s">
        <v>3999</v>
      </c>
      <c r="G333" s="232" t="s">
        <v>2158</v>
      </c>
      <c r="H333" s="221" t="s">
        <v>2159</v>
      </c>
      <c r="I333" s="222" t="s">
        <v>2161</v>
      </c>
      <c r="J333" s="137"/>
      <c r="K333" s="138" t="s">
        <v>1416</v>
      </c>
      <c r="L333" s="189">
        <f t="shared" si="20"/>
        <v>5.4</v>
      </c>
      <c r="M333" s="140">
        <f t="shared" si="18"/>
        <v>1</v>
      </c>
      <c r="N333" s="141">
        <f t="shared" si="19"/>
        <v>5.4</v>
      </c>
      <c r="O333" s="140" t="s">
        <v>1156</v>
      </c>
      <c r="P333" s="143" t="s">
        <v>1780</v>
      </c>
      <c r="R333" s="177"/>
    </row>
    <row r="334" spans="3:18" s="144" customFormat="1" ht="19.5" customHeight="1">
      <c r="C334" s="147">
        <v>329</v>
      </c>
      <c r="D334" s="165" t="s">
        <v>1707</v>
      </c>
      <c r="E334" s="253" t="s">
        <v>1967</v>
      </c>
      <c r="F334" s="231" t="s">
        <v>4000</v>
      </c>
      <c r="G334" s="231" t="s">
        <v>2158</v>
      </c>
      <c r="H334" s="254" t="s">
        <v>2159</v>
      </c>
      <c r="I334" s="255" t="s">
        <v>2162</v>
      </c>
      <c r="J334" s="137"/>
      <c r="K334" s="218" t="s">
        <v>1163</v>
      </c>
      <c r="L334" s="207">
        <f t="shared" si="20"/>
        <v>4</v>
      </c>
      <c r="M334" s="171">
        <f t="shared" si="18"/>
        <v>1</v>
      </c>
      <c r="N334" s="172">
        <f t="shared" si="19"/>
        <v>4</v>
      </c>
      <c r="O334" s="171" t="s">
        <v>1156</v>
      </c>
      <c r="P334" s="143" t="s">
        <v>1780</v>
      </c>
      <c r="R334" s="177"/>
    </row>
    <row r="335" spans="3:18">
      <c r="R335" s="256"/>
    </row>
  </sheetData>
  <protectedRanges>
    <protectedRange sqref="H10:J12" name="범위1_2_2_2_1_1"/>
    <protectedRange sqref="G6:J6 H7:J9 G7:G56" name="범위1_3_1_3_1_3_2_1"/>
    <protectedRange sqref="K71:K78 K62 K68 K91:K92 K6:K14 K127:K128 K30 K35 K37 K39:K54 K24:K27 K17:K18 K20 K22" name="범위1_3_1_3_1_3_3_1_1"/>
    <protectedRange sqref="G195:I199" name="범위1_2_2_2_2"/>
    <protectedRange sqref="G191:I194" name="범위1_3_1_3_1_3_4"/>
    <protectedRange sqref="K328:K330 K332 K318:K325" name="범위1_3_1_3_1_3_5"/>
    <protectedRange sqref="K69:K70 K326:K327 K15:K16 K28:K29 K31:K34 K36 K38 K331 K333:K334 K79:K90 K93:K126 K19 K21 K23 K55:K61 K63:K67 K129:K317" name="범위1_3_1_3_1_3_3_2"/>
  </protectedRanges>
  <mergeCells count="10">
    <mergeCell ref="I4:I5"/>
    <mergeCell ref="K4:M4"/>
    <mergeCell ref="O4:O5"/>
    <mergeCell ref="P4:P5"/>
    <mergeCell ref="C4:C5"/>
    <mergeCell ref="D4:D5"/>
    <mergeCell ref="E4:E5"/>
    <mergeCell ref="F4:F5"/>
    <mergeCell ref="G4:G5"/>
    <mergeCell ref="H4:H5"/>
  </mergeCells>
  <phoneticPr fontId="15" type="noConversion"/>
  <conditionalFormatting sqref="H73:J147 K79:K90 K93:K126 K170 K190:K191 K195 K202 K204 K206 K208 K213 K215 K218:K219 K221:K222 K225 K228:K230 K232 K237 K239 K241:K242 K244 K246 K248 K251:K252 K255:K258 K261:K263 K267 K269">
    <cfRule type="expression" dxfId="155" priority="150">
      <formula>$AG57=VALUE(1)</formula>
    </cfRule>
    <cfRule type="expression" dxfId="154" priority="149">
      <formula>$AG57=VALUE(2)</formula>
    </cfRule>
    <cfRule type="expression" dxfId="153" priority="147">
      <formula>$AG57=VALUE(4)</formula>
    </cfRule>
    <cfRule type="expression" dxfId="152" priority="148">
      <formula>$AG57=VALUE(3)</formula>
    </cfRule>
  </conditionalFormatting>
  <conditionalFormatting sqref="K4:K5">
    <cfRule type="cellIs" dxfId="151" priority="145" operator="equal">
      <formula>"EIF"</formula>
    </cfRule>
    <cfRule type="cellIs" dxfId="150" priority="146" operator="equal">
      <formula>"ILF"</formula>
    </cfRule>
  </conditionalFormatting>
  <conditionalFormatting sqref="K56">
    <cfRule type="expression" dxfId="149" priority="1">
      <formula>$AG40=VALUE(4)</formula>
    </cfRule>
    <cfRule type="expression" dxfId="148" priority="2">
      <formula>$AG40=VALUE(3)</formula>
    </cfRule>
    <cfRule type="expression" dxfId="147" priority="3">
      <formula>$AG40=VALUE(2)</formula>
    </cfRule>
    <cfRule type="expression" dxfId="146" priority="4">
      <formula>$AG40=VALUE(1)</formula>
    </cfRule>
  </conditionalFormatting>
  <conditionalFormatting sqref="K129:K130">
    <cfRule type="expression" dxfId="145" priority="25">
      <formula>$AG113=VALUE(4)</formula>
    </cfRule>
    <cfRule type="expression" dxfId="144" priority="26">
      <formula>$AG113=VALUE(3)</formula>
    </cfRule>
    <cfRule type="expression" dxfId="143" priority="27">
      <formula>$AG113=VALUE(2)</formula>
    </cfRule>
    <cfRule type="expression" dxfId="142" priority="28">
      <formula>$AG113=VALUE(1)</formula>
    </cfRule>
  </conditionalFormatting>
  <conditionalFormatting sqref="K132">
    <cfRule type="expression" dxfId="141" priority="102">
      <formula>$AG116=VALUE(3)</formula>
    </cfRule>
    <cfRule type="expression" dxfId="140" priority="104">
      <formula>$AG116=VALUE(1)</formula>
    </cfRule>
    <cfRule type="expression" dxfId="139" priority="103">
      <formula>$AG116=VALUE(2)</formula>
    </cfRule>
    <cfRule type="expression" dxfId="138" priority="101">
      <formula>$AG116=VALUE(4)</formula>
    </cfRule>
  </conditionalFormatting>
  <conditionalFormatting sqref="K136:K138">
    <cfRule type="expression" dxfId="137" priority="39">
      <formula>$AG120=VALUE(2)</formula>
    </cfRule>
    <cfRule type="expression" dxfId="136" priority="40">
      <formula>$AG120=VALUE(1)</formula>
    </cfRule>
    <cfRule type="expression" dxfId="135" priority="37">
      <formula>$AG120=VALUE(4)</formula>
    </cfRule>
    <cfRule type="expression" dxfId="134" priority="38">
      <formula>$AG120=VALUE(3)</formula>
    </cfRule>
  </conditionalFormatting>
  <conditionalFormatting sqref="K140:K142">
    <cfRule type="expression" dxfId="133" priority="111">
      <formula>$AG124=VALUE(2)</formula>
    </cfRule>
    <cfRule type="expression" dxfId="132" priority="110">
      <formula>$AG124=VALUE(3)</formula>
    </cfRule>
    <cfRule type="expression" dxfId="131" priority="109">
      <formula>$AG124=VALUE(4)</formula>
    </cfRule>
    <cfRule type="expression" dxfId="130" priority="112">
      <formula>$AG124=VALUE(1)</formula>
    </cfRule>
  </conditionalFormatting>
  <conditionalFormatting sqref="K148:K151">
    <cfRule type="expression" dxfId="129" priority="22">
      <formula>$AG132=VALUE(3)</formula>
    </cfRule>
    <cfRule type="expression" dxfId="128" priority="23">
      <formula>$AG132=VALUE(2)</formula>
    </cfRule>
    <cfRule type="expression" dxfId="127" priority="24">
      <formula>$AG132=VALUE(1)</formula>
    </cfRule>
    <cfRule type="expression" dxfId="126" priority="21">
      <formula>$AG132=VALUE(4)</formula>
    </cfRule>
  </conditionalFormatting>
  <conditionalFormatting sqref="K153:K157">
    <cfRule type="expression" dxfId="125" priority="71">
      <formula>$AG137=VALUE(2)</formula>
    </cfRule>
    <cfRule type="expression" dxfId="124" priority="70">
      <formula>$AG137=VALUE(3)</formula>
    </cfRule>
    <cfRule type="expression" dxfId="123" priority="69">
      <formula>$AG137=VALUE(4)</formula>
    </cfRule>
    <cfRule type="expression" dxfId="122" priority="72">
      <formula>$AG137=VALUE(1)</formula>
    </cfRule>
  </conditionalFormatting>
  <conditionalFormatting sqref="K159:K161">
    <cfRule type="expression" dxfId="121" priority="91">
      <formula>$AG143=VALUE(2)</formula>
    </cfRule>
    <cfRule type="expression" dxfId="120" priority="90">
      <formula>$AG143=VALUE(3)</formula>
    </cfRule>
    <cfRule type="expression" dxfId="119" priority="89">
      <formula>$AG143=VALUE(4)</formula>
    </cfRule>
    <cfRule type="expression" dxfId="118" priority="92">
      <formula>$AG143=VALUE(1)</formula>
    </cfRule>
  </conditionalFormatting>
  <conditionalFormatting sqref="K164:K166">
    <cfRule type="expression" dxfId="117" priority="9">
      <formula>$AG148=VALUE(4)</formula>
    </cfRule>
    <cfRule type="expression" dxfId="116" priority="12">
      <formula>$AG148=VALUE(1)</formula>
    </cfRule>
    <cfRule type="expression" dxfId="115" priority="11">
      <formula>$AG148=VALUE(2)</formula>
    </cfRule>
    <cfRule type="expression" dxfId="114" priority="10">
      <formula>$AG148=VALUE(3)</formula>
    </cfRule>
  </conditionalFormatting>
  <conditionalFormatting sqref="K174:K175">
    <cfRule type="expression" dxfId="113" priority="51">
      <formula>$AG158=VALUE(2)</formula>
    </cfRule>
    <cfRule type="expression" dxfId="112" priority="52">
      <formula>$AG158=VALUE(1)</formula>
    </cfRule>
    <cfRule type="expression" dxfId="111" priority="49">
      <formula>$AG158=VALUE(4)</formula>
    </cfRule>
    <cfRule type="expression" dxfId="110" priority="50">
      <formula>$AG158=VALUE(3)</formula>
    </cfRule>
  </conditionalFormatting>
  <conditionalFormatting sqref="K210:K211">
    <cfRule type="expression" dxfId="109" priority="7">
      <formula>$AG194=VALUE(2)</formula>
    </cfRule>
    <cfRule type="expression" dxfId="108" priority="8">
      <formula>$AG194=VALUE(1)</formula>
    </cfRule>
    <cfRule type="expression" dxfId="107" priority="6">
      <formula>$AG194=VALUE(3)</formula>
    </cfRule>
    <cfRule type="expression" dxfId="106" priority="5">
      <formula>$AG194=VALUE(4)</formula>
    </cfRule>
  </conditionalFormatting>
  <conditionalFormatting sqref="K281:K282">
    <cfRule type="expression" dxfId="105" priority="137">
      <formula>$AG265=VALUE(4)</formula>
    </cfRule>
    <cfRule type="expression" dxfId="104" priority="139">
      <formula>$AG265=VALUE(2)</formula>
    </cfRule>
    <cfRule type="expression" dxfId="103" priority="140">
      <formula>$AG265=VALUE(1)</formula>
    </cfRule>
    <cfRule type="expression" dxfId="102" priority="138">
      <formula>$AG265=VALUE(3)</formula>
    </cfRule>
  </conditionalFormatting>
  <conditionalFormatting sqref="K296:K297">
    <cfRule type="expression" dxfId="101" priority="47">
      <formula>$AG280=VALUE(2)</formula>
    </cfRule>
    <cfRule type="expression" dxfId="100" priority="48">
      <formula>$AG280=VALUE(1)</formula>
    </cfRule>
    <cfRule type="expression" dxfId="99" priority="46">
      <formula>$AG280=VALUE(3)</formula>
    </cfRule>
    <cfRule type="expression" dxfId="98" priority="45">
      <formula>$AG280=VALUE(4)</formula>
    </cfRule>
  </conditionalFormatting>
  <conditionalFormatting sqref="K305">
    <cfRule type="expression" dxfId="97" priority="63">
      <formula>$AG289=VALUE(2)</formula>
    </cfRule>
    <cfRule type="expression" dxfId="96" priority="64">
      <formula>$AG289=VALUE(1)</formula>
    </cfRule>
    <cfRule type="expression" dxfId="95" priority="62">
      <formula>$AG289=VALUE(3)</formula>
    </cfRule>
    <cfRule type="expression" dxfId="94" priority="61">
      <formula>$AG289=VALUE(4)</formula>
    </cfRule>
  </conditionalFormatting>
  <conditionalFormatting sqref="K317">
    <cfRule type="expression" dxfId="93" priority="133">
      <formula>$AG301=VALUE(4)</formula>
    </cfRule>
    <cfRule type="expression" dxfId="92" priority="134">
      <formula>$AG301=VALUE(3)</formula>
    </cfRule>
    <cfRule type="expression" dxfId="91" priority="135">
      <formula>$AG301=VALUE(2)</formula>
    </cfRule>
    <cfRule type="expression" dxfId="90" priority="136">
      <formula>$AG301=VALUE(1)</formula>
    </cfRule>
  </conditionalFormatting>
  <conditionalFormatting sqref="K326:K327">
    <cfRule type="expression" dxfId="89" priority="127">
      <formula>$AG310=VALUE(2)</formula>
    </cfRule>
    <cfRule type="expression" dxfId="88" priority="128">
      <formula>$AG310=VALUE(1)</formula>
    </cfRule>
    <cfRule type="expression" dxfId="87" priority="125">
      <formula>$AG310=VALUE(4)</formula>
    </cfRule>
    <cfRule type="expression" dxfId="86" priority="126">
      <formula>$AG310=VALUE(3)</formula>
    </cfRule>
  </conditionalFormatting>
  <dataValidations count="2">
    <dataValidation type="list" allowBlank="1" showInputMessage="1" showErrorMessage="1" sqref="K294:K297 K288 K291 K334 K317:K332 K299 K312:K314 K251:K252 K305 K277:K283 K6:K248 K273 K254:K271">
      <formula1>"ILF,EIF,EI,EO,EQ"</formula1>
    </dataValidation>
    <dataValidation type="list" allowBlank="1" showInputMessage="1" showErrorMessage="1" sqref="T114 T117:T118 T120 T125:T142 T144 T146:T157 T170:T183">
      <formula1>#REF!</formula1>
    </dataValidation>
  </dataValidations>
  <pageMargins left="0.19685039370078741" right="0.27559055118110237" top="0.27559055118110237" bottom="0.35433070866141736" header="0.19685039370078741" footer="0.31496062992125984"/>
  <pageSetup paperSize="9" scale="5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20"/>
  <sheetViews>
    <sheetView view="pageBreakPreview" topLeftCell="A11" zoomScale="85" zoomScaleNormal="70" zoomScaleSheetLayoutView="85" workbookViewId="0">
      <selection activeCell="F107" sqref="F107"/>
    </sheetView>
  </sheetViews>
  <sheetFormatPr defaultColWidth="8.85546875" defaultRowHeight="13.5"/>
  <cols>
    <col min="1" max="1" width="1.28515625" style="177" customWidth="1"/>
    <col min="2" max="2" width="0" style="177" hidden="1" customWidth="1"/>
    <col min="3" max="3" width="6" style="177" customWidth="1"/>
    <col min="4" max="4" width="13.85546875" style="177" customWidth="1"/>
    <col min="5" max="5" width="49.7109375" style="177" customWidth="1"/>
    <col min="6" max="6" width="16.7109375" style="177" bestFit="1" customWidth="1"/>
    <col min="7" max="7" width="44.7109375" style="209" customWidth="1"/>
    <col min="8" max="8" width="43.85546875" style="209" customWidth="1"/>
    <col min="9" max="9" width="45.28515625" style="209" customWidth="1"/>
    <col min="10" max="10" width="3.28515625" style="177" customWidth="1"/>
    <col min="11" max="11" width="8.85546875" style="177"/>
    <col min="12" max="12" width="11.85546875" style="177" customWidth="1"/>
    <col min="13" max="13" width="11.7109375" style="177" customWidth="1"/>
    <col min="14" max="14" width="8.85546875" style="177"/>
    <col min="15" max="15" width="11.85546875" style="209" customWidth="1"/>
    <col min="16" max="16" width="8.85546875" style="177"/>
    <col min="17" max="17" width="0" style="177" hidden="1" customWidth="1"/>
    <col min="18" max="16384" width="8.85546875" style="177"/>
  </cols>
  <sheetData>
    <row r="2" spans="3:17" ht="26.25">
      <c r="C2" s="126" t="s">
        <v>2163</v>
      </c>
    </row>
    <row r="4" spans="3:17" s="127" customFormat="1" ht="22.5" customHeight="1">
      <c r="C4" s="614" t="s">
        <v>1135</v>
      </c>
      <c r="D4" s="616" t="s">
        <v>543</v>
      </c>
      <c r="E4" s="616" t="s">
        <v>1136</v>
      </c>
      <c r="F4" s="618" t="s">
        <v>1628</v>
      </c>
      <c r="G4" s="616" t="s">
        <v>1138</v>
      </c>
      <c r="H4" s="616" t="s">
        <v>1139</v>
      </c>
      <c r="I4" s="607" t="s">
        <v>1140</v>
      </c>
      <c r="K4" s="609" t="s">
        <v>1141</v>
      </c>
      <c r="L4" s="610"/>
      <c r="M4" s="610"/>
      <c r="N4" s="128" t="s">
        <v>1142</v>
      </c>
      <c r="O4" s="610" t="s">
        <v>1143</v>
      </c>
      <c r="P4" s="612" t="s">
        <v>1144</v>
      </c>
      <c r="Q4" s="129" t="s">
        <v>1145</v>
      </c>
    </row>
    <row r="5" spans="3:17" s="127" customFormat="1" ht="22.5" customHeight="1">
      <c r="C5" s="615"/>
      <c r="D5" s="617"/>
      <c r="E5" s="617"/>
      <c r="F5" s="619"/>
      <c r="G5" s="617"/>
      <c r="H5" s="617"/>
      <c r="I5" s="608"/>
      <c r="K5" s="130" t="s">
        <v>1146</v>
      </c>
      <c r="L5" s="131" t="s">
        <v>1147</v>
      </c>
      <c r="M5" s="131" t="s">
        <v>1148</v>
      </c>
      <c r="N5" s="131" t="s">
        <v>1149</v>
      </c>
      <c r="O5" s="611"/>
      <c r="P5" s="613"/>
      <c r="Q5" s="132"/>
    </row>
    <row r="6" spans="3:17" s="144" customFormat="1" ht="19.5" customHeight="1">
      <c r="C6" s="133">
        <v>1</v>
      </c>
      <c r="D6" s="134" t="s">
        <v>2164</v>
      </c>
      <c r="E6" s="135" t="s">
        <v>2165</v>
      </c>
      <c r="F6" s="135" t="s">
        <v>4866</v>
      </c>
      <c r="G6" s="228" t="s">
        <v>2166</v>
      </c>
      <c r="H6" s="181" t="s">
        <v>2167</v>
      </c>
      <c r="I6" s="182" t="s">
        <v>2168</v>
      </c>
      <c r="J6" s="137"/>
      <c r="K6" s="138" t="s">
        <v>1160</v>
      </c>
      <c r="L6" s="139">
        <f>IF(K6="","",IF(K6="EI",4,IF(K6="EO",5.2,IF(K6="EQ",3.9,IF(K6="ILF",7.5,IF(K6="EIF",5.4))))))</f>
        <v>3.9</v>
      </c>
      <c r="M6" s="140">
        <f t="shared" ref="M6:M69" si="0">IF(O6="","",IF(O6="신규",1,IF(O6="고도화",1.04,IF(O6="재사용",0.25))))</f>
        <v>1</v>
      </c>
      <c r="N6" s="141">
        <f>L6*M6</f>
        <v>3.9</v>
      </c>
      <c r="O6" s="142" t="s">
        <v>1156</v>
      </c>
      <c r="P6" s="143" t="s">
        <v>1532</v>
      </c>
    </row>
    <row r="7" spans="3:17" s="144" customFormat="1" ht="19.5" customHeight="1">
      <c r="C7" s="133">
        <v>2</v>
      </c>
      <c r="D7" s="134" t="s">
        <v>2164</v>
      </c>
      <c r="E7" s="135" t="s">
        <v>2165</v>
      </c>
      <c r="F7" s="135" t="s">
        <v>3258</v>
      </c>
      <c r="G7" s="228" t="s">
        <v>2166</v>
      </c>
      <c r="H7" s="181" t="s">
        <v>2169</v>
      </c>
      <c r="I7" s="182" t="s">
        <v>2170</v>
      </c>
      <c r="J7" s="137"/>
      <c r="K7" s="153" t="s">
        <v>1160</v>
      </c>
      <c r="L7" s="139">
        <f t="shared" ref="L7:L70" si="1">IF(K7="","",IF(K7="EI",4,IF(K7="EO",5.2,IF(K7="EQ",3.9,IF(K7="ILF",7.5,IF(K7="EIF",5.4))))))</f>
        <v>3.9</v>
      </c>
      <c r="M7" s="140">
        <f t="shared" si="0"/>
        <v>1</v>
      </c>
      <c r="N7" s="141">
        <f t="shared" ref="N7:N70" si="2">L7*M7</f>
        <v>3.9</v>
      </c>
      <c r="O7" s="142" t="s">
        <v>1156</v>
      </c>
      <c r="P7" s="143" t="s">
        <v>1532</v>
      </c>
    </row>
    <row r="8" spans="3:17" s="144" customFormat="1" ht="19.5" customHeight="1">
      <c r="C8" s="133">
        <v>3</v>
      </c>
      <c r="D8" s="134" t="s">
        <v>2164</v>
      </c>
      <c r="E8" s="135" t="s">
        <v>2165</v>
      </c>
      <c r="F8" s="135" t="s">
        <v>3259</v>
      </c>
      <c r="G8" s="228" t="s">
        <v>2166</v>
      </c>
      <c r="H8" s="181" t="s">
        <v>2171</v>
      </c>
      <c r="I8" s="182" t="s">
        <v>2172</v>
      </c>
      <c r="J8" s="137"/>
      <c r="K8" s="153" t="s">
        <v>1160</v>
      </c>
      <c r="L8" s="139">
        <f t="shared" si="1"/>
        <v>3.9</v>
      </c>
      <c r="M8" s="140">
        <f t="shared" si="0"/>
        <v>1</v>
      </c>
      <c r="N8" s="141">
        <f t="shared" si="2"/>
        <v>3.9</v>
      </c>
      <c r="O8" s="142" t="s">
        <v>1156</v>
      </c>
      <c r="P8" s="143" t="s">
        <v>1532</v>
      </c>
    </row>
    <row r="9" spans="3:17" s="144" customFormat="1" ht="19.5" customHeight="1">
      <c r="C9" s="133">
        <v>4</v>
      </c>
      <c r="D9" s="134" t="s">
        <v>2164</v>
      </c>
      <c r="E9" s="135" t="s">
        <v>2165</v>
      </c>
      <c r="F9" s="135" t="s">
        <v>3260</v>
      </c>
      <c r="G9" s="228" t="s">
        <v>2166</v>
      </c>
      <c r="H9" s="181" t="s">
        <v>2173</v>
      </c>
      <c r="I9" s="182" t="s">
        <v>2174</v>
      </c>
      <c r="J9" s="137"/>
      <c r="K9" s="153" t="s">
        <v>1160</v>
      </c>
      <c r="L9" s="139">
        <f t="shared" si="1"/>
        <v>3.9</v>
      </c>
      <c r="M9" s="140">
        <f t="shared" si="0"/>
        <v>1</v>
      </c>
      <c r="N9" s="141">
        <f t="shared" si="2"/>
        <v>3.9</v>
      </c>
      <c r="O9" s="142" t="s">
        <v>1156</v>
      </c>
      <c r="P9" s="143" t="s">
        <v>1532</v>
      </c>
    </row>
    <row r="10" spans="3:17" s="144" customFormat="1" ht="19.5" customHeight="1">
      <c r="C10" s="133">
        <v>5</v>
      </c>
      <c r="D10" s="134" t="s">
        <v>2164</v>
      </c>
      <c r="E10" s="135" t="s">
        <v>2165</v>
      </c>
      <c r="F10" s="135" t="s">
        <v>3261</v>
      </c>
      <c r="G10" s="228" t="s">
        <v>2166</v>
      </c>
      <c r="H10" s="181" t="s">
        <v>2175</v>
      </c>
      <c r="I10" s="182" t="s">
        <v>2176</v>
      </c>
      <c r="J10" s="137"/>
      <c r="K10" s="191" t="s">
        <v>1236</v>
      </c>
      <c r="L10" s="139">
        <f t="shared" si="1"/>
        <v>5.2</v>
      </c>
      <c r="M10" s="140">
        <f t="shared" si="0"/>
        <v>1</v>
      </c>
      <c r="N10" s="141">
        <f t="shared" si="2"/>
        <v>5.2</v>
      </c>
      <c r="O10" s="142" t="s">
        <v>1156</v>
      </c>
      <c r="P10" s="143" t="s">
        <v>1532</v>
      </c>
    </row>
    <row r="11" spans="3:17" s="144" customFormat="1" ht="19.5" customHeight="1">
      <c r="C11" s="133">
        <v>6</v>
      </c>
      <c r="D11" s="134" t="s">
        <v>2164</v>
      </c>
      <c r="E11" s="135" t="s">
        <v>2165</v>
      </c>
      <c r="F11" s="135" t="s">
        <v>3262</v>
      </c>
      <c r="G11" s="228" t="s">
        <v>2166</v>
      </c>
      <c r="H11" s="181" t="s">
        <v>2175</v>
      </c>
      <c r="I11" s="182" t="s">
        <v>2177</v>
      </c>
      <c r="J11" s="137"/>
      <c r="K11" s="191" t="s">
        <v>1236</v>
      </c>
      <c r="L11" s="139">
        <f t="shared" si="1"/>
        <v>5.2</v>
      </c>
      <c r="M11" s="140">
        <f t="shared" si="0"/>
        <v>1</v>
      </c>
      <c r="N11" s="141">
        <f t="shared" si="2"/>
        <v>5.2</v>
      </c>
      <c r="O11" s="142" t="s">
        <v>1156</v>
      </c>
      <c r="P11" s="143" t="s">
        <v>1532</v>
      </c>
    </row>
    <row r="12" spans="3:17" s="144" customFormat="1" ht="19.5" customHeight="1">
      <c r="C12" s="133">
        <v>7</v>
      </c>
      <c r="D12" s="134" t="s">
        <v>2164</v>
      </c>
      <c r="E12" s="135" t="s">
        <v>2165</v>
      </c>
      <c r="F12" s="135" t="s">
        <v>3263</v>
      </c>
      <c r="G12" s="228" t="s">
        <v>2166</v>
      </c>
      <c r="H12" s="181" t="s">
        <v>2175</v>
      </c>
      <c r="I12" s="182" t="s">
        <v>2178</v>
      </c>
      <c r="J12" s="137"/>
      <c r="K12" s="191" t="s">
        <v>1236</v>
      </c>
      <c r="L12" s="139">
        <f t="shared" si="1"/>
        <v>5.2</v>
      </c>
      <c r="M12" s="140">
        <f t="shared" si="0"/>
        <v>1</v>
      </c>
      <c r="N12" s="141">
        <f t="shared" si="2"/>
        <v>5.2</v>
      </c>
      <c r="O12" s="142" t="s">
        <v>1156</v>
      </c>
      <c r="P12" s="143" t="s">
        <v>1532</v>
      </c>
    </row>
    <row r="13" spans="3:17" s="144" customFormat="1" ht="19.5" customHeight="1">
      <c r="C13" s="133">
        <v>8</v>
      </c>
      <c r="D13" s="134" t="s">
        <v>2164</v>
      </c>
      <c r="E13" s="135" t="s">
        <v>2165</v>
      </c>
      <c r="F13" s="135" t="s">
        <v>3264</v>
      </c>
      <c r="G13" s="228" t="s">
        <v>2166</v>
      </c>
      <c r="H13" s="181" t="s">
        <v>2179</v>
      </c>
      <c r="I13" s="182" t="s">
        <v>2180</v>
      </c>
      <c r="J13" s="137"/>
      <c r="K13" s="153" t="s">
        <v>1160</v>
      </c>
      <c r="L13" s="139">
        <f t="shared" si="1"/>
        <v>3.9</v>
      </c>
      <c r="M13" s="140">
        <f t="shared" si="0"/>
        <v>1</v>
      </c>
      <c r="N13" s="141">
        <f t="shared" si="2"/>
        <v>3.9</v>
      </c>
      <c r="O13" s="142" t="s">
        <v>1156</v>
      </c>
      <c r="P13" s="143" t="s">
        <v>1532</v>
      </c>
    </row>
    <row r="14" spans="3:17" s="144" customFormat="1" ht="19.5" customHeight="1">
      <c r="C14" s="133">
        <v>9</v>
      </c>
      <c r="D14" s="134" t="s">
        <v>2164</v>
      </c>
      <c r="E14" s="135" t="s">
        <v>2165</v>
      </c>
      <c r="F14" s="135" t="s">
        <v>3265</v>
      </c>
      <c r="G14" s="228" t="s">
        <v>2166</v>
      </c>
      <c r="H14" s="181" t="s">
        <v>2181</v>
      </c>
      <c r="I14" s="182" t="s">
        <v>2182</v>
      </c>
      <c r="J14" s="137"/>
      <c r="K14" s="153" t="s">
        <v>1155</v>
      </c>
      <c r="L14" s="139">
        <f t="shared" si="1"/>
        <v>7.5</v>
      </c>
      <c r="M14" s="140">
        <f t="shared" si="0"/>
        <v>1</v>
      </c>
      <c r="N14" s="141">
        <f t="shared" si="2"/>
        <v>7.5</v>
      </c>
      <c r="O14" s="142" t="s">
        <v>1156</v>
      </c>
      <c r="P14" s="143" t="s">
        <v>1532</v>
      </c>
    </row>
    <row r="15" spans="3:17" s="144" customFormat="1" ht="19.5" customHeight="1">
      <c r="C15" s="133">
        <v>10</v>
      </c>
      <c r="D15" s="134" t="s">
        <v>2164</v>
      </c>
      <c r="E15" s="135" t="s">
        <v>2165</v>
      </c>
      <c r="F15" s="135" t="s">
        <v>3266</v>
      </c>
      <c r="G15" s="228" t="s">
        <v>2166</v>
      </c>
      <c r="H15" s="181" t="s">
        <v>2183</v>
      </c>
      <c r="I15" s="182" t="s">
        <v>2184</v>
      </c>
      <c r="J15" s="137"/>
      <c r="K15" s="191" t="s">
        <v>1236</v>
      </c>
      <c r="L15" s="139">
        <f t="shared" si="1"/>
        <v>5.2</v>
      </c>
      <c r="M15" s="140">
        <f t="shared" si="0"/>
        <v>1</v>
      </c>
      <c r="N15" s="141">
        <f t="shared" si="2"/>
        <v>5.2</v>
      </c>
      <c r="O15" s="142" t="s">
        <v>1156</v>
      </c>
      <c r="P15" s="143" t="s">
        <v>1532</v>
      </c>
    </row>
    <row r="16" spans="3:17" s="144" customFormat="1" ht="19.5" customHeight="1">
      <c r="C16" s="133">
        <v>11</v>
      </c>
      <c r="D16" s="134" t="s">
        <v>2164</v>
      </c>
      <c r="E16" s="135" t="s">
        <v>2165</v>
      </c>
      <c r="F16" s="135" t="s">
        <v>3267</v>
      </c>
      <c r="G16" s="228" t="s">
        <v>2166</v>
      </c>
      <c r="H16" s="181" t="s">
        <v>2185</v>
      </c>
      <c r="I16" s="182" t="s">
        <v>2186</v>
      </c>
      <c r="J16" s="137"/>
      <c r="K16" s="153" t="s">
        <v>1607</v>
      </c>
      <c r="L16" s="139">
        <f t="shared" si="1"/>
        <v>5.4</v>
      </c>
      <c r="M16" s="140">
        <f t="shared" si="0"/>
        <v>1</v>
      </c>
      <c r="N16" s="141">
        <f t="shared" si="2"/>
        <v>5.4</v>
      </c>
      <c r="O16" s="142" t="s">
        <v>1156</v>
      </c>
      <c r="P16" s="143" t="s">
        <v>1532</v>
      </c>
    </row>
    <row r="17" spans="2:19" s="144" customFormat="1" ht="19.5" customHeight="1">
      <c r="C17" s="133">
        <v>12</v>
      </c>
      <c r="D17" s="134" t="s">
        <v>2164</v>
      </c>
      <c r="E17" s="135" t="s">
        <v>2165</v>
      </c>
      <c r="F17" s="135" t="s">
        <v>3268</v>
      </c>
      <c r="G17" s="228" t="s">
        <v>2166</v>
      </c>
      <c r="H17" s="181" t="s">
        <v>2187</v>
      </c>
      <c r="I17" s="182" t="s">
        <v>2188</v>
      </c>
      <c r="J17" s="137"/>
      <c r="K17" s="191" t="s">
        <v>1236</v>
      </c>
      <c r="L17" s="139">
        <f t="shared" si="1"/>
        <v>5.2</v>
      </c>
      <c r="M17" s="140">
        <f t="shared" si="0"/>
        <v>1</v>
      </c>
      <c r="N17" s="141">
        <f t="shared" si="2"/>
        <v>5.2</v>
      </c>
      <c r="O17" s="142" t="s">
        <v>1156</v>
      </c>
      <c r="P17" s="143" t="s">
        <v>1532</v>
      </c>
    </row>
    <row r="18" spans="2:19" s="144" customFormat="1" ht="19.5" customHeight="1">
      <c r="C18" s="133">
        <v>13</v>
      </c>
      <c r="D18" s="134" t="s">
        <v>2164</v>
      </c>
      <c r="E18" s="135" t="s">
        <v>2165</v>
      </c>
      <c r="F18" s="135" t="s">
        <v>3269</v>
      </c>
      <c r="G18" s="228" t="s">
        <v>2166</v>
      </c>
      <c r="H18" s="181" t="s">
        <v>2189</v>
      </c>
      <c r="I18" s="182" t="s">
        <v>2190</v>
      </c>
      <c r="J18" s="137"/>
      <c r="K18" s="191" t="s">
        <v>1236</v>
      </c>
      <c r="L18" s="139">
        <f t="shared" si="1"/>
        <v>5.2</v>
      </c>
      <c r="M18" s="140">
        <f t="shared" si="0"/>
        <v>1</v>
      </c>
      <c r="N18" s="141">
        <f t="shared" si="2"/>
        <v>5.2</v>
      </c>
      <c r="O18" s="142" t="s">
        <v>1156</v>
      </c>
      <c r="P18" s="143" t="s">
        <v>1532</v>
      </c>
    </row>
    <row r="19" spans="2:19" s="144" customFormat="1" ht="19.5" customHeight="1">
      <c r="C19" s="133">
        <v>14</v>
      </c>
      <c r="D19" s="134" t="s">
        <v>2164</v>
      </c>
      <c r="E19" s="135" t="s">
        <v>2165</v>
      </c>
      <c r="F19" s="135" t="s">
        <v>3270</v>
      </c>
      <c r="G19" s="228" t="s">
        <v>2166</v>
      </c>
      <c r="H19" s="181" t="s">
        <v>2189</v>
      </c>
      <c r="I19" s="182" t="s">
        <v>2191</v>
      </c>
      <c r="J19" s="137"/>
      <c r="K19" s="191" t="s">
        <v>1236</v>
      </c>
      <c r="L19" s="139">
        <f t="shared" si="1"/>
        <v>5.2</v>
      </c>
      <c r="M19" s="140">
        <f t="shared" si="0"/>
        <v>1</v>
      </c>
      <c r="N19" s="141">
        <f t="shared" si="2"/>
        <v>5.2</v>
      </c>
      <c r="O19" s="142" t="s">
        <v>1156</v>
      </c>
      <c r="P19" s="143" t="s">
        <v>1532</v>
      </c>
    </row>
    <row r="20" spans="2:19" s="127" customFormat="1" ht="27">
      <c r="B20" s="127" t="s">
        <v>2192</v>
      </c>
      <c r="C20" s="147">
        <v>15</v>
      </c>
      <c r="D20" s="142" t="s">
        <v>2164</v>
      </c>
      <c r="E20" s="186" t="s">
        <v>2193</v>
      </c>
      <c r="F20" s="186" t="s">
        <v>3271</v>
      </c>
      <c r="G20" s="186" t="s">
        <v>2194</v>
      </c>
      <c r="H20" s="186" t="s">
        <v>2195</v>
      </c>
      <c r="I20" s="187" t="s">
        <v>2195</v>
      </c>
      <c r="J20" s="257"/>
      <c r="K20" s="153" t="s">
        <v>1155</v>
      </c>
      <c r="L20" s="258">
        <f t="shared" si="1"/>
        <v>7.5</v>
      </c>
      <c r="M20" s="140">
        <f t="shared" si="0"/>
        <v>1</v>
      </c>
      <c r="N20" s="141">
        <f t="shared" si="2"/>
        <v>7.5</v>
      </c>
      <c r="O20" s="259" t="s">
        <v>1156</v>
      </c>
      <c r="P20" s="260" t="s">
        <v>1532</v>
      </c>
      <c r="Q20" s="261"/>
    </row>
    <row r="21" spans="2:19" s="144" customFormat="1" ht="27">
      <c r="B21" s="127" t="s">
        <v>2192</v>
      </c>
      <c r="C21" s="147">
        <v>16</v>
      </c>
      <c r="D21" s="142" t="s">
        <v>2164</v>
      </c>
      <c r="E21" s="186" t="s">
        <v>2193</v>
      </c>
      <c r="F21" s="186" t="s">
        <v>3272</v>
      </c>
      <c r="G21" s="186" t="s">
        <v>2194</v>
      </c>
      <c r="H21" s="186" t="s">
        <v>2196</v>
      </c>
      <c r="I21" s="187" t="s">
        <v>2196</v>
      </c>
      <c r="J21" s="137"/>
      <c r="K21" s="153" t="s">
        <v>1155</v>
      </c>
      <c r="L21" s="139">
        <f t="shared" si="1"/>
        <v>7.5</v>
      </c>
      <c r="M21" s="140">
        <f t="shared" si="0"/>
        <v>1</v>
      </c>
      <c r="N21" s="141">
        <f t="shared" si="2"/>
        <v>7.5</v>
      </c>
      <c r="O21" s="259" t="s">
        <v>1156</v>
      </c>
      <c r="P21" s="260" t="s">
        <v>1532</v>
      </c>
      <c r="Q21" s="262"/>
      <c r="R21" s="122"/>
      <c r="S21" s="263"/>
    </row>
    <row r="22" spans="2:19" s="144" customFormat="1" ht="27">
      <c r="B22" s="127" t="s">
        <v>2192</v>
      </c>
      <c r="C22" s="147">
        <v>17</v>
      </c>
      <c r="D22" s="142" t="s">
        <v>2164</v>
      </c>
      <c r="E22" s="186" t="s">
        <v>2193</v>
      </c>
      <c r="F22" s="186" t="s">
        <v>3273</v>
      </c>
      <c r="G22" s="186" t="s">
        <v>2194</v>
      </c>
      <c r="H22" s="186" t="s">
        <v>2197</v>
      </c>
      <c r="I22" s="187" t="s">
        <v>2197</v>
      </c>
      <c r="J22" s="137"/>
      <c r="K22" s="153" t="s">
        <v>1155</v>
      </c>
      <c r="L22" s="139">
        <f t="shared" si="1"/>
        <v>7.5</v>
      </c>
      <c r="M22" s="140">
        <f t="shared" si="0"/>
        <v>1</v>
      </c>
      <c r="N22" s="141">
        <f t="shared" si="2"/>
        <v>7.5</v>
      </c>
      <c r="O22" s="259" t="s">
        <v>1156</v>
      </c>
      <c r="P22" s="260" t="s">
        <v>1532</v>
      </c>
      <c r="Q22" s="264"/>
      <c r="R22" s="122"/>
      <c r="S22" s="263"/>
    </row>
    <row r="23" spans="2:19" s="144" customFormat="1" ht="27">
      <c r="B23" s="127" t="s">
        <v>2192</v>
      </c>
      <c r="C23" s="147">
        <v>18</v>
      </c>
      <c r="D23" s="142" t="s">
        <v>2164</v>
      </c>
      <c r="E23" s="186" t="s">
        <v>2193</v>
      </c>
      <c r="F23" s="186" t="s">
        <v>3274</v>
      </c>
      <c r="G23" s="186" t="s">
        <v>2194</v>
      </c>
      <c r="H23" s="186" t="s">
        <v>2198</v>
      </c>
      <c r="I23" s="187" t="s">
        <v>2198</v>
      </c>
      <c r="J23" s="137"/>
      <c r="K23" s="152" t="s">
        <v>1160</v>
      </c>
      <c r="L23" s="139">
        <f t="shared" si="1"/>
        <v>3.9</v>
      </c>
      <c r="M23" s="140">
        <f t="shared" si="0"/>
        <v>1</v>
      </c>
      <c r="N23" s="141">
        <f t="shared" si="2"/>
        <v>3.9</v>
      </c>
      <c r="O23" s="259" t="s">
        <v>1156</v>
      </c>
      <c r="P23" s="260" t="s">
        <v>1532</v>
      </c>
      <c r="Q23" s="264"/>
      <c r="R23" s="122"/>
      <c r="S23" s="263"/>
    </row>
    <row r="24" spans="2:19" s="144" customFormat="1" ht="27">
      <c r="B24" s="127" t="s">
        <v>2192</v>
      </c>
      <c r="C24" s="147">
        <v>19</v>
      </c>
      <c r="D24" s="142" t="s">
        <v>2164</v>
      </c>
      <c r="E24" s="186" t="s">
        <v>2193</v>
      </c>
      <c r="F24" s="186" t="s">
        <v>3275</v>
      </c>
      <c r="G24" s="186" t="s">
        <v>2194</v>
      </c>
      <c r="H24" s="186" t="s">
        <v>2199</v>
      </c>
      <c r="I24" s="187" t="s">
        <v>2199</v>
      </c>
      <c r="J24" s="137"/>
      <c r="K24" s="191" t="s">
        <v>1236</v>
      </c>
      <c r="L24" s="139">
        <f t="shared" si="1"/>
        <v>5.2</v>
      </c>
      <c r="M24" s="140">
        <f t="shared" si="0"/>
        <v>1</v>
      </c>
      <c r="N24" s="141">
        <f t="shared" si="2"/>
        <v>5.2</v>
      </c>
      <c r="O24" s="259" t="s">
        <v>1156</v>
      </c>
      <c r="P24" s="260" t="s">
        <v>1532</v>
      </c>
      <c r="Q24" s="264"/>
      <c r="R24" s="265"/>
      <c r="S24" s="266"/>
    </row>
    <row r="25" spans="2:19" s="144" customFormat="1" ht="27">
      <c r="B25" s="127" t="s">
        <v>2192</v>
      </c>
      <c r="C25" s="147">
        <v>20</v>
      </c>
      <c r="D25" s="142" t="s">
        <v>2164</v>
      </c>
      <c r="E25" s="186" t="s">
        <v>2193</v>
      </c>
      <c r="F25" s="186" t="s">
        <v>3276</v>
      </c>
      <c r="G25" s="186" t="s">
        <v>2194</v>
      </c>
      <c r="H25" s="186" t="s">
        <v>2200</v>
      </c>
      <c r="I25" s="187" t="s">
        <v>2200</v>
      </c>
      <c r="J25" s="137"/>
      <c r="K25" s="191" t="s">
        <v>1236</v>
      </c>
      <c r="L25" s="139">
        <f t="shared" si="1"/>
        <v>5.2</v>
      </c>
      <c r="M25" s="140">
        <f t="shared" si="0"/>
        <v>1</v>
      </c>
      <c r="N25" s="141">
        <f t="shared" si="2"/>
        <v>5.2</v>
      </c>
      <c r="O25" s="259" t="s">
        <v>1156</v>
      </c>
      <c r="P25" s="260" t="s">
        <v>1532</v>
      </c>
      <c r="Q25" s="264"/>
    </row>
    <row r="26" spans="2:19" s="144" customFormat="1" ht="27">
      <c r="B26" s="127" t="s">
        <v>2192</v>
      </c>
      <c r="C26" s="147">
        <v>21</v>
      </c>
      <c r="D26" s="142" t="s">
        <v>2164</v>
      </c>
      <c r="E26" s="186" t="s">
        <v>2193</v>
      </c>
      <c r="F26" s="186" t="s">
        <v>3277</v>
      </c>
      <c r="G26" s="186" t="s">
        <v>2194</v>
      </c>
      <c r="H26" s="186" t="s">
        <v>2201</v>
      </c>
      <c r="I26" s="187" t="s">
        <v>2201</v>
      </c>
      <c r="J26" s="137"/>
      <c r="K26" s="191" t="s">
        <v>1236</v>
      </c>
      <c r="L26" s="139">
        <f t="shared" si="1"/>
        <v>5.2</v>
      </c>
      <c r="M26" s="140">
        <f t="shared" si="0"/>
        <v>1</v>
      </c>
      <c r="N26" s="141">
        <f t="shared" si="2"/>
        <v>5.2</v>
      </c>
      <c r="O26" s="259" t="s">
        <v>1156</v>
      </c>
      <c r="P26" s="260" t="s">
        <v>1532</v>
      </c>
      <c r="Q26" s="264"/>
    </row>
    <row r="27" spans="2:19" s="144" customFormat="1" ht="27">
      <c r="B27" s="127" t="s">
        <v>2192</v>
      </c>
      <c r="C27" s="147">
        <v>22</v>
      </c>
      <c r="D27" s="142" t="s">
        <v>2164</v>
      </c>
      <c r="E27" s="186" t="s">
        <v>2193</v>
      </c>
      <c r="F27" s="186" t="s">
        <v>3278</v>
      </c>
      <c r="G27" s="186" t="s">
        <v>2194</v>
      </c>
      <c r="H27" s="186" t="s">
        <v>2202</v>
      </c>
      <c r="I27" s="187" t="s">
        <v>2202</v>
      </c>
      <c r="J27" s="137"/>
      <c r="K27" s="191" t="s">
        <v>1236</v>
      </c>
      <c r="L27" s="139">
        <f t="shared" si="1"/>
        <v>5.2</v>
      </c>
      <c r="M27" s="140">
        <f t="shared" si="0"/>
        <v>1</v>
      </c>
      <c r="N27" s="141">
        <f t="shared" si="2"/>
        <v>5.2</v>
      </c>
      <c r="O27" s="259" t="s">
        <v>1156</v>
      </c>
      <c r="P27" s="260" t="s">
        <v>1532</v>
      </c>
      <c r="Q27" s="264"/>
    </row>
    <row r="28" spans="2:19" s="144" customFormat="1" ht="27">
      <c r="B28" s="127" t="s">
        <v>2192</v>
      </c>
      <c r="C28" s="147">
        <v>23</v>
      </c>
      <c r="D28" s="142" t="s">
        <v>2164</v>
      </c>
      <c r="E28" s="186" t="s">
        <v>2193</v>
      </c>
      <c r="F28" s="186" t="s">
        <v>3279</v>
      </c>
      <c r="G28" s="186" t="s">
        <v>2194</v>
      </c>
      <c r="H28" s="186" t="s">
        <v>2203</v>
      </c>
      <c r="I28" s="187" t="s">
        <v>2203</v>
      </c>
      <c r="J28" s="137"/>
      <c r="K28" s="191" t="s">
        <v>1236</v>
      </c>
      <c r="L28" s="139">
        <f t="shared" si="1"/>
        <v>5.2</v>
      </c>
      <c r="M28" s="140">
        <f t="shared" si="0"/>
        <v>1</v>
      </c>
      <c r="N28" s="141">
        <f t="shared" si="2"/>
        <v>5.2</v>
      </c>
      <c r="O28" s="259" t="s">
        <v>1156</v>
      </c>
      <c r="P28" s="260" t="s">
        <v>1532</v>
      </c>
      <c r="Q28" s="264"/>
    </row>
    <row r="29" spans="2:19" s="144" customFormat="1" ht="27">
      <c r="B29" s="127" t="s">
        <v>2192</v>
      </c>
      <c r="C29" s="147">
        <v>24</v>
      </c>
      <c r="D29" s="142" t="s">
        <v>2164</v>
      </c>
      <c r="E29" s="186" t="s">
        <v>2193</v>
      </c>
      <c r="F29" s="186" t="s">
        <v>3280</v>
      </c>
      <c r="G29" s="186" t="s">
        <v>2194</v>
      </c>
      <c r="H29" s="186" t="s">
        <v>2204</v>
      </c>
      <c r="I29" s="187" t="s">
        <v>2204</v>
      </c>
      <c r="J29" s="137"/>
      <c r="K29" s="191" t="s">
        <v>1236</v>
      </c>
      <c r="L29" s="139">
        <f t="shared" si="1"/>
        <v>5.2</v>
      </c>
      <c r="M29" s="140">
        <f t="shared" si="0"/>
        <v>1</v>
      </c>
      <c r="N29" s="141">
        <f t="shared" si="2"/>
        <v>5.2</v>
      </c>
      <c r="O29" s="259" t="s">
        <v>1156</v>
      </c>
      <c r="P29" s="260" t="s">
        <v>1532</v>
      </c>
      <c r="Q29" s="264"/>
    </row>
    <row r="30" spans="2:19" s="144" customFormat="1">
      <c r="B30" s="127" t="s">
        <v>2192</v>
      </c>
      <c r="C30" s="133">
        <v>25</v>
      </c>
      <c r="D30" s="134" t="s">
        <v>2164</v>
      </c>
      <c r="E30" s="181" t="s">
        <v>2193</v>
      </c>
      <c r="F30" s="181" t="s">
        <v>3281</v>
      </c>
      <c r="G30" s="181" t="s">
        <v>2205</v>
      </c>
      <c r="H30" s="181" t="s">
        <v>2206</v>
      </c>
      <c r="I30" s="182" t="s">
        <v>2206</v>
      </c>
      <c r="J30" s="137"/>
      <c r="K30" s="191" t="s">
        <v>1226</v>
      </c>
      <c r="L30" s="139">
        <f t="shared" si="1"/>
        <v>3.9</v>
      </c>
      <c r="M30" s="140">
        <f t="shared" si="0"/>
        <v>0.25</v>
      </c>
      <c r="N30" s="141">
        <f t="shared" si="2"/>
        <v>0.97499999999999998</v>
      </c>
      <c r="O30" s="259" t="s">
        <v>1776</v>
      </c>
      <c r="P30" s="260" t="s">
        <v>1532</v>
      </c>
      <c r="Q30" s="264"/>
    </row>
    <row r="31" spans="2:19" s="144" customFormat="1">
      <c r="B31" s="127" t="s">
        <v>2192</v>
      </c>
      <c r="C31" s="133">
        <v>26</v>
      </c>
      <c r="D31" s="134" t="s">
        <v>2164</v>
      </c>
      <c r="E31" s="181" t="s">
        <v>2193</v>
      </c>
      <c r="F31" s="181" t="s">
        <v>3282</v>
      </c>
      <c r="G31" s="181" t="s">
        <v>2205</v>
      </c>
      <c r="H31" s="181" t="s">
        <v>2207</v>
      </c>
      <c r="I31" s="182" t="s">
        <v>2207</v>
      </c>
      <c r="J31" s="137"/>
      <c r="K31" s="191" t="s">
        <v>1226</v>
      </c>
      <c r="L31" s="139">
        <f t="shared" si="1"/>
        <v>3.9</v>
      </c>
      <c r="M31" s="140">
        <f t="shared" si="0"/>
        <v>0.25</v>
      </c>
      <c r="N31" s="141">
        <f t="shared" si="2"/>
        <v>0.97499999999999998</v>
      </c>
      <c r="O31" s="259" t="s">
        <v>1776</v>
      </c>
      <c r="P31" s="143" t="s">
        <v>1532</v>
      </c>
      <c r="Q31" s="264"/>
    </row>
    <row r="32" spans="2:19" s="144" customFormat="1">
      <c r="B32" s="127" t="s">
        <v>2192</v>
      </c>
      <c r="C32" s="133">
        <v>27</v>
      </c>
      <c r="D32" s="134" t="s">
        <v>2164</v>
      </c>
      <c r="E32" s="181" t="s">
        <v>2193</v>
      </c>
      <c r="F32" s="181" t="s">
        <v>3283</v>
      </c>
      <c r="G32" s="181" t="s">
        <v>2205</v>
      </c>
      <c r="H32" s="181" t="s">
        <v>2208</v>
      </c>
      <c r="I32" s="182" t="s">
        <v>2208</v>
      </c>
      <c r="J32" s="137"/>
      <c r="K32" s="191" t="s">
        <v>1416</v>
      </c>
      <c r="L32" s="139">
        <f t="shared" si="1"/>
        <v>5.4</v>
      </c>
      <c r="M32" s="140">
        <f t="shared" si="0"/>
        <v>0.25</v>
      </c>
      <c r="N32" s="141">
        <f t="shared" si="2"/>
        <v>1.35</v>
      </c>
      <c r="O32" s="259" t="s">
        <v>1776</v>
      </c>
      <c r="P32" s="143" t="s">
        <v>1532</v>
      </c>
      <c r="Q32" s="264"/>
    </row>
    <row r="33" spans="2:17" s="144" customFormat="1">
      <c r="B33" s="127" t="s">
        <v>2192</v>
      </c>
      <c r="C33" s="133">
        <v>28</v>
      </c>
      <c r="D33" s="134" t="s">
        <v>2164</v>
      </c>
      <c r="E33" s="181" t="s">
        <v>2193</v>
      </c>
      <c r="F33" s="181" t="s">
        <v>3284</v>
      </c>
      <c r="G33" s="181" t="s">
        <v>2205</v>
      </c>
      <c r="H33" s="181" t="s">
        <v>2209</v>
      </c>
      <c r="I33" s="182" t="s">
        <v>2209</v>
      </c>
      <c r="J33" s="137"/>
      <c r="K33" s="191" t="s">
        <v>1236</v>
      </c>
      <c r="L33" s="139">
        <f t="shared" si="1"/>
        <v>5.2</v>
      </c>
      <c r="M33" s="140">
        <f t="shared" si="0"/>
        <v>0.25</v>
      </c>
      <c r="N33" s="141">
        <f t="shared" si="2"/>
        <v>1.3</v>
      </c>
      <c r="O33" s="259" t="s">
        <v>1776</v>
      </c>
      <c r="P33" s="143" t="s">
        <v>1532</v>
      </c>
      <c r="Q33" s="264"/>
    </row>
    <row r="34" spans="2:17" s="144" customFormat="1">
      <c r="B34" s="127" t="s">
        <v>2192</v>
      </c>
      <c r="C34" s="133">
        <v>29</v>
      </c>
      <c r="D34" s="134" t="s">
        <v>2164</v>
      </c>
      <c r="E34" s="181" t="s">
        <v>2193</v>
      </c>
      <c r="F34" s="181" t="s">
        <v>3285</v>
      </c>
      <c r="G34" s="181" t="s">
        <v>2205</v>
      </c>
      <c r="H34" s="181" t="s">
        <v>2210</v>
      </c>
      <c r="I34" s="182" t="s">
        <v>2210</v>
      </c>
      <c r="J34" s="137"/>
      <c r="K34" s="191" t="s">
        <v>1226</v>
      </c>
      <c r="L34" s="139">
        <f t="shared" si="1"/>
        <v>3.9</v>
      </c>
      <c r="M34" s="140">
        <f t="shared" si="0"/>
        <v>0.25</v>
      </c>
      <c r="N34" s="141">
        <f t="shared" si="2"/>
        <v>0.97499999999999998</v>
      </c>
      <c r="O34" s="259" t="s">
        <v>1776</v>
      </c>
      <c r="P34" s="143" t="s">
        <v>1532</v>
      </c>
      <c r="Q34" s="264"/>
    </row>
    <row r="35" spans="2:17" s="144" customFormat="1">
      <c r="B35" s="127" t="s">
        <v>2192</v>
      </c>
      <c r="C35" s="133">
        <v>30</v>
      </c>
      <c r="D35" s="134" t="s">
        <v>2164</v>
      </c>
      <c r="E35" s="181" t="s">
        <v>2193</v>
      </c>
      <c r="F35" s="181" t="s">
        <v>3286</v>
      </c>
      <c r="G35" s="181" t="s">
        <v>2205</v>
      </c>
      <c r="H35" s="181" t="s">
        <v>2211</v>
      </c>
      <c r="I35" s="182" t="s">
        <v>2211</v>
      </c>
      <c r="J35" s="137"/>
      <c r="K35" s="191" t="s">
        <v>1416</v>
      </c>
      <c r="L35" s="139">
        <f t="shared" si="1"/>
        <v>5.4</v>
      </c>
      <c r="M35" s="140">
        <f t="shared" si="0"/>
        <v>0.25</v>
      </c>
      <c r="N35" s="141">
        <f t="shared" si="2"/>
        <v>1.35</v>
      </c>
      <c r="O35" s="259" t="s">
        <v>1776</v>
      </c>
      <c r="P35" s="143" t="s">
        <v>1532</v>
      </c>
      <c r="Q35" s="264"/>
    </row>
    <row r="36" spans="2:17" s="144" customFormat="1">
      <c r="B36" s="127" t="s">
        <v>2192</v>
      </c>
      <c r="C36" s="133">
        <v>31</v>
      </c>
      <c r="D36" s="134" t="s">
        <v>2164</v>
      </c>
      <c r="E36" s="181" t="s">
        <v>2193</v>
      </c>
      <c r="F36" s="181" t="s">
        <v>3287</v>
      </c>
      <c r="G36" s="181" t="s">
        <v>2205</v>
      </c>
      <c r="H36" s="181" t="s">
        <v>2212</v>
      </c>
      <c r="I36" s="182" t="s">
        <v>2212</v>
      </c>
      <c r="J36" s="137"/>
      <c r="K36" s="191" t="s">
        <v>1236</v>
      </c>
      <c r="L36" s="139">
        <f t="shared" si="1"/>
        <v>5.2</v>
      </c>
      <c r="M36" s="140">
        <f t="shared" si="0"/>
        <v>0.25</v>
      </c>
      <c r="N36" s="141">
        <f t="shared" si="2"/>
        <v>1.3</v>
      </c>
      <c r="O36" s="259" t="s">
        <v>1776</v>
      </c>
      <c r="P36" s="143" t="s">
        <v>1532</v>
      </c>
      <c r="Q36" s="264"/>
    </row>
    <row r="37" spans="2:17" s="144" customFormat="1">
      <c r="B37" s="127" t="s">
        <v>2192</v>
      </c>
      <c r="C37" s="133">
        <v>32</v>
      </c>
      <c r="D37" s="134" t="s">
        <v>2164</v>
      </c>
      <c r="E37" s="181" t="s">
        <v>2193</v>
      </c>
      <c r="F37" s="181" t="s">
        <v>3288</v>
      </c>
      <c r="G37" s="181" t="s">
        <v>2205</v>
      </c>
      <c r="H37" s="181" t="s">
        <v>2213</v>
      </c>
      <c r="I37" s="182" t="s">
        <v>2213</v>
      </c>
      <c r="J37" s="137"/>
      <c r="K37" s="191" t="s">
        <v>1236</v>
      </c>
      <c r="L37" s="139">
        <f t="shared" si="1"/>
        <v>5.2</v>
      </c>
      <c r="M37" s="140">
        <f t="shared" si="0"/>
        <v>0.25</v>
      </c>
      <c r="N37" s="141">
        <f t="shared" si="2"/>
        <v>1.3</v>
      </c>
      <c r="O37" s="259" t="s">
        <v>1776</v>
      </c>
      <c r="P37" s="143" t="s">
        <v>1532</v>
      </c>
      <c r="Q37" s="264"/>
    </row>
    <row r="38" spans="2:17" s="144" customFormat="1">
      <c r="B38" s="127" t="s">
        <v>2192</v>
      </c>
      <c r="C38" s="133">
        <v>33</v>
      </c>
      <c r="D38" s="134" t="s">
        <v>2164</v>
      </c>
      <c r="E38" s="181" t="s">
        <v>2193</v>
      </c>
      <c r="F38" s="181" t="s">
        <v>3289</v>
      </c>
      <c r="G38" s="181" t="s">
        <v>2205</v>
      </c>
      <c r="H38" s="181" t="s">
        <v>2214</v>
      </c>
      <c r="I38" s="182" t="s">
        <v>2214</v>
      </c>
      <c r="J38" s="137"/>
      <c r="K38" s="152" t="s">
        <v>1188</v>
      </c>
      <c r="L38" s="139">
        <f t="shared" si="1"/>
        <v>4</v>
      </c>
      <c r="M38" s="140">
        <f t="shared" si="0"/>
        <v>0.25</v>
      </c>
      <c r="N38" s="141">
        <f t="shared" si="2"/>
        <v>1</v>
      </c>
      <c r="O38" s="259" t="s">
        <v>1776</v>
      </c>
      <c r="P38" s="143" t="s">
        <v>1532</v>
      </c>
      <c r="Q38" s="264"/>
    </row>
    <row r="39" spans="2:17" s="144" customFormat="1">
      <c r="B39" s="127" t="s">
        <v>2192</v>
      </c>
      <c r="C39" s="133">
        <v>34</v>
      </c>
      <c r="D39" s="134" t="s">
        <v>2164</v>
      </c>
      <c r="E39" s="181" t="s">
        <v>2193</v>
      </c>
      <c r="F39" s="181" t="s">
        <v>3290</v>
      </c>
      <c r="G39" s="181" t="s">
        <v>2205</v>
      </c>
      <c r="H39" s="181" t="s">
        <v>2215</v>
      </c>
      <c r="I39" s="182" t="s">
        <v>2215</v>
      </c>
      <c r="J39" s="137"/>
      <c r="K39" s="191" t="s">
        <v>1236</v>
      </c>
      <c r="L39" s="139">
        <f t="shared" si="1"/>
        <v>5.2</v>
      </c>
      <c r="M39" s="140">
        <f t="shared" si="0"/>
        <v>0.25</v>
      </c>
      <c r="N39" s="141">
        <f t="shared" si="2"/>
        <v>1.3</v>
      </c>
      <c r="O39" s="259" t="s">
        <v>1776</v>
      </c>
      <c r="P39" s="143" t="s">
        <v>1532</v>
      </c>
      <c r="Q39" s="264"/>
    </row>
    <row r="40" spans="2:17" s="144" customFormat="1">
      <c r="B40" s="127" t="s">
        <v>2192</v>
      </c>
      <c r="C40" s="133">
        <v>35</v>
      </c>
      <c r="D40" s="134" t="s">
        <v>2164</v>
      </c>
      <c r="E40" s="181" t="s">
        <v>2193</v>
      </c>
      <c r="F40" s="181" t="s">
        <v>3291</v>
      </c>
      <c r="G40" s="181" t="s">
        <v>2205</v>
      </c>
      <c r="H40" s="181" t="s">
        <v>2216</v>
      </c>
      <c r="I40" s="182" t="s">
        <v>2216</v>
      </c>
      <c r="J40" s="137"/>
      <c r="K40" s="191" t="s">
        <v>1202</v>
      </c>
      <c r="L40" s="139">
        <f t="shared" si="1"/>
        <v>7.5</v>
      </c>
      <c r="M40" s="140">
        <f t="shared" si="0"/>
        <v>0.25</v>
      </c>
      <c r="N40" s="141">
        <f t="shared" si="2"/>
        <v>1.875</v>
      </c>
      <c r="O40" s="259" t="s">
        <v>1776</v>
      </c>
      <c r="P40" s="143" t="s">
        <v>1532</v>
      </c>
      <c r="Q40" s="264"/>
    </row>
    <row r="41" spans="2:17" s="144" customFormat="1">
      <c r="B41" s="127" t="s">
        <v>2192</v>
      </c>
      <c r="C41" s="133">
        <v>36</v>
      </c>
      <c r="D41" s="134" t="s">
        <v>2164</v>
      </c>
      <c r="E41" s="181" t="s">
        <v>2193</v>
      </c>
      <c r="F41" s="181" t="s">
        <v>3292</v>
      </c>
      <c r="G41" s="181" t="s">
        <v>2205</v>
      </c>
      <c r="H41" s="181" t="s">
        <v>2217</v>
      </c>
      <c r="I41" s="182" t="s">
        <v>2217</v>
      </c>
      <c r="J41" s="137"/>
      <c r="K41" s="191" t="s">
        <v>1416</v>
      </c>
      <c r="L41" s="139">
        <f t="shared" si="1"/>
        <v>5.4</v>
      </c>
      <c r="M41" s="140">
        <f t="shared" si="0"/>
        <v>0.25</v>
      </c>
      <c r="N41" s="141">
        <f t="shared" si="2"/>
        <v>1.35</v>
      </c>
      <c r="O41" s="259" t="s">
        <v>1776</v>
      </c>
      <c r="P41" s="143" t="s">
        <v>1532</v>
      </c>
      <c r="Q41" s="264"/>
    </row>
    <row r="42" spans="2:17" s="144" customFormat="1" ht="18.600000000000001" customHeight="1">
      <c r="B42" s="127" t="s">
        <v>2192</v>
      </c>
      <c r="C42" s="133">
        <v>37</v>
      </c>
      <c r="D42" s="134" t="s">
        <v>2164</v>
      </c>
      <c r="E42" s="181" t="s">
        <v>2193</v>
      </c>
      <c r="F42" s="181" t="s">
        <v>3293</v>
      </c>
      <c r="G42" s="181" t="s">
        <v>2218</v>
      </c>
      <c r="H42" s="181" t="s">
        <v>2219</v>
      </c>
      <c r="I42" s="182" t="s">
        <v>2219</v>
      </c>
      <c r="J42" s="137"/>
      <c r="K42" s="191" t="s">
        <v>1236</v>
      </c>
      <c r="L42" s="139">
        <f t="shared" si="1"/>
        <v>5.2</v>
      </c>
      <c r="M42" s="140">
        <f t="shared" si="0"/>
        <v>1</v>
      </c>
      <c r="N42" s="141">
        <f t="shared" si="2"/>
        <v>5.2</v>
      </c>
      <c r="O42" s="259" t="s">
        <v>1156</v>
      </c>
      <c r="P42" s="143" t="s">
        <v>1532</v>
      </c>
      <c r="Q42" s="264"/>
    </row>
    <row r="43" spans="2:17" s="144" customFormat="1" ht="18.600000000000001" customHeight="1">
      <c r="B43" s="127" t="s">
        <v>2192</v>
      </c>
      <c r="C43" s="133">
        <v>38</v>
      </c>
      <c r="D43" s="134" t="s">
        <v>2164</v>
      </c>
      <c r="E43" s="181" t="s">
        <v>2193</v>
      </c>
      <c r="F43" s="181" t="s">
        <v>3294</v>
      </c>
      <c r="G43" s="181" t="s">
        <v>2218</v>
      </c>
      <c r="H43" s="181" t="s">
        <v>2220</v>
      </c>
      <c r="I43" s="182" t="s">
        <v>2220</v>
      </c>
      <c r="J43" s="137"/>
      <c r="K43" s="191" t="s">
        <v>1236</v>
      </c>
      <c r="L43" s="139">
        <f t="shared" si="1"/>
        <v>5.2</v>
      </c>
      <c r="M43" s="140">
        <f t="shared" si="0"/>
        <v>1</v>
      </c>
      <c r="N43" s="141">
        <f t="shared" si="2"/>
        <v>5.2</v>
      </c>
      <c r="O43" s="259" t="s">
        <v>1156</v>
      </c>
      <c r="P43" s="143" t="s">
        <v>1532</v>
      </c>
      <c r="Q43" s="264"/>
    </row>
    <row r="44" spans="2:17" s="144" customFormat="1" ht="18.600000000000001" customHeight="1">
      <c r="B44" s="127" t="s">
        <v>2192</v>
      </c>
      <c r="C44" s="133">
        <v>39</v>
      </c>
      <c r="D44" s="134" t="s">
        <v>2164</v>
      </c>
      <c r="E44" s="181" t="s">
        <v>2193</v>
      </c>
      <c r="F44" s="181" t="s">
        <v>3295</v>
      </c>
      <c r="G44" s="181" t="s">
        <v>2218</v>
      </c>
      <c r="H44" s="181" t="s">
        <v>2221</v>
      </c>
      <c r="I44" s="182" t="s">
        <v>2221</v>
      </c>
      <c r="J44" s="137"/>
      <c r="K44" s="191" t="s">
        <v>1236</v>
      </c>
      <c r="L44" s="139">
        <f t="shared" si="1"/>
        <v>5.2</v>
      </c>
      <c r="M44" s="140">
        <f t="shared" si="0"/>
        <v>1</v>
      </c>
      <c r="N44" s="141">
        <f t="shared" si="2"/>
        <v>5.2</v>
      </c>
      <c r="O44" s="259" t="s">
        <v>1156</v>
      </c>
      <c r="P44" s="143" t="s">
        <v>1532</v>
      </c>
      <c r="Q44" s="264"/>
    </row>
    <row r="45" spans="2:17" s="144" customFormat="1" ht="18.600000000000001" customHeight="1">
      <c r="B45" s="127" t="s">
        <v>2192</v>
      </c>
      <c r="C45" s="133">
        <v>40</v>
      </c>
      <c r="D45" s="134" t="s">
        <v>2164</v>
      </c>
      <c r="E45" s="181" t="s">
        <v>2193</v>
      </c>
      <c r="F45" s="181" t="s">
        <v>3296</v>
      </c>
      <c r="G45" s="181" t="s">
        <v>2218</v>
      </c>
      <c r="H45" s="181" t="s">
        <v>2222</v>
      </c>
      <c r="I45" s="182" t="s">
        <v>2222</v>
      </c>
      <c r="J45" s="137"/>
      <c r="K45" s="191" t="s">
        <v>1236</v>
      </c>
      <c r="L45" s="139">
        <f t="shared" si="1"/>
        <v>5.2</v>
      </c>
      <c r="M45" s="140">
        <f t="shared" si="0"/>
        <v>1</v>
      </c>
      <c r="N45" s="141">
        <f t="shared" si="2"/>
        <v>5.2</v>
      </c>
      <c r="O45" s="259" t="s">
        <v>1156</v>
      </c>
      <c r="P45" s="143" t="s">
        <v>1532</v>
      </c>
      <c r="Q45" s="264"/>
    </row>
    <row r="46" spans="2:17" s="144" customFormat="1" ht="18.600000000000001" customHeight="1">
      <c r="B46" s="127" t="s">
        <v>2192</v>
      </c>
      <c r="C46" s="133">
        <v>41</v>
      </c>
      <c r="D46" s="134" t="s">
        <v>2164</v>
      </c>
      <c r="E46" s="181" t="s">
        <v>2193</v>
      </c>
      <c r="F46" s="181" t="s">
        <v>3297</v>
      </c>
      <c r="G46" s="181" t="s">
        <v>2218</v>
      </c>
      <c r="H46" s="181" t="s">
        <v>2223</v>
      </c>
      <c r="I46" s="182" t="s">
        <v>2223</v>
      </c>
      <c r="J46" s="137"/>
      <c r="K46" s="152" t="s">
        <v>1226</v>
      </c>
      <c r="L46" s="139">
        <f t="shared" si="1"/>
        <v>3.9</v>
      </c>
      <c r="M46" s="140">
        <f t="shared" si="0"/>
        <v>1</v>
      </c>
      <c r="N46" s="141">
        <f t="shared" si="2"/>
        <v>3.9</v>
      </c>
      <c r="O46" s="259" t="s">
        <v>1156</v>
      </c>
      <c r="P46" s="143" t="s">
        <v>1532</v>
      </c>
      <c r="Q46" s="264"/>
    </row>
    <row r="47" spans="2:17" s="144" customFormat="1" ht="18.600000000000001" customHeight="1">
      <c r="B47" s="127" t="s">
        <v>2192</v>
      </c>
      <c r="C47" s="133">
        <v>42</v>
      </c>
      <c r="D47" s="134" t="s">
        <v>2164</v>
      </c>
      <c r="E47" s="181" t="s">
        <v>2193</v>
      </c>
      <c r="F47" s="181" t="s">
        <v>3298</v>
      </c>
      <c r="G47" s="181" t="s">
        <v>2218</v>
      </c>
      <c r="H47" s="181" t="s">
        <v>2224</v>
      </c>
      <c r="I47" s="182" t="s">
        <v>2224</v>
      </c>
      <c r="J47" s="137"/>
      <c r="K47" s="191" t="s">
        <v>1236</v>
      </c>
      <c r="L47" s="139">
        <f t="shared" si="1"/>
        <v>5.2</v>
      </c>
      <c r="M47" s="140">
        <f t="shared" si="0"/>
        <v>1</v>
      </c>
      <c r="N47" s="141">
        <f t="shared" si="2"/>
        <v>5.2</v>
      </c>
      <c r="O47" s="259" t="s">
        <v>1156</v>
      </c>
      <c r="P47" s="143" t="s">
        <v>1532</v>
      </c>
      <c r="Q47" s="264"/>
    </row>
    <row r="48" spans="2:17" s="144" customFormat="1" ht="18.600000000000001" customHeight="1">
      <c r="B48" s="127" t="s">
        <v>2192</v>
      </c>
      <c r="C48" s="133">
        <v>43</v>
      </c>
      <c r="D48" s="134" t="s">
        <v>2164</v>
      </c>
      <c r="E48" s="181" t="s">
        <v>2193</v>
      </c>
      <c r="F48" s="181" t="s">
        <v>3299</v>
      </c>
      <c r="G48" s="181" t="s">
        <v>2218</v>
      </c>
      <c r="H48" s="181" t="s">
        <v>2225</v>
      </c>
      <c r="I48" s="182" t="s">
        <v>2225</v>
      </c>
      <c r="J48" s="137"/>
      <c r="K48" s="191" t="s">
        <v>1236</v>
      </c>
      <c r="L48" s="139">
        <f t="shared" si="1"/>
        <v>5.2</v>
      </c>
      <c r="M48" s="140">
        <f t="shared" si="0"/>
        <v>1</v>
      </c>
      <c r="N48" s="141">
        <f t="shared" si="2"/>
        <v>5.2</v>
      </c>
      <c r="O48" s="259" t="s">
        <v>1156</v>
      </c>
      <c r="P48" s="143" t="s">
        <v>1532</v>
      </c>
      <c r="Q48" s="264"/>
    </row>
    <row r="49" spans="2:17" s="144" customFormat="1" ht="18.600000000000001" customHeight="1">
      <c r="B49" s="127" t="s">
        <v>2192</v>
      </c>
      <c r="C49" s="133">
        <v>44</v>
      </c>
      <c r="D49" s="134" t="s">
        <v>2164</v>
      </c>
      <c r="E49" s="181" t="s">
        <v>2193</v>
      </c>
      <c r="F49" s="181" t="s">
        <v>3300</v>
      </c>
      <c r="G49" s="181" t="s">
        <v>2218</v>
      </c>
      <c r="H49" s="181" t="s">
        <v>2226</v>
      </c>
      <c r="I49" s="182" t="s">
        <v>2226</v>
      </c>
      <c r="J49" s="137"/>
      <c r="K49" s="191" t="s">
        <v>1236</v>
      </c>
      <c r="L49" s="139">
        <f t="shared" si="1"/>
        <v>5.2</v>
      </c>
      <c r="M49" s="140">
        <f t="shared" si="0"/>
        <v>1</v>
      </c>
      <c r="N49" s="141">
        <f t="shared" si="2"/>
        <v>5.2</v>
      </c>
      <c r="O49" s="259" t="s">
        <v>1156</v>
      </c>
      <c r="P49" s="143" t="s">
        <v>1532</v>
      </c>
      <c r="Q49" s="264"/>
    </row>
    <row r="50" spans="2:17" s="144" customFormat="1" ht="18.600000000000001" customHeight="1">
      <c r="B50" s="127" t="s">
        <v>2192</v>
      </c>
      <c r="C50" s="133">
        <v>45</v>
      </c>
      <c r="D50" s="134" t="s">
        <v>2164</v>
      </c>
      <c r="E50" s="181" t="s">
        <v>2193</v>
      </c>
      <c r="F50" s="181" t="s">
        <v>3301</v>
      </c>
      <c r="G50" s="181" t="s">
        <v>2218</v>
      </c>
      <c r="H50" s="181" t="s">
        <v>2227</v>
      </c>
      <c r="I50" s="182" t="s">
        <v>2227</v>
      </c>
      <c r="J50" s="137"/>
      <c r="K50" s="191" t="s">
        <v>1236</v>
      </c>
      <c r="L50" s="139">
        <f t="shared" si="1"/>
        <v>5.2</v>
      </c>
      <c r="M50" s="140">
        <f t="shared" si="0"/>
        <v>1</v>
      </c>
      <c r="N50" s="141">
        <f t="shared" si="2"/>
        <v>5.2</v>
      </c>
      <c r="O50" s="259" t="s">
        <v>1156</v>
      </c>
      <c r="P50" s="143" t="s">
        <v>1532</v>
      </c>
      <c r="Q50" s="264"/>
    </row>
    <row r="51" spans="2:17" s="144" customFormat="1" ht="18.600000000000001" customHeight="1">
      <c r="B51" s="127" t="s">
        <v>2192</v>
      </c>
      <c r="C51" s="133">
        <v>46</v>
      </c>
      <c r="D51" s="134" t="s">
        <v>2164</v>
      </c>
      <c r="E51" s="181" t="s">
        <v>2193</v>
      </c>
      <c r="F51" s="181" t="s">
        <v>3302</v>
      </c>
      <c r="G51" s="181" t="s">
        <v>2218</v>
      </c>
      <c r="H51" s="181" t="s">
        <v>2228</v>
      </c>
      <c r="I51" s="182" t="s">
        <v>2228</v>
      </c>
      <c r="J51" s="137"/>
      <c r="K51" s="191" t="s">
        <v>1236</v>
      </c>
      <c r="L51" s="139">
        <f t="shared" si="1"/>
        <v>5.2</v>
      </c>
      <c r="M51" s="140">
        <f t="shared" si="0"/>
        <v>1</v>
      </c>
      <c r="N51" s="141">
        <f t="shared" si="2"/>
        <v>5.2</v>
      </c>
      <c r="O51" s="259" t="s">
        <v>1156</v>
      </c>
      <c r="P51" s="143" t="s">
        <v>1532</v>
      </c>
      <c r="Q51" s="264"/>
    </row>
    <row r="52" spans="2:17" s="144" customFormat="1">
      <c r="C52" s="267">
        <v>47</v>
      </c>
      <c r="D52" s="268" t="s">
        <v>2164</v>
      </c>
      <c r="E52" s="269" t="s">
        <v>2229</v>
      </c>
      <c r="F52" s="269" t="s">
        <v>3303</v>
      </c>
      <c r="G52" s="270" t="s">
        <v>2230</v>
      </c>
      <c r="H52" s="270" t="s">
        <v>2231</v>
      </c>
      <c r="I52" s="271"/>
      <c r="J52" s="137"/>
      <c r="K52" s="138" t="s">
        <v>1155</v>
      </c>
      <c r="L52" s="139">
        <f t="shared" si="1"/>
        <v>7.5</v>
      </c>
      <c r="M52" s="140">
        <f t="shared" si="0"/>
        <v>1</v>
      </c>
      <c r="N52" s="141">
        <f t="shared" si="2"/>
        <v>7.5</v>
      </c>
      <c r="O52" s="259" t="s">
        <v>1156</v>
      </c>
      <c r="P52" s="143" t="s">
        <v>1780</v>
      </c>
    </row>
    <row r="53" spans="2:17" s="144" customFormat="1">
      <c r="C53" s="267">
        <v>48</v>
      </c>
      <c r="D53" s="268" t="s">
        <v>2164</v>
      </c>
      <c r="E53" s="269" t="s">
        <v>2229</v>
      </c>
      <c r="F53" s="269" t="s">
        <v>3304</v>
      </c>
      <c r="G53" s="270" t="s">
        <v>2232</v>
      </c>
      <c r="H53" s="272" t="s">
        <v>2233</v>
      </c>
      <c r="I53" s="271"/>
      <c r="J53" s="137"/>
      <c r="K53" s="138" t="s">
        <v>1607</v>
      </c>
      <c r="L53" s="139">
        <f t="shared" si="1"/>
        <v>5.4</v>
      </c>
      <c r="M53" s="140">
        <f t="shared" si="0"/>
        <v>1</v>
      </c>
      <c r="N53" s="141">
        <f t="shared" si="2"/>
        <v>5.4</v>
      </c>
      <c r="O53" s="259" t="s">
        <v>1156</v>
      </c>
      <c r="P53" s="143" t="s">
        <v>1780</v>
      </c>
    </row>
    <row r="54" spans="2:17" s="144" customFormat="1">
      <c r="C54" s="267">
        <v>49</v>
      </c>
      <c r="D54" s="268" t="s">
        <v>2164</v>
      </c>
      <c r="E54" s="269" t="s">
        <v>2229</v>
      </c>
      <c r="F54" s="269" t="s">
        <v>3305</v>
      </c>
      <c r="G54" s="270" t="s">
        <v>2232</v>
      </c>
      <c r="H54" s="270" t="s">
        <v>2234</v>
      </c>
      <c r="I54" s="271"/>
      <c r="J54" s="137"/>
      <c r="K54" s="146" t="s">
        <v>1607</v>
      </c>
      <c r="L54" s="139">
        <f t="shared" si="1"/>
        <v>5.4</v>
      </c>
      <c r="M54" s="140">
        <f t="shared" si="0"/>
        <v>1</v>
      </c>
      <c r="N54" s="141">
        <f t="shared" si="2"/>
        <v>5.4</v>
      </c>
      <c r="O54" s="259" t="s">
        <v>1156</v>
      </c>
      <c r="P54" s="143" t="s">
        <v>1780</v>
      </c>
    </row>
    <row r="55" spans="2:17" s="144" customFormat="1">
      <c r="C55" s="267">
        <v>50</v>
      </c>
      <c r="D55" s="268" t="s">
        <v>2164</v>
      </c>
      <c r="E55" s="269" t="s">
        <v>2229</v>
      </c>
      <c r="F55" s="269" t="s">
        <v>3306</v>
      </c>
      <c r="G55" s="270" t="s">
        <v>2232</v>
      </c>
      <c r="H55" s="270" t="s">
        <v>2235</v>
      </c>
      <c r="I55" s="271"/>
      <c r="J55" s="137"/>
      <c r="K55" s="146" t="s">
        <v>1607</v>
      </c>
      <c r="L55" s="139">
        <f t="shared" si="1"/>
        <v>5.4</v>
      </c>
      <c r="M55" s="140">
        <f t="shared" si="0"/>
        <v>1</v>
      </c>
      <c r="N55" s="141">
        <f t="shared" si="2"/>
        <v>5.4</v>
      </c>
      <c r="O55" s="259" t="s">
        <v>1156</v>
      </c>
      <c r="P55" s="143" t="s">
        <v>1780</v>
      </c>
    </row>
    <row r="56" spans="2:17" s="144" customFormat="1">
      <c r="C56" s="267">
        <v>51</v>
      </c>
      <c r="D56" s="268" t="s">
        <v>2164</v>
      </c>
      <c r="E56" s="269" t="s">
        <v>2229</v>
      </c>
      <c r="F56" s="269" t="s">
        <v>3307</v>
      </c>
      <c r="G56" s="270" t="s">
        <v>2232</v>
      </c>
      <c r="H56" s="270" t="s">
        <v>2236</v>
      </c>
      <c r="I56" s="271"/>
      <c r="J56" s="137"/>
      <c r="K56" s="138" t="s">
        <v>1170</v>
      </c>
      <c r="L56" s="139">
        <f t="shared" si="1"/>
        <v>5.2</v>
      </c>
      <c r="M56" s="140">
        <f t="shared" si="0"/>
        <v>1</v>
      </c>
      <c r="N56" s="141">
        <f t="shared" si="2"/>
        <v>5.2</v>
      </c>
      <c r="O56" s="259" t="s">
        <v>1156</v>
      </c>
      <c r="P56" s="143" t="s">
        <v>1780</v>
      </c>
    </row>
    <row r="57" spans="2:17" s="144" customFormat="1">
      <c r="C57" s="267">
        <v>52</v>
      </c>
      <c r="D57" s="268" t="s">
        <v>2164</v>
      </c>
      <c r="E57" s="269" t="s">
        <v>2229</v>
      </c>
      <c r="F57" s="269" t="s">
        <v>3308</v>
      </c>
      <c r="G57" s="270" t="s">
        <v>2232</v>
      </c>
      <c r="H57" s="272" t="s">
        <v>2237</v>
      </c>
      <c r="I57" s="271"/>
      <c r="J57" s="137"/>
      <c r="K57" s="146" t="s">
        <v>1155</v>
      </c>
      <c r="L57" s="139">
        <f t="shared" si="1"/>
        <v>7.5</v>
      </c>
      <c r="M57" s="140">
        <f t="shared" si="0"/>
        <v>1</v>
      </c>
      <c r="N57" s="141">
        <f t="shared" si="2"/>
        <v>7.5</v>
      </c>
      <c r="O57" s="259" t="s">
        <v>1156</v>
      </c>
      <c r="P57" s="143" t="s">
        <v>1780</v>
      </c>
    </row>
    <row r="58" spans="2:17" s="144" customFormat="1">
      <c r="C58" s="267">
        <v>53</v>
      </c>
      <c r="D58" s="268" t="s">
        <v>2164</v>
      </c>
      <c r="E58" s="269" t="s">
        <v>2229</v>
      </c>
      <c r="F58" s="269" t="s">
        <v>3309</v>
      </c>
      <c r="G58" s="270" t="s">
        <v>2232</v>
      </c>
      <c r="H58" s="270" t="s">
        <v>2238</v>
      </c>
      <c r="I58" s="271"/>
      <c r="J58" s="137"/>
      <c r="K58" s="146" t="s">
        <v>1607</v>
      </c>
      <c r="L58" s="139">
        <f t="shared" si="1"/>
        <v>5.4</v>
      </c>
      <c r="M58" s="140">
        <f t="shared" si="0"/>
        <v>1</v>
      </c>
      <c r="N58" s="141">
        <f t="shared" si="2"/>
        <v>5.4</v>
      </c>
      <c r="O58" s="259" t="s">
        <v>1156</v>
      </c>
      <c r="P58" s="143" t="s">
        <v>1780</v>
      </c>
    </row>
    <row r="59" spans="2:17" s="144" customFormat="1">
      <c r="C59" s="267">
        <v>54</v>
      </c>
      <c r="D59" s="268" t="s">
        <v>2164</v>
      </c>
      <c r="E59" s="269" t="s">
        <v>2229</v>
      </c>
      <c r="F59" s="269" t="s">
        <v>3310</v>
      </c>
      <c r="G59" s="270" t="s">
        <v>2239</v>
      </c>
      <c r="H59" s="273" t="s">
        <v>2240</v>
      </c>
      <c r="I59" s="271"/>
      <c r="J59" s="137"/>
      <c r="K59" s="138" t="s">
        <v>1170</v>
      </c>
      <c r="L59" s="139">
        <f t="shared" si="1"/>
        <v>5.2</v>
      </c>
      <c r="M59" s="140">
        <f t="shared" si="0"/>
        <v>1</v>
      </c>
      <c r="N59" s="141">
        <f t="shared" si="2"/>
        <v>5.2</v>
      </c>
      <c r="O59" s="259" t="s">
        <v>1156</v>
      </c>
      <c r="P59" s="143" t="s">
        <v>1780</v>
      </c>
    </row>
    <row r="60" spans="2:17" s="144" customFormat="1">
      <c r="C60" s="267">
        <v>55</v>
      </c>
      <c r="D60" s="268" t="s">
        <v>2164</v>
      </c>
      <c r="E60" s="269" t="s">
        <v>2229</v>
      </c>
      <c r="F60" s="269" t="s">
        <v>3311</v>
      </c>
      <c r="G60" s="270" t="s">
        <v>2239</v>
      </c>
      <c r="H60" s="273" t="s">
        <v>2241</v>
      </c>
      <c r="I60" s="271"/>
      <c r="J60" s="137"/>
      <c r="K60" s="152" t="s">
        <v>1188</v>
      </c>
      <c r="L60" s="139">
        <f t="shared" si="1"/>
        <v>4</v>
      </c>
      <c r="M60" s="140">
        <f t="shared" si="0"/>
        <v>1</v>
      </c>
      <c r="N60" s="141">
        <f t="shared" si="2"/>
        <v>4</v>
      </c>
      <c r="O60" s="259" t="s">
        <v>1156</v>
      </c>
      <c r="P60" s="143" t="s">
        <v>1780</v>
      </c>
    </row>
    <row r="61" spans="2:17" s="144" customFormat="1">
      <c r="C61" s="267">
        <v>56</v>
      </c>
      <c r="D61" s="268" t="s">
        <v>2164</v>
      </c>
      <c r="E61" s="269" t="s">
        <v>2229</v>
      </c>
      <c r="F61" s="269" t="s">
        <v>3312</v>
      </c>
      <c r="G61" s="270" t="s">
        <v>2239</v>
      </c>
      <c r="H61" s="273" t="s">
        <v>2242</v>
      </c>
      <c r="I61" s="271"/>
      <c r="J61" s="137"/>
      <c r="K61" s="138" t="s">
        <v>1160</v>
      </c>
      <c r="L61" s="139">
        <f t="shared" si="1"/>
        <v>3.9</v>
      </c>
      <c r="M61" s="140">
        <f t="shared" si="0"/>
        <v>1</v>
      </c>
      <c r="N61" s="141">
        <f t="shared" si="2"/>
        <v>3.9</v>
      </c>
      <c r="O61" s="259" t="s">
        <v>1156</v>
      </c>
      <c r="P61" s="143" t="s">
        <v>1780</v>
      </c>
    </row>
    <row r="62" spans="2:17" s="144" customFormat="1">
      <c r="C62" s="267">
        <v>57</v>
      </c>
      <c r="D62" s="268" t="s">
        <v>2164</v>
      </c>
      <c r="E62" s="269" t="s">
        <v>2229</v>
      </c>
      <c r="F62" s="269" t="s">
        <v>3313</v>
      </c>
      <c r="G62" s="270" t="s">
        <v>2239</v>
      </c>
      <c r="H62" s="273" t="s">
        <v>2243</v>
      </c>
      <c r="I62" s="271"/>
      <c r="J62" s="137"/>
      <c r="K62" s="146" t="s">
        <v>1607</v>
      </c>
      <c r="L62" s="139">
        <f t="shared" si="1"/>
        <v>5.4</v>
      </c>
      <c r="M62" s="140">
        <f t="shared" si="0"/>
        <v>1</v>
      </c>
      <c r="N62" s="141">
        <f t="shared" si="2"/>
        <v>5.4</v>
      </c>
      <c r="O62" s="259" t="s">
        <v>1156</v>
      </c>
      <c r="P62" s="143" t="s">
        <v>1780</v>
      </c>
    </row>
    <row r="63" spans="2:17" s="144" customFormat="1">
      <c r="C63" s="267">
        <v>58</v>
      </c>
      <c r="D63" s="268" t="s">
        <v>2164</v>
      </c>
      <c r="E63" s="269" t="s">
        <v>2229</v>
      </c>
      <c r="F63" s="269" t="s">
        <v>3314</v>
      </c>
      <c r="G63" s="270" t="s">
        <v>2239</v>
      </c>
      <c r="H63" s="270" t="s">
        <v>2244</v>
      </c>
      <c r="I63" s="271"/>
      <c r="J63" s="137"/>
      <c r="K63" s="146" t="s">
        <v>1160</v>
      </c>
      <c r="L63" s="139">
        <f t="shared" si="1"/>
        <v>3.9</v>
      </c>
      <c r="M63" s="140">
        <f t="shared" si="0"/>
        <v>1</v>
      </c>
      <c r="N63" s="141">
        <f t="shared" si="2"/>
        <v>3.9</v>
      </c>
      <c r="O63" s="259" t="s">
        <v>1156</v>
      </c>
      <c r="P63" s="143" t="s">
        <v>1780</v>
      </c>
    </row>
    <row r="64" spans="2:17" s="144" customFormat="1">
      <c r="C64" s="267">
        <v>59</v>
      </c>
      <c r="D64" s="268" t="s">
        <v>2164</v>
      </c>
      <c r="E64" s="269" t="s">
        <v>2229</v>
      </c>
      <c r="F64" s="269" t="s">
        <v>3315</v>
      </c>
      <c r="G64" s="270" t="s">
        <v>2239</v>
      </c>
      <c r="H64" s="270" t="s">
        <v>2245</v>
      </c>
      <c r="I64" s="271"/>
      <c r="J64" s="137"/>
      <c r="K64" s="146" t="s">
        <v>1607</v>
      </c>
      <c r="L64" s="139">
        <f t="shared" si="1"/>
        <v>5.4</v>
      </c>
      <c r="M64" s="140">
        <f t="shared" si="0"/>
        <v>1</v>
      </c>
      <c r="N64" s="141">
        <f t="shared" si="2"/>
        <v>5.4</v>
      </c>
      <c r="O64" s="259" t="s">
        <v>1156</v>
      </c>
      <c r="P64" s="143" t="s">
        <v>1780</v>
      </c>
    </row>
    <row r="65" spans="3:16" s="144" customFormat="1">
      <c r="C65" s="267">
        <v>60</v>
      </c>
      <c r="D65" s="268" t="s">
        <v>2164</v>
      </c>
      <c r="E65" s="269" t="s">
        <v>2229</v>
      </c>
      <c r="F65" s="269" t="s">
        <v>3316</v>
      </c>
      <c r="G65" s="270" t="s">
        <v>2246</v>
      </c>
      <c r="H65" s="270" t="s">
        <v>2247</v>
      </c>
      <c r="I65" s="271"/>
      <c r="J65" s="137"/>
      <c r="K65" s="146" t="s">
        <v>1607</v>
      </c>
      <c r="L65" s="139">
        <f t="shared" si="1"/>
        <v>5.4</v>
      </c>
      <c r="M65" s="140">
        <f t="shared" si="0"/>
        <v>1</v>
      </c>
      <c r="N65" s="141">
        <f t="shared" si="2"/>
        <v>5.4</v>
      </c>
      <c r="O65" s="259" t="s">
        <v>1156</v>
      </c>
      <c r="P65" s="143" t="s">
        <v>1780</v>
      </c>
    </row>
    <row r="66" spans="3:16" s="144" customFormat="1">
      <c r="C66" s="267">
        <v>61</v>
      </c>
      <c r="D66" s="268" t="s">
        <v>2164</v>
      </c>
      <c r="E66" s="269" t="s">
        <v>2229</v>
      </c>
      <c r="F66" s="269" t="s">
        <v>3317</v>
      </c>
      <c r="G66" s="270" t="s">
        <v>2248</v>
      </c>
      <c r="H66" s="270" t="s">
        <v>2249</v>
      </c>
      <c r="I66" s="271"/>
      <c r="J66" s="137"/>
      <c r="K66" s="146" t="s">
        <v>1607</v>
      </c>
      <c r="L66" s="139">
        <f t="shared" si="1"/>
        <v>5.4</v>
      </c>
      <c r="M66" s="140">
        <f t="shared" si="0"/>
        <v>1</v>
      </c>
      <c r="N66" s="141">
        <f t="shared" si="2"/>
        <v>5.4</v>
      </c>
      <c r="O66" s="259" t="s">
        <v>1156</v>
      </c>
      <c r="P66" s="143" t="s">
        <v>1780</v>
      </c>
    </row>
    <row r="67" spans="3:16" s="144" customFormat="1">
      <c r="C67" s="267">
        <v>62</v>
      </c>
      <c r="D67" s="268" t="s">
        <v>2164</v>
      </c>
      <c r="E67" s="269" t="s">
        <v>2229</v>
      </c>
      <c r="F67" s="269" t="s">
        <v>3318</v>
      </c>
      <c r="G67" s="270" t="s">
        <v>2248</v>
      </c>
      <c r="H67" s="270" t="s">
        <v>2250</v>
      </c>
      <c r="I67" s="271"/>
      <c r="J67" s="137"/>
      <c r="K67" s="146" t="s">
        <v>1607</v>
      </c>
      <c r="L67" s="139">
        <f t="shared" si="1"/>
        <v>5.4</v>
      </c>
      <c r="M67" s="140">
        <f t="shared" si="0"/>
        <v>1</v>
      </c>
      <c r="N67" s="141">
        <f t="shared" si="2"/>
        <v>5.4</v>
      </c>
      <c r="O67" s="259" t="s">
        <v>1156</v>
      </c>
      <c r="P67" s="143" t="s">
        <v>1780</v>
      </c>
    </row>
    <row r="68" spans="3:16" s="144" customFormat="1">
      <c r="C68" s="267">
        <v>63</v>
      </c>
      <c r="D68" s="268" t="s">
        <v>2164</v>
      </c>
      <c r="E68" s="269" t="s">
        <v>2229</v>
      </c>
      <c r="F68" s="269" t="s">
        <v>3319</v>
      </c>
      <c r="G68" s="270" t="s">
        <v>2248</v>
      </c>
      <c r="H68" s="270" t="s">
        <v>2251</v>
      </c>
      <c r="I68" s="271"/>
      <c r="J68" s="137"/>
      <c r="K68" s="146" t="s">
        <v>1607</v>
      </c>
      <c r="L68" s="139">
        <f t="shared" si="1"/>
        <v>5.4</v>
      </c>
      <c r="M68" s="140">
        <f t="shared" si="0"/>
        <v>1</v>
      </c>
      <c r="N68" s="141">
        <f t="shared" si="2"/>
        <v>5.4</v>
      </c>
      <c r="O68" s="259" t="s">
        <v>1156</v>
      </c>
      <c r="P68" s="143" t="s">
        <v>1780</v>
      </c>
    </row>
    <row r="69" spans="3:16" s="144" customFormat="1">
      <c r="C69" s="267">
        <v>64</v>
      </c>
      <c r="D69" s="268" t="s">
        <v>2164</v>
      </c>
      <c r="E69" s="269" t="s">
        <v>2229</v>
      </c>
      <c r="F69" s="269" t="s">
        <v>3320</v>
      </c>
      <c r="G69" s="270" t="s">
        <v>2248</v>
      </c>
      <c r="H69" s="270" t="s">
        <v>2252</v>
      </c>
      <c r="I69" s="271"/>
      <c r="J69" s="137"/>
      <c r="K69" s="146" t="s">
        <v>1607</v>
      </c>
      <c r="L69" s="139">
        <f t="shared" si="1"/>
        <v>5.4</v>
      </c>
      <c r="M69" s="140">
        <f t="shared" si="0"/>
        <v>1</v>
      </c>
      <c r="N69" s="141">
        <f t="shared" si="2"/>
        <v>5.4</v>
      </c>
      <c r="O69" s="259" t="s">
        <v>1156</v>
      </c>
      <c r="P69" s="143" t="s">
        <v>1780</v>
      </c>
    </row>
    <row r="70" spans="3:16" s="144" customFormat="1">
      <c r="C70" s="267">
        <v>65</v>
      </c>
      <c r="D70" s="268" t="s">
        <v>2164</v>
      </c>
      <c r="E70" s="269" t="s">
        <v>2229</v>
      </c>
      <c r="F70" s="269" t="s">
        <v>3321</v>
      </c>
      <c r="G70" s="270" t="s">
        <v>2248</v>
      </c>
      <c r="H70" s="270" t="s">
        <v>2253</v>
      </c>
      <c r="I70" s="271"/>
      <c r="J70" s="137"/>
      <c r="K70" s="146" t="s">
        <v>1607</v>
      </c>
      <c r="L70" s="139">
        <f t="shared" si="1"/>
        <v>5.4</v>
      </c>
      <c r="M70" s="140">
        <f t="shared" ref="M70:M133" si="3">IF(O70="","",IF(O70="신규",1,IF(O70="고도화",1.04,IF(O70="재사용",0.25))))</f>
        <v>1</v>
      </c>
      <c r="N70" s="141">
        <f t="shared" si="2"/>
        <v>5.4</v>
      </c>
      <c r="O70" s="259" t="s">
        <v>1156</v>
      </c>
      <c r="P70" s="143" t="s">
        <v>1780</v>
      </c>
    </row>
    <row r="71" spans="3:16" s="144" customFormat="1">
      <c r="C71" s="147">
        <v>66</v>
      </c>
      <c r="D71" s="142" t="s">
        <v>2164</v>
      </c>
      <c r="E71" s="186" t="s">
        <v>2229</v>
      </c>
      <c r="F71" s="186" t="s">
        <v>3322</v>
      </c>
      <c r="G71" s="189" t="s">
        <v>2254</v>
      </c>
      <c r="H71" s="189" t="s">
        <v>2255</v>
      </c>
      <c r="I71" s="274"/>
      <c r="J71" s="137"/>
      <c r="K71" s="152" t="s">
        <v>1188</v>
      </c>
      <c r="L71" s="139">
        <f t="shared" ref="L71:L134" si="4">IF(K71="","",IF(K71="EI",4,IF(K71="EO",5.2,IF(K71="EQ",3.9,IF(K71="ILF",7.5,IF(K71="EIF",5.4))))))</f>
        <v>4</v>
      </c>
      <c r="M71" s="140">
        <f t="shared" si="3"/>
        <v>1</v>
      </c>
      <c r="N71" s="141">
        <f t="shared" ref="N71:N134" si="5">L71*M71</f>
        <v>4</v>
      </c>
      <c r="O71" s="259" t="s">
        <v>1156</v>
      </c>
      <c r="P71" s="143" t="s">
        <v>1780</v>
      </c>
    </row>
    <row r="72" spans="3:16" s="144" customFormat="1">
      <c r="C72" s="147">
        <v>67</v>
      </c>
      <c r="D72" s="142" t="s">
        <v>2164</v>
      </c>
      <c r="E72" s="186" t="s">
        <v>2229</v>
      </c>
      <c r="F72" s="186" t="s">
        <v>3323</v>
      </c>
      <c r="G72" s="212" t="s">
        <v>2256</v>
      </c>
      <c r="H72" s="189" t="s">
        <v>2257</v>
      </c>
      <c r="I72" s="274"/>
      <c r="J72" s="137"/>
      <c r="K72" s="138" t="s">
        <v>1163</v>
      </c>
      <c r="L72" s="139">
        <f t="shared" si="4"/>
        <v>4</v>
      </c>
      <c r="M72" s="140">
        <f t="shared" si="3"/>
        <v>1</v>
      </c>
      <c r="N72" s="141">
        <f t="shared" si="5"/>
        <v>4</v>
      </c>
      <c r="O72" s="259" t="s">
        <v>1156</v>
      </c>
      <c r="P72" s="143" t="s">
        <v>1780</v>
      </c>
    </row>
    <row r="73" spans="3:16" s="144" customFormat="1">
      <c r="C73" s="147">
        <v>68</v>
      </c>
      <c r="D73" s="142" t="s">
        <v>2164</v>
      </c>
      <c r="E73" s="186" t="s">
        <v>2229</v>
      </c>
      <c r="F73" s="186" t="s">
        <v>3324</v>
      </c>
      <c r="G73" s="212" t="s">
        <v>2256</v>
      </c>
      <c r="H73" s="189" t="s">
        <v>2258</v>
      </c>
      <c r="I73" s="274"/>
      <c r="J73" s="137"/>
      <c r="K73" s="138" t="s">
        <v>1160</v>
      </c>
      <c r="L73" s="139">
        <f t="shared" si="4"/>
        <v>3.9</v>
      </c>
      <c r="M73" s="140">
        <f t="shared" si="3"/>
        <v>1</v>
      </c>
      <c r="N73" s="141">
        <f t="shared" si="5"/>
        <v>3.9</v>
      </c>
      <c r="O73" s="259" t="s">
        <v>1156</v>
      </c>
      <c r="P73" s="143" t="s">
        <v>1780</v>
      </c>
    </row>
    <row r="74" spans="3:16" s="144" customFormat="1">
      <c r="C74" s="147">
        <v>69</v>
      </c>
      <c r="D74" s="142" t="s">
        <v>2164</v>
      </c>
      <c r="E74" s="186" t="s">
        <v>2229</v>
      </c>
      <c r="F74" s="186" t="s">
        <v>3325</v>
      </c>
      <c r="G74" s="212" t="s">
        <v>2256</v>
      </c>
      <c r="H74" s="189" t="s">
        <v>2259</v>
      </c>
      <c r="I74" s="274"/>
      <c r="J74" s="137"/>
      <c r="K74" s="138" t="s">
        <v>1170</v>
      </c>
      <c r="L74" s="139">
        <f t="shared" si="4"/>
        <v>5.2</v>
      </c>
      <c r="M74" s="140">
        <f t="shared" si="3"/>
        <v>1</v>
      </c>
      <c r="N74" s="141">
        <f t="shared" si="5"/>
        <v>5.2</v>
      </c>
      <c r="O74" s="259" t="s">
        <v>1156</v>
      </c>
      <c r="P74" s="143" t="s">
        <v>1780</v>
      </c>
    </row>
    <row r="75" spans="3:16" s="144" customFormat="1">
      <c r="C75" s="147">
        <v>70</v>
      </c>
      <c r="D75" s="142" t="s">
        <v>2164</v>
      </c>
      <c r="E75" s="186" t="s">
        <v>2229</v>
      </c>
      <c r="F75" s="186" t="s">
        <v>3326</v>
      </c>
      <c r="G75" s="189" t="s">
        <v>2260</v>
      </c>
      <c r="H75" s="189" t="s">
        <v>2261</v>
      </c>
      <c r="I75" s="274"/>
      <c r="J75" s="137"/>
      <c r="K75" s="138" t="s">
        <v>1170</v>
      </c>
      <c r="L75" s="139">
        <f t="shared" si="4"/>
        <v>5.2</v>
      </c>
      <c r="M75" s="140">
        <f t="shared" si="3"/>
        <v>1</v>
      </c>
      <c r="N75" s="141">
        <f t="shared" si="5"/>
        <v>5.2</v>
      </c>
      <c r="O75" s="259" t="s">
        <v>1156</v>
      </c>
      <c r="P75" s="143" t="s">
        <v>1780</v>
      </c>
    </row>
    <row r="76" spans="3:16" s="144" customFormat="1">
      <c r="C76" s="147">
        <v>71</v>
      </c>
      <c r="D76" s="142" t="s">
        <v>2164</v>
      </c>
      <c r="E76" s="186" t="s">
        <v>2229</v>
      </c>
      <c r="F76" s="186" t="s">
        <v>3327</v>
      </c>
      <c r="G76" s="212" t="s">
        <v>2262</v>
      </c>
      <c r="H76" s="189" t="s">
        <v>2263</v>
      </c>
      <c r="I76" s="274"/>
      <c r="J76" s="137"/>
      <c r="K76" s="138" t="s">
        <v>1160</v>
      </c>
      <c r="L76" s="139">
        <f t="shared" si="4"/>
        <v>3.9</v>
      </c>
      <c r="M76" s="140">
        <f t="shared" si="3"/>
        <v>1</v>
      </c>
      <c r="N76" s="141">
        <f t="shared" si="5"/>
        <v>3.9</v>
      </c>
      <c r="O76" s="259" t="s">
        <v>1156</v>
      </c>
      <c r="P76" s="143" t="s">
        <v>1780</v>
      </c>
    </row>
    <row r="77" spans="3:16" s="144" customFormat="1">
      <c r="C77" s="147">
        <v>72</v>
      </c>
      <c r="D77" s="142" t="s">
        <v>2164</v>
      </c>
      <c r="E77" s="186" t="s">
        <v>2229</v>
      </c>
      <c r="F77" s="186" t="s">
        <v>3328</v>
      </c>
      <c r="G77" s="212" t="s">
        <v>2262</v>
      </c>
      <c r="H77" s="189" t="s">
        <v>2264</v>
      </c>
      <c r="I77" s="274"/>
      <c r="J77" s="137"/>
      <c r="K77" s="138" t="s">
        <v>1163</v>
      </c>
      <c r="L77" s="139">
        <f t="shared" si="4"/>
        <v>4</v>
      </c>
      <c r="M77" s="140">
        <f t="shared" si="3"/>
        <v>1</v>
      </c>
      <c r="N77" s="141">
        <f t="shared" si="5"/>
        <v>4</v>
      </c>
      <c r="O77" s="259" t="s">
        <v>1156</v>
      </c>
      <c r="P77" s="143" t="s">
        <v>1780</v>
      </c>
    </row>
    <row r="78" spans="3:16" s="144" customFormat="1">
      <c r="C78" s="147">
        <v>73</v>
      </c>
      <c r="D78" s="142" t="s">
        <v>2164</v>
      </c>
      <c r="E78" s="186" t="s">
        <v>2229</v>
      </c>
      <c r="F78" s="186" t="s">
        <v>3329</v>
      </c>
      <c r="G78" s="212" t="s">
        <v>2262</v>
      </c>
      <c r="H78" s="189" t="s">
        <v>2265</v>
      </c>
      <c r="I78" s="274"/>
      <c r="J78" s="137"/>
      <c r="K78" s="138" t="s">
        <v>1160</v>
      </c>
      <c r="L78" s="139">
        <f t="shared" si="4"/>
        <v>3.9</v>
      </c>
      <c r="M78" s="140">
        <f t="shared" si="3"/>
        <v>1</v>
      </c>
      <c r="N78" s="141">
        <f t="shared" si="5"/>
        <v>3.9</v>
      </c>
      <c r="O78" s="259" t="s">
        <v>1156</v>
      </c>
      <c r="P78" s="143" t="s">
        <v>1780</v>
      </c>
    </row>
    <row r="79" spans="3:16" s="144" customFormat="1">
      <c r="C79" s="147">
        <v>74</v>
      </c>
      <c r="D79" s="142" t="s">
        <v>2164</v>
      </c>
      <c r="E79" s="186" t="s">
        <v>2229</v>
      </c>
      <c r="F79" s="186" t="s">
        <v>3330</v>
      </c>
      <c r="G79" s="212" t="s">
        <v>2262</v>
      </c>
      <c r="H79" s="189" t="s">
        <v>2266</v>
      </c>
      <c r="I79" s="274"/>
      <c r="J79" s="137"/>
      <c r="K79" s="138" t="s">
        <v>1155</v>
      </c>
      <c r="L79" s="139">
        <f t="shared" si="4"/>
        <v>7.5</v>
      </c>
      <c r="M79" s="140">
        <f t="shared" si="3"/>
        <v>1</v>
      </c>
      <c r="N79" s="141">
        <f t="shared" si="5"/>
        <v>7.5</v>
      </c>
      <c r="O79" s="259" t="s">
        <v>1156</v>
      </c>
      <c r="P79" s="143" t="s">
        <v>1780</v>
      </c>
    </row>
    <row r="80" spans="3:16" s="144" customFormat="1">
      <c r="C80" s="147">
        <v>75</v>
      </c>
      <c r="D80" s="142" t="s">
        <v>2164</v>
      </c>
      <c r="E80" s="186" t="s">
        <v>2229</v>
      </c>
      <c r="F80" s="186" t="s">
        <v>3331</v>
      </c>
      <c r="G80" s="189" t="s">
        <v>2267</v>
      </c>
      <c r="H80" s="189" t="s">
        <v>2268</v>
      </c>
      <c r="I80" s="274"/>
      <c r="J80" s="137"/>
      <c r="K80" s="146" t="s">
        <v>1160</v>
      </c>
      <c r="L80" s="139">
        <f t="shared" si="4"/>
        <v>3.9</v>
      </c>
      <c r="M80" s="140">
        <f t="shared" si="3"/>
        <v>1</v>
      </c>
      <c r="N80" s="141">
        <f t="shared" si="5"/>
        <v>3.9</v>
      </c>
      <c r="O80" s="259" t="s">
        <v>1156</v>
      </c>
      <c r="P80" s="143" t="s">
        <v>1780</v>
      </c>
    </row>
    <row r="81" spans="3:16" s="144" customFormat="1" ht="19.5" customHeight="1">
      <c r="C81" s="147">
        <v>76</v>
      </c>
      <c r="D81" s="142" t="s">
        <v>2164</v>
      </c>
      <c r="E81" s="186" t="s">
        <v>2229</v>
      </c>
      <c r="F81" s="186" t="s">
        <v>3332</v>
      </c>
      <c r="G81" s="212" t="s">
        <v>2269</v>
      </c>
      <c r="H81" s="189" t="s">
        <v>2270</v>
      </c>
      <c r="I81" s="274"/>
      <c r="J81" s="137"/>
      <c r="K81" s="138" t="s">
        <v>1170</v>
      </c>
      <c r="L81" s="139">
        <f t="shared" si="4"/>
        <v>5.2</v>
      </c>
      <c r="M81" s="140">
        <f t="shared" si="3"/>
        <v>1</v>
      </c>
      <c r="N81" s="141">
        <f t="shared" si="5"/>
        <v>5.2</v>
      </c>
      <c r="O81" s="259" t="s">
        <v>1156</v>
      </c>
      <c r="P81" s="143" t="s">
        <v>1780</v>
      </c>
    </row>
    <row r="82" spans="3:16" s="144" customFormat="1" ht="19.5" customHeight="1">
      <c r="C82" s="147">
        <v>77</v>
      </c>
      <c r="D82" s="142" t="s">
        <v>2164</v>
      </c>
      <c r="E82" s="186" t="s">
        <v>2229</v>
      </c>
      <c r="F82" s="186" t="s">
        <v>3333</v>
      </c>
      <c r="G82" s="212" t="s">
        <v>2269</v>
      </c>
      <c r="H82" s="189" t="s">
        <v>2271</v>
      </c>
      <c r="I82" s="274"/>
      <c r="J82" s="137"/>
      <c r="K82" s="146" t="s">
        <v>1155</v>
      </c>
      <c r="L82" s="139">
        <f t="shared" si="4"/>
        <v>7.5</v>
      </c>
      <c r="M82" s="140">
        <f t="shared" si="3"/>
        <v>1</v>
      </c>
      <c r="N82" s="141">
        <f t="shared" si="5"/>
        <v>7.5</v>
      </c>
      <c r="O82" s="259" t="s">
        <v>1156</v>
      </c>
      <c r="P82" s="143" t="s">
        <v>1780</v>
      </c>
    </row>
    <row r="83" spans="3:16" s="144" customFormat="1" ht="19.5" customHeight="1">
      <c r="C83" s="147">
        <v>78</v>
      </c>
      <c r="D83" s="142" t="s">
        <v>2164</v>
      </c>
      <c r="E83" s="186" t="s">
        <v>2229</v>
      </c>
      <c r="F83" s="186" t="s">
        <v>3334</v>
      </c>
      <c r="G83" s="189" t="s">
        <v>2272</v>
      </c>
      <c r="H83" s="189" t="s">
        <v>2273</v>
      </c>
      <c r="I83" s="274"/>
      <c r="J83" s="137"/>
      <c r="K83" s="146" t="s">
        <v>1160</v>
      </c>
      <c r="L83" s="139">
        <f t="shared" si="4"/>
        <v>3.9</v>
      </c>
      <c r="M83" s="140">
        <f t="shared" si="3"/>
        <v>1</v>
      </c>
      <c r="N83" s="141">
        <f t="shared" si="5"/>
        <v>3.9</v>
      </c>
      <c r="O83" s="259" t="s">
        <v>1156</v>
      </c>
      <c r="P83" s="143" t="s">
        <v>1780</v>
      </c>
    </row>
    <row r="84" spans="3:16" s="144" customFormat="1" ht="19.5" customHeight="1">
      <c r="C84" s="147">
        <v>79</v>
      </c>
      <c r="D84" s="142" t="s">
        <v>2164</v>
      </c>
      <c r="E84" s="186" t="s">
        <v>2229</v>
      </c>
      <c r="F84" s="186" t="s">
        <v>3335</v>
      </c>
      <c r="G84" s="212" t="s">
        <v>2274</v>
      </c>
      <c r="H84" s="189" t="s">
        <v>2275</v>
      </c>
      <c r="I84" s="274"/>
      <c r="J84" s="137"/>
      <c r="K84" s="146" t="s">
        <v>1155</v>
      </c>
      <c r="L84" s="139">
        <f t="shared" si="4"/>
        <v>7.5</v>
      </c>
      <c r="M84" s="140">
        <f t="shared" si="3"/>
        <v>1</v>
      </c>
      <c r="N84" s="141">
        <f t="shared" si="5"/>
        <v>7.5</v>
      </c>
      <c r="O84" s="259" t="s">
        <v>1156</v>
      </c>
      <c r="P84" s="143" t="s">
        <v>1780</v>
      </c>
    </row>
    <row r="85" spans="3:16" s="144" customFormat="1" ht="19.5" customHeight="1">
      <c r="C85" s="147">
        <v>80</v>
      </c>
      <c r="D85" s="142" t="s">
        <v>2164</v>
      </c>
      <c r="E85" s="186" t="s">
        <v>2229</v>
      </c>
      <c r="F85" s="186" t="s">
        <v>3336</v>
      </c>
      <c r="G85" s="189" t="s">
        <v>2276</v>
      </c>
      <c r="H85" s="189" t="s">
        <v>2277</v>
      </c>
      <c r="I85" s="274"/>
      <c r="J85" s="137"/>
      <c r="K85" s="146" t="s">
        <v>1160</v>
      </c>
      <c r="L85" s="139">
        <f t="shared" si="4"/>
        <v>3.9</v>
      </c>
      <c r="M85" s="140">
        <f t="shared" si="3"/>
        <v>1</v>
      </c>
      <c r="N85" s="141">
        <f t="shared" si="5"/>
        <v>3.9</v>
      </c>
      <c r="O85" s="259" t="s">
        <v>1156</v>
      </c>
      <c r="P85" s="143" t="s">
        <v>1780</v>
      </c>
    </row>
    <row r="86" spans="3:16" s="144" customFormat="1" ht="19.5" customHeight="1">
      <c r="C86" s="147">
        <v>81</v>
      </c>
      <c r="D86" s="142" t="s">
        <v>2164</v>
      </c>
      <c r="E86" s="186" t="s">
        <v>2229</v>
      </c>
      <c r="F86" s="186" t="s">
        <v>3337</v>
      </c>
      <c r="G86" s="212" t="s">
        <v>2278</v>
      </c>
      <c r="H86" s="189" t="s">
        <v>2279</v>
      </c>
      <c r="I86" s="274"/>
      <c r="J86" s="137"/>
      <c r="K86" s="146" t="s">
        <v>1163</v>
      </c>
      <c r="L86" s="139">
        <f t="shared" si="4"/>
        <v>4</v>
      </c>
      <c r="M86" s="140">
        <f t="shared" si="3"/>
        <v>1</v>
      </c>
      <c r="N86" s="141">
        <f t="shared" si="5"/>
        <v>4</v>
      </c>
      <c r="O86" s="259" t="s">
        <v>1156</v>
      </c>
      <c r="P86" s="143" t="s">
        <v>1780</v>
      </c>
    </row>
    <row r="87" spans="3:16" s="144" customFormat="1" ht="19.5" customHeight="1">
      <c r="C87" s="147">
        <v>82</v>
      </c>
      <c r="D87" s="142" t="s">
        <v>2164</v>
      </c>
      <c r="E87" s="186" t="s">
        <v>2229</v>
      </c>
      <c r="F87" s="186" t="s">
        <v>3338</v>
      </c>
      <c r="G87" s="189" t="s">
        <v>2280</v>
      </c>
      <c r="H87" s="189" t="s">
        <v>2281</v>
      </c>
      <c r="I87" s="274"/>
      <c r="J87" s="137"/>
      <c r="K87" s="146" t="s">
        <v>1160</v>
      </c>
      <c r="L87" s="139">
        <f t="shared" si="4"/>
        <v>3.9</v>
      </c>
      <c r="M87" s="140">
        <f t="shared" si="3"/>
        <v>1</v>
      </c>
      <c r="N87" s="141">
        <f t="shared" si="5"/>
        <v>3.9</v>
      </c>
      <c r="O87" s="259" t="s">
        <v>1156</v>
      </c>
      <c r="P87" s="143" t="s">
        <v>1780</v>
      </c>
    </row>
    <row r="88" spans="3:16" s="144" customFormat="1" ht="19.5" customHeight="1">
      <c r="C88" s="147">
        <v>83</v>
      </c>
      <c r="D88" s="142" t="s">
        <v>2164</v>
      </c>
      <c r="E88" s="186" t="s">
        <v>2229</v>
      </c>
      <c r="F88" s="186" t="s">
        <v>3339</v>
      </c>
      <c r="G88" s="212" t="s">
        <v>2282</v>
      </c>
      <c r="H88" s="189" t="s">
        <v>2283</v>
      </c>
      <c r="I88" s="274"/>
      <c r="J88" s="137"/>
      <c r="K88" s="138" t="s">
        <v>1170</v>
      </c>
      <c r="L88" s="139">
        <f t="shared" si="4"/>
        <v>5.2</v>
      </c>
      <c r="M88" s="140">
        <f t="shared" si="3"/>
        <v>1</v>
      </c>
      <c r="N88" s="141">
        <f t="shared" si="5"/>
        <v>5.2</v>
      </c>
      <c r="O88" s="259" t="s">
        <v>1156</v>
      </c>
      <c r="P88" s="143" t="s">
        <v>1780</v>
      </c>
    </row>
    <row r="89" spans="3:16" s="144" customFormat="1" ht="19.5" customHeight="1">
      <c r="C89" s="147">
        <v>84</v>
      </c>
      <c r="D89" s="142" t="s">
        <v>2164</v>
      </c>
      <c r="E89" s="186" t="s">
        <v>2229</v>
      </c>
      <c r="F89" s="186" t="s">
        <v>3340</v>
      </c>
      <c r="G89" s="212" t="s">
        <v>2282</v>
      </c>
      <c r="H89" s="189" t="s">
        <v>2284</v>
      </c>
      <c r="I89" s="274"/>
      <c r="J89" s="137"/>
      <c r="K89" s="146" t="s">
        <v>1160</v>
      </c>
      <c r="L89" s="139">
        <f t="shared" si="4"/>
        <v>3.9</v>
      </c>
      <c r="M89" s="140">
        <f t="shared" si="3"/>
        <v>1</v>
      </c>
      <c r="N89" s="141">
        <f t="shared" si="5"/>
        <v>3.9</v>
      </c>
      <c r="O89" s="259" t="s">
        <v>1156</v>
      </c>
      <c r="P89" s="143" t="s">
        <v>1780</v>
      </c>
    </row>
    <row r="90" spans="3:16" s="144" customFormat="1" ht="19.5" customHeight="1">
      <c r="C90" s="147">
        <v>85</v>
      </c>
      <c r="D90" s="142" t="s">
        <v>2164</v>
      </c>
      <c r="E90" s="186" t="s">
        <v>2229</v>
      </c>
      <c r="F90" s="186" t="s">
        <v>3341</v>
      </c>
      <c r="G90" s="212" t="s">
        <v>2282</v>
      </c>
      <c r="H90" s="189" t="s">
        <v>2285</v>
      </c>
      <c r="I90" s="274"/>
      <c r="J90" s="137"/>
      <c r="K90" s="146" t="s">
        <v>1160</v>
      </c>
      <c r="L90" s="139">
        <f t="shared" si="4"/>
        <v>3.9</v>
      </c>
      <c r="M90" s="140">
        <f t="shared" si="3"/>
        <v>1</v>
      </c>
      <c r="N90" s="141">
        <f t="shared" si="5"/>
        <v>3.9</v>
      </c>
      <c r="O90" s="259" t="s">
        <v>1156</v>
      </c>
      <c r="P90" s="143" t="s">
        <v>1780</v>
      </c>
    </row>
    <row r="91" spans="3:16" s="144" customFormat="1" ht="19.5" customHeight="1">
      <c r="C91" s="147">
        <v>86</v>
      </c>
      <c r="D91" s="142" t="s">
        <v>2164</v>
      </c>
      <c r="E91" s="186" t="s">
        <v>2229</v>
      </c>
      <c r="F91" s="186" t="s">
        <v>3342</v>
      </c>
      <c r="G91" s="212" t="s">
        <v>2282</v>
      </c>
      <c r="H91" s="189" t="s">
        <v>2286</v>
      </c>
      <c r="I91" s="274"/>
      <c r="J91" s="137"/>
      <c r="K91" s="146" t="s">
        <v>1170</v>
      </c>
      <c r="L91" s="139">
        <f t="shared" si="4"/>
        <v>5.2</v>
      </c>
      <c r="M91" s="140">
        <f t="shared" si="3"/>
        <v>1</v>
      </c>
      <c r="N91" s="141">
        <f t="shared" si="5"/>
        <v>5.2</v>
      </c>
      <c r="O91" s="259" t="s">
        <v>1156</v>
      </c>
      <c r="P91" s="143" t="s">
        <v>1780</v>
      </c>
    </row>
    <row r="92" spans="3:16" s="144" customFormat="1" ht="19.5" customHeight="1">
      <c r="C92" s="147">
        <v>87</v>
      </c>
      <c r="D92" s="142" t="s">
        <v>2164</v>
      </c>
      <c r="E92" s="186" t="s">
        <v>2229</v>
      </c>
      <c r="F92" s="186" t="s">
        <v>3343</v>
      </c>
      <c r="G92" s="212" t="s">
        <v>2282</v>
      </c>
      <c r="H92" s="189" t="s">
        <v>2287</v>
      </c>
      <c r="I92" s="274"/>
      <c r="J92" s="137"/>
      <c r="K92" s="146" t="s">
        <v>1155</v>
      </c>
      <c r="L92" s="139">
        <f t="shared" si="4"/>
        <v>7.5</v>
      </c>
      <c r="M92" s="140">
        <f t="shared" si="3"/>
        <v>1</v>
      </c>
      <c r="N92" s="141">
        <f t="shared" si="5"/>
        <v>7.5</v>
      </c>
      <c r="O92" s="259" t="s">
        <v>1156</v>
      </c>
      <c r="P92" s="143" t="s">
        <v>1780</v>
      </c>
    </row>
    <row r="93" spans="3:16" s="144" customFormat="1" ht="19.5" customHeight="1">
      <c r="C93" s="133">
        <v>88</v>
      </c>
      <c r="D93" s="134" t="s">
        <v>2164</v>
      </c>
      <c r="E93" s="181" t="s">
        <v>2229</v>
      </c>
      <c r="F93" s="181" t="s">
        <v>3344</v>
      </c>
      <c r="G93" s="145" t="s">
        <v>2288</v>
      </c>
      <c r="H93" s="145" t="s">
        <v>2289</v>
      </c>
      <c r="I93" s="194"/>
      <c r="J93" s="137"/>
      <c r="K93" s="146" t="s">
        <v>1160</v>
      </c>
      <c r="L93" s="139">
        <f t="shared" si="4"/>
        <v>3.9</v>
      </c>
      <c r="M93" s="140">
        <f t="shared" si="3"/>
        <v>1</v>
      </c>
      <c r="N93" s="141">
        <f t="shared" si="5"/>
        <v>3.9</v>
      </c>
      <c r="O93" s="259" t="s">
        <v>1156</v>
      </c>
      <c r="P93" s="143" t="s">
        <v>1780</v>
      </c>
    </row>
    <row r="94" spans="3:16" s="144" customFormat="1" ht="19.5" customHeight="1">
      <c r="C94" s="133">
        <v>89</v>
      </c>
      <c r="D94" s="134" t="s">
        <v>2164</v>
      </c>
      <c r="E94" s="181" t="s">
        <v>2229</v>
      </c>
      <c r="F94" s="181" t="s">
        <v>3345</v>
      </c>
      <c r="G94" s="210" t="s">
        <v>2290</v>
      </c>
      <c r="H94" s="145" t="s">
        <v>2291</v>
      </c>
      <c r="I94" s="194"/>
      <c r="J94" s="137"/>
      <c r="K94" s="138" t="s">
        <v>1170</v>
      </c>
      <c r="L94" s="139">
        <f t="shared" si="4"/>
        <v>5.2</v>
      </c>
      <c r="M94" s="140">
        <f t="shared" si="3"/>
        <v>1</v>
      </c>
      <c r="N94" s="141">
        <f t="shared" si="5"/>
        <v>5.2</v>
      </c>
      <c r="O94" s="259" t="s">
        <v>1156</v>
      </c>
      <c r="P94" s="143" t="s">
        <v>1780</v>
      </c>
    </row>
    <row r="95" spans="3:16" s="144" customFormat="1" ht="19.5" customHeight="1">
      <c r="C95" s="133">
        <v>90</v>
      </c>
      <c r="D95" s="134" t="s">
        <v>2164</v>
      </c>
      <c r="E95" s="181" t="s">
        <v>2229</v>
      </c>
      <c r="F95" s="181" t="s">
        <v>3346</v>
      </c>
      <c r="G95" s="210" t="s">
        <v>2290</v>
      </c>
      <c r="H95" s="145" t="s">
        <v>2292</v>
      </c>
      <c r="I95" s="194"/>
      <c r="J95" s="137"/>
      <c r="K95" s="146" t="s">
        <v>1155</v>
      </c>
      <c r="L95" s="139">
        <f t="shared" si="4"/>
        <v>7.5</v>
      </c>
      <c r="M95" s="140">
        <f t="shared" si="3"/>
        <v>1</v>
      </c>
      <c r="N95" s="141">
        <f t="shared" si="5"/>
        <v>7.5</v>
      </c>
      <c r="O95" s="259" t="s">
        <v>1156</v>
      </c>
      <c r="P95" s="143" t="s">
        <v>1780</v>
      </c>
    </row>
    <row r="96" spans="3:16" s="144" customFormat="1" ht="19.5" customHeight="1">
      <c r="C96" s="133">
        <v>91</v>
      </c>
      <c r="D96" s="134" t="s">
        <v>2164</v>
      </c>
      <c r="E96" s="181" t="s">
        <v>2229</v>
      </c>
      <c r="F96" s="181" t="s">
        <v>3347</v>
      </c>
      <c r="G96" s="145" t="s">
        <v>2293</v>
      </c>
      <c r="H96" s="145" t="s">
        <v>2294</v>
      </c>
      <c r="I96" s="194"/>
      <c r="J96" s="137"/>
      <c r="K96" s="146" t="s">
        <v>1160</v>
      </c>
      <c r="L96" s="139">
        <f t="shared" si="4"/>
        <v>3.9</v>
      </c>
      <c r="M96" s="140">
        <f t="shared" si="3"/>
        <v>1</v>
      </c>
      <c r="N96" s="141">
        <f t="shared" si="5"/>
        <v>3.9</v>
      </c>
      <c r="O96" s="259" t="s">
        <v>1156</v>
      </c>
      <c r="P96" s="143" t="s">
        <v>1780</v>
      </c>
    </row>
    <row r="97" spans="2:17" s="144" customFormat="1" ht="19.5" customHeight="1">
      <c r="C97" s="133">
        <v>92</v>
      </c>
      <c r="D97" s="134" t="s">
        <v>2164</v>
      </c>
      <c r="E97" s="181" t="s">
        <v>2229</v>
      </c>
      <c r="F97" s="181" t="s">
        <v>3348</v>
      </c>
      <c r="G97" s="210" t="s">
        <v>2295</v>
      </c>
      <c r="H97" s="145" t="s">
        <v>2296</v>
      </c>
      <c r="I97" s="194"/>
      <c r="J97" s="137"/>
      <c r="K97" s="138" t="s">
        <v>1170</v>
      </c>
      <c r="L97" s="139">
        <f t="shared" si="4"/>
        <v>5.2</v>
      </c>
      <c r="M97" s="140">
        <f t="shared" si="3"/>
        <v>1</v>
      </c>
      <c r="N97" s="141">
        <f t="shared" si="5"/>
        <v>5.2</v>
      </c>
      <c r="O97" s="259" t="s">
        <v>1156</v>
      </c>
      <c r="P97" s="143" t="s">
        <v>1780</v>
      </c>
    </row>
    <row r="98" spans="2:17" s="144" customFormat="1" ht="19.5" customHeight="1">
      <c r="C98" s="133">
        <v>93</v>
      </c>
      <c r="D98" s="134" t="s">
        <v>2164</v>
      </c>
      <c r="E98" s="181" t="s">
        <v>2229</v>
      </c>
      <c r="F98" s="181" t="s">
        <v>3349</v>
      </c>
      <c r="G98" s="210" t="s">
        <v>2295</v>
      </c>
      <c r="H98" s="145" t="s">
        <v>2297</v>
      </c>
      <c r="I98" s="194"/>
      <c r="J98" s="137"/>
      <c r="K98" s="146" t="s">
        <v>1160</v>
      </c>
      <c r="L98" s="139">
        <f t="shared" si="4"/>
        <v>3.9</v>
      </c>
      <c r="M98" s="140">
        <f t="shared" si="3"/>
        <v>1</v>
      </c>
      <c r="N98" s="141">
        <f t="shared" si="5"/>
        <v>3.9</v>
      </c>
      <c r="O98" s="259" t="s">
        <v>1156</v>
      </c>
      <c r="P98" s="143" t="s">
        <v>1780</v>
      </c>
    </row>
    <row r="99" spans="2:17" s="144" customFormat="1" ht="19.5" customHeight="1">
      <c r="C99" s="133">
        <v>94</v>
      </c>
      <c r="D99" s="134" t="s">
        <v>2164</v>
      </c>
      <c r="E99" s="181" t="s">
        <v>2229</v>
      </c>
      <c r="F99" s="181" t="s">
        <v>3350</v>
      </c>
      <c r="G99" s="210" t="s">
        <v>2295</v>
      </c>
      <c r="H99" s="145" t="s">
        <v>2298</v>
      </c>
      <c r="I99" s="194"/>
      <c r="J99" s="137"/>
      <c r="K99" s="146" t="s">
        <v>1155</v>
      </c>
      <c r="L99" s="139">
        <f t="shared" si="4"/>
        <v>7.5</v>
      </c>
      <c r="M99" s="140">
        <f t="shared" si="3"/>
        <v>1</v>
      </c>
      <c r="N99" s="141">
        <f t="shared" si="5"/>
        <v>7.5</v>
      </c>
      <c r="O99" s="259" t="s">
        <v>1156</v>
      </c>
      <c r="P99" s="143" t="s">
        <v>1780</v>
      </c>
    </row>
    <row r="100" spans="2:17" s="144" customFormat="1" ht="19.5" customHeight="1">
      <c r="C100" s="133">
        <v>95</v>
      </c>
      <c r="D100" s="134" t="s">
        <v>2164</v>
      </c>
      <c r="E100" s="181" t="s">
        <v>2229</v>
      </c>
      <c r="F100" s="181" t="s">
        <v>3351</v>
      </c>
      <c r="G100" s="145" t="s">
        <v>2299</v>
      </c>
      <c r="H100" s="145" t="s">
        <v>2300</v>
      </c>
      <c r="I100" s="194"/>
      <c r="J100" s="137"/>
      <c r="K100" s="152" t="s">
        <v>1160</v>
      </c>
      <c r="L100" s="139">
        <f t="shared" si="4"/>
        <v>3.9</v>
      </c>
      <c r="M100" s="140">
        <f t="shared" si="3"/>
        <v>1</v>
      </c>
      <c r="N100" s="141">
        <f t="shared" si="5"/>
        <v>3.9</v>
      </c>
      <c r="O100" s="259" t="s">
        <v>1156</v>
      </c>
      <c r="P100" s="143" t="s">
        <v>1780</v>
      </c>
    </row>
    <row r="101" spans="2:17" s="144" customFormat="1" ht="19.5" customHeight="1">
      <c r="C101" s="133">
        <v>96</v>
      </c>
      <c r="D101" s="134" t="s">
        <v>2164</v>
      </c>
      <c r="E101" s="181" t="s">
        <v>2229</v>
      </c>
      <c r="F101" s="181" t="s">
        <v>3352</v>
      </c>
      <c r="G101" s="210" t="s">
        <v>2301</v>
      </c>
      <c r="H101" s="145" t="s">
        <v>2302</v>
      </c>
      <c r="I101" s="194"/>
      <c r="J101" s="137"/>
      <c r="K101" s="138" t="s">
        <v>1170</v>
      </c>
      <c r="L101" s="139">
        <f t="shared" si="4"/>
        <v>5.2</v>
      </c>
      <c r="M101" s="140">
        <f t="shared" si="3"/>
        <v>1</v>
      </c>
      <c r="N101" s="141">
        <f t="shared" si="5"/>
        <v>5.2</v>
      </c>
      <c r="O101" s="259" t="s">
        <v>1156</v>
      </c>
      <c r="P101" s="143" t="s">
        <v>1780</v>
      </c>
    </row>
    <row r="102" spans="2:17" s="144" customFormat="1" ht="19.5" customHeight="1">
      <c r="C102" s="133">
        <v>97</v>
      </c>
      <c r="D102" s="134" t="s">
        <v>2164</v>
      </c>
      <c r="E102" s="181" t="s">
        <v>2229</v>
      </c>
      <c r="F102" s="181" t="s">
        <v>3353</v>
      </c>
      <c r="G102" s="210" t="s">
        <v>2301</v>
      </c>
      <c r="H102" s="145" t="s">
        <v>2303</v>
      </c>
      <c r="I102" s="194"/>
      <c r="J102" s="137"/>
      <c r="K102" s="152" t="s">
        <v>1163</v>
      </c>
      <c r="L102" s="139">
        <f t="shared" si="4"/>
        <v>4</v>
      </c>
      <c r="M102" s="140">
        <f t="shared" si="3"/>
        <v>1</v>
      </c>
      <c r="N102" s="141">
        <f t="shared" si="5"/>
        <v>4</v>
      </c>
      <c r="O102" s="259" t="s">
        <v>1156</v>
      </c>
      <c r="P102" s="143" t="s">
        <v>1780</v>
      </c>
    </row>
    <row r="103" spans="2:17" s="144" customFormat="1">
      <c r="B103" s="127" t="s">
        <v>2192</v>
      </c>
      <c r="C103" s="133">
        <v>98</v>
      </c>
      <c r="D103" s="180" t="s">
        <v>2304</v>
      </c>
      <c r="E103" s="181" t="s">
        <v>2305</v>
      </c>
      <c r="F103" s="181" t="s">
        <v>3354</v>
      </c>
      <c r="G103" s="181" t="s">
        <v>2306</v>
      </c>
      <c r="H103" s="275" t="s">
        <v>2307</v>
      </c>
      <c r="I103" s="182" t="s">
        <v>2308</v>
      </c>
      <c r="J103" s="137"/>
      <c r="K103" s="191" t="s">
        <v>1202</v>
      </c>
      <c r="L103" s="139">
        <f t="shared" si="4"/>
        <v>7.5</v>
      </c>
      <c r="M103" s="140">
        <f t="shared" si="3"/>
        <v>0.25</v>
      </c>
      <c r="N103" s="141">
        <f t="shared" si="5"/>
        <v>1.875</v>
      </c>
      <c r="O103" s="259" t="s">
        <v>1776</v>
      </c>
      <c r="P103" s="143" t="s">
        <v>1780</v>
      </c>
      <c r="Q103" s="264"/>
    </row>
    <row r="104" spans="2:17" s="144" customFormat="1">
      <c r="B104" s="127" t="s">
        <v>2192</v>
      </c>
      <c r="C104" s="133">
        <v>99</v>
      </c>
      <c r="D104" s="180" t="s">
        <v>2304</v>
      </c>
      <c r="E104" s="181" t="s">
        <v>2305</v>
      </c>
      <c r="F104" s="181" t="s">
        <v>3355</v>
      </c>
      <c r="G104" s="181" t="s">
        <v>2306</v>
      </c>
      <c r="H104" s="181" t="s">
        <v>2309</v>
      </c>
      <c r="I104" s="182" t="s">
        <v>2310</v>
      </c>
      <c r="J104" s="137"/>
      <c r="K104" s="152" t="s">
        <v>1226</v>
      </c>
      <c r="L104" s="139">
        <f t="shared" si="4"/>
        <v>3.9</v>
      </c>
      <c r="M104" s="140">
        <f t="shared" si="3"/>
        <v>1</v>
      </c>
      <c r="N104" s="141">
        <f t="shared" si="5"/>
        <v>3.9</v>
      </c>
      <c r="O104" s="259" t="s">
        <v>1156</v>
      </c>
      <c r="P104" s="143" t="s">
        <v>1780</v>
      </c>
      <c r="Q104" s="264"/>
    </row>
    <row r="105" spans="2:17" s="144" customFormat="1">
      <c r="B105" s="127" t="s">
        <v>2192</v>
      </c>
      <c r="C105" s="133">
        <v>100</v>
      </c>
      <c r="D105" s="180" t="s">
        <v>2304</v>
      </c>
      <c r="E105" s="181" t="s">
        <v>2305</v>
      </c>
      <c r="F105" s="181" t="s">
        <v>3356</v>
      </c>
      <c r="G105" s="181" t="s">
        <v>2306</v>
      </c>
      <c r="H105" s="181" t="s">
        <v>2311</v>
      </c>
      <c r="I105" s="182" t="s">
        <v>2312</v>
      </c>
      <c r="J105" s="137"/>
      <c r="K105" s="152" t="s">
        <v>1188</v>
      </c>
      <c r="L105" s="139">
        <f t="shared" si="4"/>
        <v>4</v>
      </c>
      <c r="M105" s="140">
        <f t="shared" si="3"/>
        <v>1</v>
      </c>
      <c r="N105" s="141">
        <f t="shared" si="5"/>
        <v>4</v>
      </c>
      <c r="O105" s="259" t="s">
        <v>1156</v>
      </c>
      <c r="P105" s="143" t="s">
        <v>1780</v>
      </c>
      <c r="Q105" s="264"/>
    </row>
    <row r="106" spans="2:17" s="144" customFormat="1">
      <c r="B106" s="127" t="s">
        <v>2192</v>
      </c>
      <c r="C106" s="133">
        <v>101</v>
      </c>
      <c r="D106" s="180" t="s">
        <v>2304</v>
      </c>
      <c r="E106" s="181" t="s">
        <v>2305</v>
      </c>
      <c r="F106" s="181" t="s">
        <v>3357</v>
      </c>
      <c r="G106" s="181" t="s">
        <v>2306</v>
      </c>
      <c r="H106" s="275" t="s">
        <v>2313</v>
      </c>
      <c r="I106" s="182" t="s">
        <v>2314</v>
      </c>
      <c r="J106" s="137"/>
      <c r="K106" s="152" t="s">
        <v>1188</v>
      </c>
      <c r="L106" s="139">
        <f t="shared" si="4"/>
        <v>4</v>
      </c>
      <c r="M106" s="140">
        <f t="shared" si="3"/>
        <v>1</v>
      </c>
      <c r="N106" s="141">
        <f t="shared" si="5"/>
        <v>4</v>
      </c>
      <c r="O106" s="259" t="s">
        <v>1156</v>
      </c>
      <c r="P106" s="143" t="s">
        <v>1780</v>
      </c>
      <c r="Q106" s="264"/>
    </row>
    <row r="107" spans="2:17" s="144" customFormat="1">
      <c r="B107" s="127" t="s">
        <v>2192</v>
      </c>
      <c r="C107" s="133">
        <v>102</v>
      </c>
      <c r="D107" s="180" t="s">
        <v>2304</v>
      </c>
      <c r="E107" s="181" t="s">
        <v>2305</v>
      </c>
      <c r="F107" s="181" t="s">
        <v>3358</v>
      </c>
      <c r="G107" s="181" t="s">
        <v>2315</v>
      </c>
      <c r="H107" s="181" t="s">
        <v>2316</v>
      </c>
      <c r="I107" s="182" t="s">
        <v>2317</v>
      </c>
      <c r="J107" s="137"/>
      <c r="K107" s="138" t="s">
        <v>1155</v>
      </c>
      <c r="L107" s="139">
        <f t="shared" si="4"/>
        <v>7.5</v>
      </c>
      <c r="M107" s="140">
        <f t="shared" si="3"/>
        <v>1</v>
      </c>
      <c r="N107" s="141">
        <f t="shared" si="5"/>
        <v>7.5</v>
      </c>
      <c r="O107" s="259" t="s">
        <v>1156</v>
      </c>
      <c r="P107" s="143" t="s">
        <v>1780</v>
      </c>
      <c r="Q107" s="264"/>
    </row>
    <row r="108" spans="2:17" s="144" customFormat="1">
      <c r="B108" s="127" t="s">
        <v>2192</v>
      </c>
      <c r="C108" s="133">
        <v>103</v>
      </c>
      <c r="D108" s="180" t="s">
        <v>2304</v>
      </c>
      <c r="E108" s="181" t="s">
        <v>2305</v>
      </c>
      <c r="F108" s="181" t="s">
        <v>3359</v>
      </c>
      <c r="G108" s="181" t="s">
        <v>2315</v>
      </c>
      <c r="H108" s="181" t="s">
        <v>2318</v>
      </c>
      <c r="I108" s="182" t="s">
        <v>2318</v>
      </c>
      <c r="J108" s="137"/>
      <c r="K108" s="138" t="s">
        <v>1155</v>
      </c>
      <c r="L108" s="139">
        <f t="shared" si="4"/>
        <v>7.5</v>
      </c>
      <c r="M108" s="140">
        <f t="shared" si="3"/>
        <v>1</v>
      </c>
      <c r="N108" s="141">
        <f t="shared" si="5"/>
        <v>7.5</v>
      </c>
      <c r="O108" s="259" t="s">
        <v>1156</v>
      </c>
      <c r="P108" s="143" t="s">
        <v>1780</v>
      </c>
      <c r="Q108" s="264"/>
    </row>
    <row r="109" spans="2:17" s="144" customFormat="1">
      <c r="B109" s="127" t="s">
        <v>2192</v>
      </c>
      <c r="C109" s="133">
        <v>104</v>
      </c>
      <c r="D109" s="180" t="s">
        <v>2304</v>
      </c>
      <c r="E109" s="181" t="s">
        <v>2305</v>
      </c>
      <c r="F109" s="181" t="s">
        <v>3360</v>
      </c>
      <c r="G109" s="181" t="s">
        <v>2315</v>
      </c>
      <c r="H109" s="181" t="s">
        <v>2319</v>
      </c>
      <c r="I109" s="182" t="s">
        <v>2320</v>
      </c>
      <c r="J109" s="137"/>
      <c r="K109" s="138" t="s">
        <v>1155</v>
      </c>
      <c r="L109" s="139">
        <f t="shared" si="4"/>
        <v>7.5</v>
      </c>
      <c r="M109" s="140">
        <f t="shared" si="3"/>
        <v>1</v>
      </c>
      <c r="N109" s="141">
        <f t="shared" si="5"/>
        <v>7.5</v>
      </c>
      <c r="O109" s="259" t="s">
        <v>1156</v>
      </c>
      <c r="P109" s="143" t="s">
        <v>1780</v>
      </c>
      <c r="Q109" s="264"/>
    </row>
    <row r="110" spans="2:17" s="144" customFormat="1">
      <c r="B110" s="127" t="s">
        <v>2192</v>
      </c>
      <c r="C110" s="133">
        <v>105</v>
      </c>
      <c r="D110" s="180" t="s">
        <v>2304</v>
      </c>
      <c r="E110" s="181" t="s">
        <v>2305</v>
      </c>
      <c r="F110" s="181" t="s">
        <v>3361</v>
      </c>
      <c r="G110" s="181" t="s">
        <v>2315</v>
      </c>
      <c r="H110" s="181" t="s">
        <v>2321</v>
      </c>
      <c r="I110" s="182" t="s">
        <v>2322</v>
      </c>
      <c r="J110" s="137"/>
      <c r="K110" s="191" t="s">
        <v>1202</v>
      </c>
      <c r="L110" s="139">
        <f t="shared" si="4"/>
        <v>7.5</v>
      </c>
      <c r="M110" s="140">
        <f t="shared" si="3"/>
        <v>0.25</v>
      </c>
      <c r="N110" s="141">
        <f t="shared" si="5"/>
        <v>1.875</v>
      </c>
      <c r="O110" s="259" t="s">
        <v>1776</v>
      </c>
      <c r="P110" s="143" t="s">
        <v>1780</v>
      </c>
      <c r="Q110" s="264"/>
    </row>
    <row r="111" spans="2:17" s="144" customFormat="1">
      <c r="B111" s="127" t="s">
        <v>2192</v>
      </c>
      <c r="C111" s="133">
        <v>106</v>
      </c>
      <c r="D111" s="180" t="s">
        <v>2304</v>
      </c>
      <c r="E111" s="181" t="s">
        <v>2305</v>
      </c>
      <c r="F111" s="181" t="s">
        <v>3362</v>
      </c>
      <c r="G111" s="181" t="s">
        <v>2315</v>
      </c>
      <c r="H111" s="181" t="s">
        <v>2323</v>
      </c>
      <c r="I111" s="182" t="s">
        <v>2324</v>
      </c>
      <c r="J111" s="137"/>
      <c r="K111" s="152" t="s">
        <v>1226</v>
      </c>
      <c r="L111" s="139">
        <f t="shared" si="4"/>
        <v>3.9</v>
      </c>
      <c r="M111" s="140">
        <f t="shared" si="3"/>
        <v>1</v>
      </c>
      <c r="N111" s="141">
        <f t="shared" si="5"/>
        <v>3.9</v>
      </c>
      <c r="O111" s="259" t="s">
        <v>1156</v>
      </c>
      <c r="P111" s="143" t="s">
        <v>1780</v>
      </c>
      <c r="Q111" s="264"/>
    </row>
    <row r="112" spans="2:17" s="144" customFormat="1">
      <c r="B112" s="127" t="s">
        <v>2192</v>
      </c>
      <c r="C112" s="133">
        <v>107</v>
      </c>
      <c r="D112" s="180" t="s">
        <v>2304</v>
      </c>
      <c r="E112" s="181" t="s">
        <v>2305</v>
      </c>
      <c r="F112" s="181" t="s">
        <v>3363</v>
      </c>
      <c r="G112" s="181" t="s">
        <v>2315</v>
      </c>
      <c r="H112" s="181" t="s">
        <v>2325</v>
      </c>
      <c r="I112" s="182" t="s">
        <v>2326</v>
      </c>
      <c r="J112" s="137"/>
      <c r="K112" s="152" t="s">
        <v>1188</v>
      </c>
      <c r="L112" s="139">
        <f t="shared" si="4"/>
        <v>4</v>
      </c>
      <c r="M112" s="140">
        <f t="shared" si="3"/>
        <v>1</v>
      </c>
      <c r="N112" s="141">
        <f t="shared" si="5"/>
        <v>4</v>
      </c>
      <c r="O112" s="259" t="s">
        <v>1156</v>
      </c>
      <c r="P112" s="143" t="s">
        <v>1780</v>
      </c>
      <c r="Q112" s="264"/>
    </row>
    <row r="113" spans="2:17" s="144" customFormat="1">
      <c r="B113" s="127" t="s">
        <v>2192</v>
      </c>
      <c r="C113" s="133">
        <v>108</v>
      </c>
      <c r="D113" s="180" t="s">
        <v>2304</v>
      </c>
      <c r="E113" s="181" t="s">
        <v>2305</v>
      </c>
      <c r="F113" s="181" t="s">
        <v>3364</v>
      </c>
      <c r="G113" s="181" t="s">
        <v>2315</v>
      </c>
      <c r="H113" s="181" t="s">
        <v>2327</v>
      </c>
      <c r="I113" s="182" t="s">
        <v>2328</v>
      </c>
      <c r="J113" s="137"/>
      <c r="K113" s="152" t="s">
        <v>1188</v>
      </c>
      <c r="L113" s="139">
        <f t="shared" si="4"/>
        <v>4</v>
      </c>
      <c r="M113" s="140">
        <f t="shared" si="3"/>
        <v>1</v>
      </c>
      <c r="N113" s="141">
        <f t="shared" si="5"/>
        <v>4</v>
      </c>
      <c r="O113" s="259" t="s">
        <v>1156</v>
      </c>
      <c r="P113" s="143" t="s">
        <v>1780</v>
      </c>
      <c r="Q113" s="264"/>
    </row>
    <row r="114" spans="2:17" s="144" customFormat="1">
      <c r="B114" s="127" t="s">
        <v>2192</v>
      </c>
      <c r="C114" s="133">
        <v>109</v>
      </c>
      <c r="D114" s="180" t="s">
        <v>2304</v>
      </c>
      <c r="E114" s="181" t="s">
        <v>2305</v>
      </c>
      <c r="F114" s="181" t="s">
        <v>3365</v>
      </c>
      <c r="G114" s="181" t="s">
        <v>2315</v>
      </c>
      <c r="H114" s="181" t="s">
        <v>2329</v>
      </c>
      <c r="I114" s="182" t="s">
        <v>2330</v>
      </c>
      <c r="J114" s="137"/>
      <c r="K114" s="152" t="s">
        <v>1226</v>
      </c>
      <c r="L114" s="139">
        <f t="shared" si="4"/>
        <v>3.9</v>
      </c>
      <c r="M114" s="140">
        <f t="shared" si="3"/>
        <v>1</v>
      </c>
      <c r="N114" s="141">
        <f t="shared" si="5"/>
        <v>3.9</v>
      </c>
      <c r="O114" s="259" t="s">
        <v>1156</v>
      </c>
      <c r="P114" s="143" t="s">
        <v>1780</v>
      </c>
      <c r="Q114" s="264"/>
    </row>
    <row r="115" spans="2:17" s="144" customFormat="1" ht="27">
      <c r="B115" s="127" t="s">
        <v>2192</v>
      </c>
      <c r="C115" s="133">
        <v>110</v>
      </c>
      <c r="D115" s="180" t="s">
        <v>2304</v>
      </c>
      <c r="E115" s="181" t="s">
        <v>2305</v>
      </c>
      <c r="F115" s="181" t="s">
        <v>3366</v>
      </c>
      <c r="G115" s="181" t="s">
        <v>2315</v>
      </c>
      <c r="H115" s="181" t="s">
        <v>2331</v>
      </c>
      <c r="I115" s="182" t="s">
        <v>2332</v>
      </c>
      <c r="J115" s="137"/>
      <c r="K115" s="138" t="s">
        <v>1170</v>
      </c>
      <c r="L115" s="139">
        <f t="shared" si="4"/>
        <v>5.2</v>
      </c>
      <c r="M115" s="140">
        <f t="shared" si="3"/>
        <v>1</v>
      </c>
      <c r="N115" s="141">
        <f t="shared" si="5"/>
        <v>5.2</v>
      </c>
      <c r="O115" s="259" t="s">
        <v>1156</v>
      </c>
      <c r="P115" s="143" t="s">
        <v>1780</v>
      </c>
      <c r="Q115" s="264"/>
    </row>
    <row r="116" spans="2:17" s="144" customFormat="1" ht="18.600000000000001" customHeight="1">
      <c r="B116" s="127" t="s">
        <v>2192</v>
      </c>
      <c r="C116" s="133">
        <v>111</v>
      </c>
      <c r="D116" s="180" t="s">
        <v>2304</v>
      </c>
      <c r="E116" s="181" t="s">
        <v>2305</v>
      </c>
      <c r="F116" s="181" t="s">
        <v>3367</v>
      </c>
      <c r="G116" s="181" t="s">
        <v>2315</v>
      </c>
      <c r="H116" s="181" t="s">
        <v>2333</v>
      </c>
      <c r="I116" s="182" t="s">
        <v>2334</v>
      </c>
      <c r="J116" s="137"/>
      <c r="K116" s="138" t="s">
        <v>1170</v>
      </c>
      <c r="L116" s="139">
        <f t="shared" si="4"/>
        <v>5.2</v>
      </c>
      <c r="M116" s="140">
        <f t="shared" si="3"/>
        <v>1</v>
      </c>
      <c r="N116" s="141">
        <f t="shared" si="5"/>
        <v>5.2</v>
      </c>
      <c r="O116" s="259" t="s">
        <v>1156</v>
      </c>
      <c r="P116" s="143" t="s">
        <v>1780</v>
      </c>
      <c r="Q116" s="264"/>
    </row>
    <row r="117" spans="2:17" s="144" customFormat="1" ht="18.600000000000001" customHeight="1">
      <c r="B117" s="127" t="s">
        <v>2192</v>
      </c>
      <c r="C117" s="133">
        <v>112</v>
      </c>
      <c r="D117" s="180" t="s">
        <v>2304</v>
      </c>
      <c r="E117" s="181" t="s">
        <v>2305</v>
      </c>
      <c r="F117" s="181" t="s">
        <v>3368</v>
      </c>
      <c r="G117" s="181" t="s">
        <v>2315</v>
      </c>
      <c r="H117" s="181" t="s">
        <v>2335</v>
      </c>
      <c r="I117" s="182" t="s">
        <v>2336</v>
      </c>
      <c r="J117" s="137"/>
      <c r="K117" s="138" t="s">
        <v>1170</v>
      </c>
      <c r="L117" s="139">
        <f t="shared" si="4"/>
        <v>5.2</v>
      </c>
      <c r="M117" s="140">
        <f t="shared" si="3"/>
        <v>1</v>
      </c>
      <c r="N117" s="141">
        <f t="shared" si="5"/>
        <v>5.2</v>
      </c>
      <c r="O117" s="259" t="s">
        <v>1156</v>
      </c>
      <c r="P117" s="143" t="s">
        <v>1780</v>
      </c>
      <c r="Q117" s="264"/>
    </row>
    <row r="118" spans="2:17" s="144" customFormat="1" ht="18.600000000000001" customHeight="1">
      <c r="B118" s="127" t="s">
        <v>2192</v>
      </c>
      <c r="C118" s="133">
        <v>113</v>
      </c>
      <c r="D118" s="180" t="s">
        <v>2304</v>
      </c>
      <c r="E118" s="181" t="s">
        <v>2305</v>
      </c>
      <c r="F118" s="181" t="s">
        <v>3369</v>
      </c>
      <c r="G118" s="181" t="s">
        <v>2315</v>
      </c>
      <c r="H118" s="181" t="s">
        <v>2337</v>
      </c>
      <c r="I118" s="182" t="s">
        <v>2338</v>
      </c>
      <c r="J118" s="137"/>
      <c r="K118" s="138" t="s">
        <v>1170</v>
      </c>
      <c r="L118" s="139">
        <f t="shared" si="4"/>
        <v>5.2</v>
      </c>
      <c r="M118" s="140">
        <f t="shared" si="3"/>
        <v>1</v>
      </c>
      <c r="N118" s="141">
        <f t="shared" si="5"/>
        <v>5.2</v>
      </c>
      <c r="O118" s="259" t="s">
        <v>1156</v>
      </c>
      <c r="P118" s="143" t="s">
        <v>1780</v>
      </c>
      <c r="Q118" s="264"/>
    </row>
    <row r="119" spans="2:17" s="144" customFormat="1" ht="18.600000000000001" customHeight="1">
      <c r="B119" s="127" t="s">
        <v>2192</v>
      </c>
      <c r="C119" s="133">
        <v>114</v>
      </c>
      <c r="D119" s="180" t="s">
        <v>2304</v>
      </c>
      <c r="E119" s="181" t="s">
        <v>2305</v>
      </c>
      <c r="F119" s="181" t="s">
        <v>3370</v>
      </c>
      <c r="G119" s="181" t="s">
        <v>2315</v>
      </c>
      <c r="H119" s="181" t="s">
        <v>2339</v>
      </c>
      <c r="I119" s="182" t="s">
        <v>2340</v>
      </c>
      <c r="J119" s="137"/>
      <c r="K119" s="138" t="s">
        <v>1170</v>
      </c>
      <c r="L119" s="139">
        <f t="shared" si="4"/>
        <v>5.2</v>
      </c>
      <c r="M119" s="140">
        <f t="shared" si="3"/>
        <v>1</v>
      </c>
      <c r="N119" s="141">
        <f t="shared" si="5"/>
        <v>5.2</v>
      </c>
      <c r="O119" s="259" t="s">
        <v>1156</v>
      </c>
      <c r="P119" s="143" t="s">
        <v>1780</v>
      </c>
      <c r="Q119" s="264"/>
    </row>
    <row r="120" spans="2:17" s="144" customFormat="1" ht="18.600000000000001" customHeight="1">
      <c r="B120" s="127" t="s">
        <v>2192</v>
      </c>
      <c r="C120" s="133">
        <v>115</v>
      </c>
      <c r="D120" s="180" t="s">
        <v>2304</v>
      </c>
      <c r="E120" s="181" t="s">
        <v>2305</v>
      </c>
      <c r="F120" s="181" t="s">
        <v>3371</v>
      </c>
      <c r="G120" s="181" t="s">
        <v>2315</v>
      </c>
      <c r="H120" s="181" t="s">
        <v>2341</v>
      </c>
      <c r="I120" s="182" t="s">
        <v>2342</v>
      </c>
      <c r="J120" s="137"/>
      <c r="K120" s="138" t="s">
        <v>1170</v>
      </c>
      <c r="L120" s="139">
        <f t="shared" si="4"/>
        <v>5.2</v>
      </c>
      <c r="M120" s="140">
        <f t="shared" si="3"/>
        <v>1</v>
      </c>
      <c r="N120" s="141">
        <f t="shared" si="5"/>
        <v>5.2</v>
      </c>
      <c r="O120" s="259" t="s">
        <v>1156</v>
      </c>
      <c r="P120" s="143" t="s">
        <v>1780</v>
      </c>
      <c r="Q120" s="264"/>
    </row>
    <row r="121" spans="2:17" s="144" customFormat="1" ht="18.600000000000001" customHeight="1">
      <c r="B121" s="127" t="s">
        <v>2192</v>
      </c>
      <c r="C121" s="133">
        <v>116</v>
      </c>
      <c r="D121" s="180" t="s">
        <v>2304</v>
      </c>
      <c r="E121" s="181" t="s">
        <v>2305</v>
      </c>
      <c r="F121" s="181" t="s">
        <v>3372</v>
      </c>
      <c r="G121" s="181" t="s">
        <v>2315</v>
      </c>
      <c r="H121" s="181" t="s">
        <v>2343</v>
      </c>
      <c r="I121" s="182" t="s">
        <v>2344</v>
      </c>
      <c r="J121" s="137"/>
      <c r="K121" s="138" t="s">
        <v>1170</v>
      </c>
      <c r="L121" s="139">
        <f t="shared" si="4"/>
        <v>5.2</v>
      </c>
      <c r="M121" s="140">
        <f t="shared" si="3"/>
        <v>1</v>
      </c>
      <c r="N121" s="141">
        <f t="shared" si="5"/>
        <v>5.2</v>
      </c>
      <c r="O121" s="259" t="s">
        <v>1156</v>
      </c>
      <c r="P121" s="143" t="s">
        <v>1780</v>
      </c>
      <c r="Q121" s="264"/>
    </row>
    <row r="122" spans="2:17" s="144" customFormat="1" ht="18.600000000000001" customHeight="1">
      <c r="B122" s="127" t="s">
        <v>2192</v>
      </c>
      <c r="C122" s="133">
        <v>117</v>
      </c>
      <c r="D122" s="180" t="s">
        <v>2304</v>
      </c>
      <c r="E122" s="181" t="s">
        <v>2305</v>
      </c>
      <c r="F122" s="181" t="s">
        <v>3373</v>
      </c>
      <c r="G122" s="181" t="s">
        <v>2315</v>
      </c>
      <c r="H122" s="181" t="s">
        <v>2345</v>
      </c>
      <c r="I122" s="182" t="s">
        <v>2346</v>
      </c>
      <c r="J122" s="137"/>
      <c r="K122" s="152" t="s">
        <v>1188</v>
      </c>
      <c r="L122" s="139">
        <f t="shared" si="4"/>
        <v>4</v>
      </c>
      <c r="M122" s="140">
        <f t="shared" si="3"/>
        <v>1</v>
      </c>
      <c r="N122" s="141">
        <f t="shared" si="5"/>
        <v>4</v>
      </c>
      <c r="O122" s="259" t="s">
        <v>1156</v>
      </c>
      <c r="P122" s="143" t="s">
        <v>1780</v>
      </c>
      <c r="Q122" s="264"/>
    </row>
    <row r="123" spans="2:17" s="144" customFormat="1" ht="18.600000000000001" customHeight="1">
      <c r="B123" s="127" t="s">
        <v>2192</v>
      </c>
      <c r="C123" s="133">
        <v>118</v>
      </c>
      <c r="D123" s="180" t="s">
        <v>2304</v>
      </c>
      <c r="E123" s="181" t="s">
        <v>2305</v>
      </c>
      <c r="F123" s="181" t="s">
        <v>3374</v>
      </c>
      <c r="G123" s="181" t="s">
        <v>2315</v>
      </c>
      <c r="H123" s="181" t="s">
        <v>2347</v>
      </c>
      <c r="I123" s="182" t="s">
        <v>2348</v>
      </c>
      <c r="J123" s="137"/>
      <c r="K123" s="152" t="s">
        <v>1188</v>
      </c>
      <c r="L123" s="139">
        <f t="shared" si="4"/>
        <v>4</v>
      </c>
      <c r="M123" s="140">
        <f t="shared" si="3"/>
        <v>1</v>
      </c>
      <c r="N123" s="141">
        <f t="shared" si="5"/>
        <v>4</v>
      </c>
      <c r="O123" s="259" t="s">
        <v>1156</v>
      </c>
      <c r="P123" s="143" t="s">
        <v>1780</v>
      </c>
      <c r="Q123" s="264"/>
    </row>
    <row r="124" spans="2:17" s="144" customFormat="1" ht="18.600000000000001" customHeight="1">
      <c r="B124" s="127" t="s">
        <v>2192</v>
      </c>
      <c r="C124" s="133">
        <v>119</v>
      </c>
      <c r="D124" s="180" t="s">
        <v>2304</v>
      </c>
      <c r="E124" s="181" t="s">
        <v>2305</v>
      </c>
      <c r="F124" s="181" t="s">
        <v>3375</v>
      </c>
      <c r="G124" s="181" t="s">
        <v>2315</v>
      </c>
      <c r="H124" s="181" t="s">
        <v>2349</v>
      </c>
      <c r="I124" s="182" t="s">
        <v>2350</v>
      </c>
      <c r="J124" s="137"/>
      <c r="K124" s="152" t="s">
        <v>1188</v>
      </c>
      <c r="L124" s="139">
        <f t="shared" si="4"/>
        <v>4</v>
      </c>
      <c r="M124" s="140">
        <f t="shared" si="3"/>
        <v>1</v>
      </c>
      <c r="N124" s="141">
        <f t="shared" si="5"/>
        <v>4</v>
      </c>
      <c r="O124" s="259" t="s">
        <v>1156</v>
      </c>
      <c r="P124" s="143" t="s">
        <v>1780</v>
      </c>
      <c r="Q124" s="264"/>
    </row>
    <row r="125" spans="2:17" s="144" customFormat="1" ht="18.600000000000001" customHeight="1">
      <c r="B125" s="127" t="s">
        <v>2192</v>
      </c>
      <c r="C125" s="133">
        <v>120</v>
      </c>
      <c r="D125" s="180" t="s">
        <v>2304</v>
      </c>
      <c r="E125" s="181" t="s">
        <v>2305</v>
      </c>
      <c r="F125" s="181" t="s">
        <v>3376</v>
      </c>
      <c r="G125" s="181" t="s">
        <v>2315</v>
      </c>
      <c r="H125" s="181" t="s">
        <v>2351</v>
      </c>
      <c r="I125" s="182" t="s">
        <v>2352</v>
      </c>
      <c r="J125" s="137"/>
      <c r="K125" s="152" t="s">
        <v>1188</v>
      </c>
      <c r="L125" s="139">
        <f t="shared" si="4"/>
        <v>4</v>
      </c>
      <c r="M125" s="140">
        <f t="shared" si="3"/>
        <v>1</v>
      </c>
      <c r="N125" s="141">
        <f t="shared" si="5"/>
        <v>4</v>
      </c>
      <c r="O125" s="259" t="s">
        <v>1156</v>
      </c>
      <c r="P125" s="143" t="s">
        <v>1780</v>
      </c>
      <c r="Q125" s="264"/>
    </row>
    <row r="126" spans="2:17" s="144" customFormat="1" ht="18.600000000000001" customHeight="1">
      <c r="B126" s="127" t="s">
        <v>2192</v>
      </c>
      <c r="C126" s="133">
        <v>121</v>
      </c>
      <c r="D126" s="180" t="s">
        <v>2304</v>
      </c>
      <c r="E126" s="181" t="s">
        <v>2305</v>
      </c>
      <c r="F126" s="181" t="s">
        <v>3377</v>
      </c>
      <c r="G126" s="181" t="s">
        <v>2315</v>
      </c>
      <c r="H126" s="181" t="s">
        <v>2353</v>
      </c>
      <c r="I126" s="182" t="s">
        <v>2354</v>
      </c>
      <c r="J126" s="137"/>
      <c r="K126" s="152" t="s">
        <v>1188</v>
      </c>
      <c r="L126" s="139">
        <f t="shared" si="4"/>
        <v>4</v>
      </c>
      <c r="M126" s="140">
        <f t="shared" si="3"/>
        <v>1</v>
      </c>
      <c r="N126" s="141">
        <f t="shared" si="5"/>
        <v>4</v>
      </c>
      <c r="O126" s="259" t="s">
        <v>1156</v>
      </c>
      <c r="P126" s="143" t="s">
        <v>1780</v>
      </c>
      <c r="Q126" s="264"/>
    </row>
    <row r="127" spans="2:17" s="144" customFormat="1" ht="18.600000000000001" customHeight="1">
      <c r="B127" s="127" t="s">
        <v>2192</v>
      </c>
      <c r="C127" s="133">
        <v>122</v>
      </c>
      <c r="D127" s="180" t="s">
        <v>2304</v>
      </c>
      <c r="E127" s="181" t="s">
        <v>2305</v>
      </c>
      <c r="F127" s="181" t="s">
        <v>3378</v>
      </c>
      <c r="G127" s="181" t="s">
        <v>2355</v>
      </c>
      <c r="H127" s="181" t="s">
        <v>2356</v>
      </c>
      <c r="I127" s="182" t="s">
        <v>2357</v>
      </c>
      <c r="J127" s="137"/>
      <c r="K127" s="138" t="s">
        <v>1155</v>
      </c>
      <c r="L127" s="139">
        <f t="shared" si="4"/>
        <v>7.5</v>
      </c>
      <c r="M127" s="140">
        <f t="shared" si="3"/>
        <v>1</v>
      </c>
      <c r="N127" s="141">
        <f t="shared" si="5"/>
        <v>7.5</v>
      </c>
      <c r="O127" s="259" t="s">
        <v>1156</v>
      </c>
      <c r="P127" s="143" t="s">
        <v>1780</v>
      </c>
      <c r="Q127" s="264"/>
    </row>
    <row r="128" spans="2:17" s="144" customFormat="1" ht="18.600000000000001" customHeight="1">
      <c r="B128" s="127" t="s">
        <v>2192</v>
      </c>
      <c r="C128" s="133">
        <v>123</v>
      </c>
      <c r="D128" s="180" t="s">
        <v>2304</v>
      </c>
      <c r="E128" s="181" t="s">
        <v>2305</v>
      </c>
      <c r="F128" s="181" t="s">
        <v>3379</v>
      </c>
      <c r="G128" s="181" t="s">
        <v>2355</v>
      </c>
      <c r="H128" s="181" t="s">
        <v>2358</v>
      </c>
      <c r="I128" s="182" t="s">
        <v>2359</v>
      </c>
      <c r="J128" s="137"/>
      <c r="K128" s="152" t="s">
        <v>1226</v>
      </c>
      <c r="L128" s="139">
        <f t="shared" si="4"/>
        <v>3.9</v>
      </c>
      <c r="M128" s="140">
        <f t="shared" si="3"/>
        <v>1</v>
      </c>
      <c r="N128" s="141">
        <f t="shared" si="5"/>
        <v>3.9</v>
      </c>
      <c r="O128" s="259" t="s">
        <v>1156</v>
      </c>
      <c r="P128" s="143" t="s">
        <v>1780</v>
      </c>
      <c r="Q128" s="264"/>
    </row>
    <row r="129" spans="2:17" s="144" customFormat="1" ht="18.600000000000001" customHeight="1">
      <c r="B129" s="127" t="s">
        <v>2192</v>
      </c>
      <c r="C129" s="133">
        <v>124</v>
      </c>
      <c r="D129" s="180" t="s">
        <v>2304</v>
      </c>
      <c r="E129" s="181" t="s">
        <v>2305</v>
      </c>
      <c r="F129" s="181" t="s">
        <v>3380</v>
      </c>
      <c r="G129" s="181" t="s">
        <v>2355</v>
      </c>
      <c r="H129" s="181" t="s">
        <v>2360</v>
      </c>
      <c r="I129" s="182" t="s">
        <v>2361</v>
      </c>
      <c r="J129" s="137"/>
      <c r="K129" s="152" t="s">
        <v>1188</v>
      </c>
      <c r="L129" s="139">
        <f t="shared" si="4"/>
        <v>4</v>
      </c>
      <c r="M129" s="140">
        <f t="shared" si="3"/>
        <v>1</v>
      </c>
      <c r="N129" s="141">
        <f t="shared" si="5"/>
        <v>4</v>
      </c>
      <c r="O129" s="259" t="s">
        <v>1156</v>
      </c>
      <c r="P129" s="143" t="s">
        <v>1780</v>
      </c>
      <c r="Q129" s="264"/>
    </row>
    <row r="130" spans="2:17" s="144" customFormat="1" ht="18.600000000000001" customHeight="1">
      <c r="B130" s="127" t="s">
        <v>2192</v>
      </c>
      <c r="C130" s="133">
        <v>125</v>
      </c>
      <c r="D130" s="180" t="s">
        <v>2304</v>
      </c>
      <c r="E130" s="181" t="s">
        <v>2305</v>
      </c>
      <c r="F130" s="181" t="s">
        <v>3381</v>
      </c>
      <c r="G130" s="181" t="s">
        <v>2355</v>
      </c>
      <c r="H130" s="181" t="s">
        <v>2362</v>
      </c>
      <c r="I130" s="182" t="s">
        <v>2363</v>
      </c>
      <c r="J130" s="137"/>
      <c r="K130" s="152" t="s">
        <v>1226</v>
      </c>
      <c r="L130" s="139">
        <f t="shared" si="4"/>
        <v>3.9</v>
      </c>
      <c r="M130" s="140">
        <f t="shared" si="3"/>
        <v>1</v>
      </c>
      <c r="N130" s="141">
        <f t="shared" si="5"/>
        <v>3.9</v>
      </c>
      <c r="O130" s="259" t="s">
        <v>1156</v>
      </c>
      <c r="P130" s="143" t="s">
        <v>1780</v>
      </c>
      <c r="Q130" s="264"/>
    </row>
    <row r="131" spans="2:17" s="144" customFormat="1" ht="18.600000000000001" customHeight="1">
      <c r="B131" s="127" t="s">
        <v>2192</v>
      </c>
      <c r="C131" s="133">
        <v>126</v>
      </c>
      <c r="D131" s="180" t="s">
        <v>2304</v>
      </c>
      <c r="E131" s="181" t="s">
        <v>2305</v>
      </c>
      <c r="F131" s="181" t="s">
        <v>3382</v>
      </c>
      <c r="G131" s="181" t="s">
        <v>2355</v>
      </c>
      <c r="H131" s="181" t="s">
        <v>2364</v>
      </c>
      <c r="I131" s="182" t="s">
        <v>2365</v>
      </c>
      <c r="J131" s="137"/>
      <c r="K131" s="152" t="s">
        <v>1188</v>
      </c>
      <c r="L131" s="139">
        <f t="shared" si="4"/>
        <v>4</v>
      </c>
      <c r="M131" s="140">
        <f t="shared" si="3"/>
        <v>1</v>
      </c>
      <c r="N131" s="141">
        <f t="shared" si="5"/>
        <v>4</v>
      </c>
      <c r="O131" s="259" t="s">
        <v>1156</v>
      </c>
      <c r="P131" s="143" t="s">
        <v>1780</v>
      </c>
      <c r="Q131" s="264"/>
    </row>
    <row r="132" spans="2:17" s="144" customFormat="1" ht="18.600000000000001" customHeight="1">
      <c r="B132" s="127" t="s">
        <v>2192</v>
      </c>
      <c r="C132" s="133">
        <v>127</v>
      </c>
      <c r="D132" s="180" t="s">
        <v>2304</v>
      </c>
      <c r="E132" s="181" t="s">
        <v>2305</v>
      </c>
      <c r="F132" s="181" t="s">
        <v>3383</v>
      </c>
      <c r="G132" s="181" t="s">
        <v>2355</v>
      </c>
      <c r="H132" s="181" t="s">
        <v>2366</v>
      </c>
      <c r="I132" s="182" t="s">
        <v>2367</v>
      </c>
      <c r="J132" s="137"/>
      <c r="K132" s="152" t="s">
        <v>1188</v>
      </c>
      <c r="L132" s="139">
        <f t="shared" si="4"/>
        <v>4</v>
      </c>
      <c r="M132" s="140">
        <f t="shared" si="3"/>
        <v>1</v>
      </c>
      <c r="N132" s="141">
        <f t="shared" si="5"/>
        <v>4</v>
      </c>
      <c r="O132" s="259" t="s">
        <v>1156</v>
      </c>
      <c r="P132" s="143" t="s">
        <v>1780</v>
      </c>
      <c r="Q132" s="264"/>
    </row>
    <row r="133" spans="2:17" s="144" customFormat="1" ht="18.600000000000001" customHeight="1">
      <c r="B133" s="127" t="s">
        <v>2192</v>
      </c>
      <c r="C133" s="133">
        <v>128</v>
      </c>
      <c r="D133" s="180" t="s">
        <v>2304</v>
      </c>
      <c r="E133" s="181" t="s">
        <v>2305</v>
      </c>
      <c r="F133" s="181" t="s">
        <v>3384</v>
      </c>
      <c r="G133" s="181" t="s">
        <v>2368</v>
      </c>
      <c r="H133" s="181" t="s">
        <v>2369</v>
      </c>
      <c r="I133" s="182" t="s">
        <v>2370</v>
      </c>
      <c r="J133" s="137"/>
      <c r="K133" s="138" t="s">
        <v>1155</v>
      </c>
      <c r="L133" s="139">
        <f t="shared" si="4"/>
        <v>7.5</v>
      </c>
      <c r="M133" s="140">
        <f t="shared" si="3"/>
        <v>1</v>
      </c>
      <c r="N133" s="141">
        <f t="shared" si="5"/>
        <v>7.5</v>
      </c>
      <c r="O133" s="259" t="s">
        <v>1156</v>
      </c>
      <c r="P133" s="143" t="s">
        <v>1780</v>
      </c>
      <c r="Q133" s="264"/>
    </row>
    <row r="134" spans="2:17" s="144" customFormat="1" ht="18.600000000000001" customHeight="1">
      <c r="B134" s="127" t="s">
        <v>2192</v>
      </c>
      <c r="C134" s="133">
        <v>129</v>
      </c>
      <c r="D134" s="180" t="s">
        <v>2304</v>
      </c>
      <c r="E134" s="181" t="s">
        <v>2305</v>
      </c>
      <c r="F134" s="181" t="s">
        <v>3385</v>
      </c>
      <c r="G134" s="181" t="s">
        <v>2368</v>
      </c>
      <c r="H134" s="181" t="s">
        <v>2371</v>
      </c>
      <c r="I134" s="182" t="s">
        <v>2372</v>
      </c>
      <c r="J134" s="137"/>
      <c r="K134" s="152" t="s">
        <v>1226</v>
      </c>
      <c r="L134" s="139">
        <f t="shared" si="4"/>
        <v>3.9</v>
      </c>
      <c r="M134" s="140">
        <f t="shared" ref="M134:M197" si="6">IF(O134="","",IF(O134="신규",1,IF(O134="고도화",1.04,IF(O134="재사용",0.25))))</f>
        <v>1</v>
      </c>
      <c r="N134" s="141">
        <f t="shared" si="5"/>
        <v>3.9</v>
      </c>
      <c r="O134" s="259" t="s">
        <v>1156</v>
      </c>
      <c r="P134" s="143" t="s">
        <v>1780</v>
      </c>
      <c r="Q134" s="264"/>
    </row>
    <row r="135" spans="2:17" s="144" customFormat="1" ht="18.600000000000001" customHeight="1">
      <c r="B135" s="127" t="s">
        <v>2192</v>
      </c>
      <c r="C135" s="133">
        <v>130</v>
      </c>
      <c r="D135" s="180" t="s">
        <v>2304</v>
      </c>
      <c r="E135" s="181" t="s">
        <v>2305</v>
      </c>
      <c r="F135" s="181" t="s">
        <v>3386</v>
      </c>
      <c r="G135" s="181" t="s">
        <v>2368</v>
      </c>
      <c r="H135" s="181" t="s">
        <v>2373</v>
      </c>
      <c r="I135" s="182" t="s">
        <v>2374</v>
      </c>
      <c r="J135" s="137"/>
      <c r="K135" s="138" t="s">
        <v>1170</v>
      </c>
      <c r="L135" s="139">
        <f t="shared" ref="L135:L198" si="7">IF(K135="","",IF(K135="EI",4,IF(K135="EO",5.2,IF(K135="EQ",3.9,IF(K135="ILF",7.5,IF(K135="EIF",5.4))))))</f>
        <v>5.2</v>
      </c>
      <c r="M135" s="140">
        <f t="shared" si="6"/>
        <v>1</v>
      </c>
      <c r="N135" s="141">
        <f t="shared" ref="N135:N198" si="8">L135*M135</f>
        <v>5.2</v>
      </c>
      <c r="O135" s="259" t="s">
        <v>1156</v>
      </c>
      <c r="P135" s="143" t="s">
        <v>1780</v>
      </c>
      <c r="Q135" s="264"/>
    </row>
    <row r="136" spans="2:17" s="144" customFormat="1" ht="18.600000000000001" customHeight="1">
      <c r="B136" s="127" t="s">
        <v>2192</v>
      </c>
      <c r="C136" s="133">
        <v>131</v>
      </c>
      <c r="D136" s="180" t="s">
        <v>2304</v>
      </c>
      <c r="E136" s="181" t="s">
        <v>2305</v>
      </c>
      <c r="F136" s="181" t="s">
        <v>3387</v>
      </c>
      <c r="G136" s="181" t="s">
        <v>2368</v>
      </c>
      <c r="H136" s="181" t="s">
        <v>2375</v>
      </c>
      <c r="I136" s="182" t="s">
        <v>2376</v>
      </c>
      <c r="J136" s="137"/>
      <c r="K136" s="138" t="s">
        <v>1170</v>
      </c>
      <c r="L136" s="139">
        <f t="shared" si="7"/>
        <v>5.2</v>
      </c>
      <c r="M136" s="140">
        <f t="shared" si="6"/>
        <v>1</v>
      </c>
      <c r="N136" s="141">
        <f t="shared" si="8"/>
        <v>5.2</v>
      </c>
      <c r="O136" s="259" t="s">
        <v>1156</v>
      </c>
      <c r="P136" s="143" t="s">
        <v>1780</v>
      </c>
      <c r="Q136" s="264"/>
    </row>
    <row r="137" spans="2:17" s="144" customFormat="1" ht="18.600000000000001" customHeight="1">
      <c r="B137" s="127" t="s">
        <v>2192</v>
      </c>
      <c r="C137" s="133">
        <v>132</v>
      </c>
      <c r="D137" s="180" t="s">
        <v>2304</v>
      </c>
      <c r="E137" s="181" t="s">
        <v>2305</v>
      </c>
      <c r="F137" s="181" t="s">
        <v>3388</v>
      </c>
      <c r="G137" s="181" t="s">
        <v>2368</v>
      </c>
      <c r="H137" s="181" t="s">
        <v>2377</v>
      </c>
      <c r="I137" s="182" t="s">
        <v>2378</v>
      </c>
      <c r="J137" s="137"/>
      <c r="K137" s="138" t="s">
        <v>1170</v>
      </c>
      <c r="L137" s="139">
        <f t="shared" si="7"/>
        <v>5.2</v>
      </c>
      <c r="M137" s="140">
        <f t="shared" si="6"/>
        <v>1</v>
      </c>
      <c r="N137" s="141">
        <f t="shared" si="8"/>
        <v>5.2</v>
      </c>
      <c r="O137" s="259" t="s">
        <v>1156</v>
      </c>
      <c r="P137" s="143" t="s">
        <v>1780</v>
      </c>
      <c r="Q137" s="264"/>
    </row>
    <row r="138" spans="2:17" s="144" customFormat="1" ht="18.600000000000001" customHeight="1">
      <c r="B138" s="127" t="s">
        <v>2192</v>
      </c>
      <c r="C138" s="133">
        <v>133</v>
      </c>
      <c r="D138" s="180" t="s">
        <v>2304</v>
      </c>
      <c r="E138" s="181" t="s">
        <v>2305</v>
      </c>
      <c r="F138" s="181" t="s">
        <v>3389</v>
      </c>
      <c r="G138" s="181" t="s">
        <v>2379</v>
      </c>
      <c r="H138" s="181" t="s">
        <v>2380</v>
      </c>
      <c r="I138" s="182" t="s">
        <v>2380</v>
      </c>
      <c r="J138" s="137"/>
      <c r="K138" s="138" t="s">
        <v>1155</v>
      </c>
      <c r="L138" s="139">
        <f t="shared" si="7"/>
        <v>7.5</v>
      </c>
      <c r="M138" s="140">
        <f t="shared" si="6"/>
        <v>1</v>
      </c>
      <c r="N138" s="141">
        <f t="shared" si="8"/>
        <v>7.5</v>
      </c>
      <c r="O138" s="259" t="s">
        <v>1156</v>
      </c>
      <c r="P138" s="143" t="s">
        <v>1780</v>
      </c>
      <c r="Q138" s="264"/>
    </row>
    <row r="139" spans="2:17" s="144" customFormat="1" ht="18.600000000000001" customHeight="1">
      <c r="B139" s="127" t="s">
        <v>2192</v>
      </c>
      <c r="C139" s="133">
        <v>134</v>
      </c>
      <c r="D139" s="180" t="s">
        <v>2304</v>
      </c>
      <c r="E139" s="181" t="s">
        <v>2305</v>
      </c>
      <c r="F139" s="181" t="s">
        <v>3390</v>
      </c>
      <c r="G139" s="181" t="s">
        <v>2379</v>
      </c>
      <c r="H139" s="181" t="s">
        <v>2381</v>
      </c>
      <c r="I139" s="182" t="s">
        <v>2382</v>
      </c>
      <c r="J139" s="137"/>
      <c r="K139" s="152" t="s">
        <v>1226</v>
      </c>
      <c r="L139" s="139">
        <f t="shared" si="7"/>
        <v>3.9</v>
      </c>
      <c r="M139" s="140">
        <f t="shared" si="6"/>
        <v>1</v>
      </c>
      <c r="N139" s="141">
        <f t="shared" si="8"/>
        <v>3.9</v>
      </c>
      <c r="O139" s="259" t="s">
        <v>1156</v>
      </c>
      <c r="P139" s="143" t="s">
        <v>1780</v>
      </c>
      <c r="Q139" s="264"/>
    </row>
    <row r="140" spans="2:17" s="144" customFormat="1" ht="18.600000000000001" customHeight="1">
      <c r="B140" s="127" t="s">
        <v>2192</v>
      </c>
      <c r="C140" s="133">
        <v>135</v>
      </c>
      <c r="D140" s="180" t="s">
        <v>2304</v>
      </c>
      <c r="E140" s="181" t="s">
        <v>2305</v>
      </c>
      <c r="F140" s="181" t="s">
        <v>3391</v>
      </c>
      <c r="G140" s="181" t="s">
        <v>2379</v>
      </c>
      <c r="H140" s="181" t="s">
        <v>2383</v>
      </c>
      <c r="I140" s="182" t="s">
        <v>2384</v>
      </c>
      <c r="J140" s="137"/>
      <c r="K140" s="138" t="s">
        <v>1170</v>
      </c>
      <c r="L140" s="139">
        <f t="shared" si="7"/>
        <v>5.2</v>
      </c>
      <c r="M140" s="140">
        <f t="shared" si="6"/>
        <v>1</v>
      </c>
      <c r="N140" s="141">
        <f t="shared" si="8"/>
        <v>5.2</v>
      </c>
      <c r="O140" s="259" t="s">
        <v>1156</v>
      </c>
      <c r="P140" s="143" t="s">
        <v>1780</v>
      </c>
      <c r="Q140" s="264"/>
    </row>
    <row r="141" spans="2:17" s="144" customFormat="1" ht="18.600000000000001" customHeight="1">
      <c r="B141" s="127" t="s">
        <v>2192</v>
      </c>
      <c r="C141" s="133">
        <v>136</v>
      </c>
      <c r="D141" s="180" t="s">
        <v>2304</v>
      </c>
      <c r="E141" s="181" t="s">
        <v>2305</v>
      </c>
      <c r="F141" s="181" t="s">
        <v>3392</v>
      </c>
      <c r="G141" s="181" t="s">
        <v>2379</v>
      </c>
      <c r="H141" s="181" t="s">
        <v>2385</v>
      </c>
      <c r="I141" s="182" t="s">
        <v>2386</v>
      </c>
      <c r="J141" s="137"/>
      <c r="K141" s="138" t="s">
        <v>1170</v>
      </c>
      <c r="L141" s="139">
        <f t="shared" si="7"/>
        <v>5.2</v>
      </c>
      <c r="M141" s="140">
        <f t="shared" si="6"/>
        <v>1</v>
      </c>
      <c r="N141" s="141">
        <f t="shared" si="8"/>
        <v>5.2</v>
      </c>
      <c r="O141" s="259" t="s">
        <v>1156</v>
      </c>
      <c r="P141" s="143" t="s">
        <v>1780</v>
      </c>
      <c r="Q141" s="264"/>
    </row>
    <row r="142" spans="2:17" s="144" customFormat="1" ht="54">
      <c r="B142" s="127" t="s">
        <v>2192</v>
      </c>
      <c r="C142" s="267">
        <v>137</v>
      </c>
      <c r="D142" s="276" t="s">
        <v>2304</v>
      </c>
      <c r="E142" s="269" t="s">
        <v>2387</v>
      </c>
      <c r="F142" s="269" t="s">
        <v>3393</v>
      </c>
      <c r="G142" s="269" t="s">
        <v>2388</v>
      </c>
      <c r="H142" s="269" t="s">
        <v>2389</v>
      </c>
      <c r="I142" s="277" t="s">
        <v>2390</v>
      </c>
      <c r="J142" s="137"/>
      <c r="K142" s="138" t="s">
        <v>1170</v>
      </c>
      <c r="L142" s="139">
        <f t="shared" si="7"/>
        <v>5.2</v>
      </c>
      <c r="M142" s="140">
        <f t="shared" si="6"/>
        <v>1</v>
      </c>
      <c r="N142" s="141">
        <f t="shared" si="8"/>
        <v>5.2</v>
      </c>
      <c r="O142" s="259" t="s">
        <v>1156</v>
      </c>
      <c r="P142" s="143" t="s">
        <v>1780</v>
      </c>
      <c r="Q142" s="264"/>
    </row>
    <row r="143" spans="2:17" s="144" customFormat="1" ht="54">
      <c r="B143" s="127" t="s">
        <v>2192</v>
      </c>
      <c r="C143" s="267">
        <v>138</v>
      </c>
      <c r="D143" s="276" t="s">
        <v>2304</v>
      </c>
      <c r="E143" s="269" t="s">
        <v>2387</v>
      </c>
      <c r="F143" s="269" t="s">
        <v>3394</v>
      </c>
      <c r="G143" s="269" t="s">
        <v>2388</v>
      </c>
      <c r="H143" s="269" t="s">
        <v>2391</v>
      </c>
      <c r="I143" s="277" t="s">
        <v>2392</v>
      </c>
      <c r="J143" s="137"/>
      <c r="K143" s="152" t="s">
        <v>1226</v>
      </c>
      <c r="L143" s="139">
        <f t="shared" si="7"/>
        <v>3.9</v>
      </c>
      <c r="M143" s="140">
        <f t="shared" si="6"/>
        <v>1</v>
      </c>
      <c r="N143" s="141">
        <f t="shared" si="8"/>
        <v>3.9</v>
      </c>
      <c r="O143" s="259" t="s">
        <v>1156</v>
      </c>
      <c r="P143" s="143" t="s">
        <v>1780</v>
      </c>
      <c r="Q143" s="264"/>
    </row>
    <row r="144" spans="2:17" s="144" customFormat="1" ht="54">
      <c r="B144" s="127" t="s">
        <v>2192</v>
      </c>
      <c r="C144" s="267">
        <v>139</v>
      </c>
      <c r="D144" s="276" t="s">
        <v>2304</v>
      </c>
      <c r="E144" s="269" t="s">
        <v>2387</v>
      </c>
      <c r="F144" s="269" t="s">
        <v>3395</v>
      </c>
      <c r="G144" s="269" t="s">
        <v>2388</v>
      </c>
      <c r="H144" s="269" t="s">
        <v>2393</v>
      </c>
      <c r="I144" s="277" t="s">
        <v>2394</v>
      </c>
      <c r="J144" s="137"/>
      <c r="K144" s="138" t="s">
        <v>1170</v>
      </c>
      <c r="L144" s="139">
        <f t="shared" si="7"/>
        <v>5.2</v>
      </c>
      <c r="M144" s="140">
        <f t="shared" si="6"/>
        <v>1</v>
      </c>
      <c r="N144" s="141">
        <f t="shared" si="8"/>
        <v>5.2</v>
      </c>
      <c r="O144" s="259" t="s">
        <v>1156</v>
      </c>
      <c r="P144" s="143" t="s">
        <v>1780</v>
      </c>
      <c r="Q144" s="264"/>
    </row>
    <row r="145" spans="2:17" s="144" customFormat="1" ht="54">
      <c r="B145" s="127" t="s">
        <v>2192</v>
      </c>
      <c r="C145" s="267">
        <v>140</v>
      </c>
      <c r="D145" s="276" t="s">
        <v>2304</v>
      </c>
      <c r="E145" s="269" t="s">
        <v>2387</v>
      </c>
      <c r="F145" s="269" t="s">
        <v>3396</v>
      </c>
      <c r="G145" s="269" t="s">
        <v>2388</v>
      </c>
      <c r="H145" s="269" t="s">
        <v>2395</v>
      </c>
      <c r="I145" s="277" t="s">
        <v>2396</v>
      </c>
      <c r="J145" s="137"/>
      <c r="K145" s="138" t="s">
        <v>1170</v>
      </c>
      <c r="L145" s="139">
        <f t="shared" si="7"/>
        <v>5.2</v>
      </c>
      <c r="M145" s="140">
        <f t="shared" si="6"/>
        <v>1</v>
      </c>
      <c r="N145" s="141">
        <f t="shared" si="8"/>
        <v>5.2</v>
      </c>
      <c r="O145" s="259" t="s">
        <v>1156</v>
      </c>
      <c r="P145" s="143" t="s">
        <v>1780</v>
      </c>
      <c r="Q145" s="264"/>
    </row>
    <row r="146" spans="2:17" s="144" customFormat="1" ht="54">
      <c r="B146" s="127" t="s">
        <v>2192</v>
      </c>
      <c r="C146" s="267">
        <v>141</v>
      </c>
      <c r="D146" s="276" t="s">
        <v>2304</v>
      </c>
      <c r="E146" s="269" t="s">
        <v>2387</v>
      </c>
      <c r="F146" s="269" t="s">
        <v>3397</v>
      </c>
      <c r="G146" s="269" t="s">
        <v>2388</v>
      </c>
      <c r="H146" s="269" t="s">
        <v>2397</v>
      </c>
      <c r="I146" s="277" t="s">
        <v>2398</v>
      </c>
      <c r="J146" s="137"/>
      <c r="K146" s="138" t="s">
        <v>1170</v>
      </c>
      <c r="L146" s="139">
        <f t="shared" si="7"/>
        <v>5.2</v>
      </c>
      <c r="M146" s="140">
        <f t="shared" si="6"/>
        <v>1</v>
      </c>
      <c r="N146" s="141">
        <f t="shared" si="8"/>
        <v>5.2</v>
      </c>
      <c r="O146" s="259" t="s">
        <v>1156</v>
      </c>
      <c r="P146" s="143" t="s">
        <v>1780</v>
      </c>
      <c r="Q146" s="264"/>
    </row>
    <row r="147" spans="2:17" s="144" customFormat="1">
      <c r="B147" s="127" t="s">
        <v>2192</v>
      </c>
      <c r="C147" s="133">
        <v>142</v>
      </c>
      <c r="D147" s="180" t="s">
        <v>2304</v>
      </c>
      <c r="E147" s="181" t="s">
        <v>2387</v>
      </c>
      <c r="F147" s="181" t="s">
        <v>3398</v>
      </c>
      <c r="G147" s="181" t="s">
        <v>2399</v>
      </c>
      <c r="H147" s="181" t="s">
        <v>2400</v>
      </c>
      <c r="I147" s="182" t="s">
        <v>2401</v>
      </c>
      <c r="J147" s="137"/>
      <c r="K147" s="138" t="s">
        <v>1170</v>
      </c>
      <c r="L147" s="139">
        <f t="shared" si="7"/>
        <v>5.2</v>
      </c>
      <c r="M147" s="140">
        <f t="shared" si="6"/>
        <v>1</v>
      </c>
      <c r="N147" s="141">
        <f t="shared" si="8"/>
        <v>5.2</v>
      </c>
      <c r="O147" s="259" t="s">
        <v>1156</v>
      </c>
      <c r="P147" s="143" t="s">
        <v>1780</v>
      </c>
      <c r="Q147" s="264"/>
    </row>
    <row r="148" spans="2:17" s="144" customFormat="1" ht="18.600000000000001" customHeight="1">
      <c r="B148" s="127" t="s">
        <v>2192</v>
      </c>
      <c r="C148" s="133">
        <v>143</v>
      </c>
      <c r="D148" s="180" t="s">
        <v>2304</v>
      </c>
      <c r="E148" s="181" t="s">
        <v>2387</v>
      </c>
      <c r="F148" s="181" t="s">
        <v>3399</v>
      </c>
      <c r="G148" s="181" t="s">
        <v>2399</v>
      </c>
      <c r="H148" s="181" t="s">
        <v>2402</v>
      </c>
      <c r="I148" s="182" t="s">
        <v>2403</v>
      </c>
      <c r="J148" s="137"/>
      <c r="K148" s="138" t="s">
        <v>1170</v>
      </c>
      <c r="L148" s="139">
        <f t="shared" si="7"/>
        <v>5.2</v>
      </c>
      <c r="M148" s="140">
        <f t="shared" si="6"/>
        <v>1</v>
      </c>
      <c r="N148" s="141">
        <f t="shared" si="8"/>
        <v>5.2</v>
      </c>
      <c r="O148" s="259" t="s">
        <v>1156</v>
      </c>
      <c r="P148" s="143" t="s">
        <v>1780</v>
      </c>
      <c r="Q148" s="264"/>
    </row>
    <row r="149" spans="2:17" s="144" customFormat="1" ht="27">
      <c r="B149" s="127" t="s">
        <v>2192</v>
      </c>
      <c r="C149" s="133">
        <v>144</v>
      </c>
      <c r="D149" s="180" t="s">
        <v>2304</v>
      </c>
      <c r="E149" s="181" t="s">
        <v>2387</v>
      </c>
      <c r="F149" s="181" t="s">
        <v>3400</v>
      </c>
      <c r="G149" s="181" t="s">
        <v>2404</v>
      </c>
      <c r="H149" s="181" t="s">
        <v>2405</v>
      </c>
      <c r="I149" s="182" t="s">
        <v>2406</v>
      </c>
      <c r="J149" s="137"/>
      <c r="K149" s="138" t="s">
        <v>1170</v>
      </c>
      <c r="L149" s="139">
        <f t="shared" si="7"/>
        <v>5.2</v>
      </c>
      <c r="M149" s="140">
        <f t="shared" si="6"/>
        <v>1</v>
      </c>
      <c r="N149" s="141">
        <f t="shared" si="8"/>
        <v>5.2</v>
      </c>
      <c r="O149" s="259" t="s">
        <v>1156</v>
      </c>
      <c r="P149" s="143" t="s">
        <v>1780</v>
      </c>
      <c r="Q149" s="264"/>
    </row>
    <row r="150" spans="2:17" s="144" customFormat="1" ht="27">
      <c r="B150" s="127" t="s">
        <v>2192</v>
      </c>
      <c r="C150" s="133">
        <v>145</v>
      </c>
      <c r="D150" s="180" t="s">
        <v>2304</v>
      </c>
      <c r="E150" s="181" t="s">
        <v>2387</v>
      </c>
      <c r="F150" s="181" t="s">
        <v>3401</v>
      </c>
      <c r="G150" s="181" t="s">
        <v>2404</v>
      </c>
      <c r="H150" s="181" t="s">
        <v>2407</v>
      </c>
      <c r="I150" s="182" t="s">
        <v>2408</v>
      </c>
      <c r="J150" s="137"/>
      <c r="K150" s="138" t="s">
        <v>1170</v>
      </c>
      <c r="L150" s="139">
        <f t="shared" si="7"/>
        <v>5.2</v>
      </c>
      <c r="M150" s="140">
        <f t="shared" si="6"/>
        <v>1</v>
      </c>
      <c r="N150" s="141">
        <f t="shared" si="8"/>
        <v>5.2</v>
      </c>
      <c r="O150" s="259" t="s">
        <v>1156</v>
      </c>
      <c r="P150" s="143" t="s">
        <v>1780</v>
      </c>
      <c r="Q150" s="264"/>
    </row>
    <row r="151" spans="2:17" s="144" customFormat="1">
      <c r="B151" s="127" t="s">
        <v>2192</v>
      </c>
      <c r="C151" s="133">
        <v>146</v>
      </c>
      <c r="D151" s="180" t="s">
        <v>2304</v>
      </c>
      <c r="E151" s="181" t="s">
        <v>2387</v>
      </c>
      <c r="F151" s="181" t="s">
        <v>3402</v>
      </c>
      <c r="G151" s="181" t="s">
        <v>2404</v>
      </c>
      <c r="H151" s="181" t="s">
        <v>2409</v>
      </c>
      <c r="I151" s="182" t="s">
        <v>2410</v>
      </c>
      <c r="J151" s="137"/>
      <c r="K151" s="152" t="s">
        <v>1188</v>
      </c>
      <c r="L151" s="139">
        <f t="shared" si="7"/>
        <v>4</v>
      </c>
      <c r="M151" s="140">
        <f t="shared" si="6"/>
        <v>1</v>
      </c>
      <c r="N151" s="141">
        <f t="shared" si="8"/>
        <v>4</v>
      </c>
      <c r="O151" s="259" t="s">
        <v>1156</v>
      </c>
      <c r="P151" s="143" t="s">
        <v>1780</v>
      </c>
      <c r="Q151" s="264"/>
    </row>
    <row r="152" spans="2:17" s="144" customFormat="1" ht="18.600000000000001" customHeight="1">
      <c r="B152" s="127" t="s">
        <v>2192</v>
      </c>
      <c r="C152" s="133">
        <v>147</v>
      </c>
      <c r="D152" s="180" t="s">
        <v>2304</v>
      </c>
      <c r="E152" s="181" t="s">
        <v>2387</v>
      </c>
      <c r="F152" s="181" t="s">
        <v>3403</v>
      </c>
      <c r="G152" s="181" t="s">
        <v>2404</v>
      </c>
      <c r="H152" s="181" t="s">
        <v>2411</v>
      </c>
      <c r="I152" s="182" t="s">
        <v>2412</v>
      </c>
      <c r="J152" s="137"/>
      <c r="K152" s="138" t="s">
        <v>1170</v>
      </c>
      <c r="L152" s="139">
        <f t="shared" si="7"/>
        <v>5.2</v>
      </c>
      <c r="M152" s="140">
        <f t="shared" si="6"/>
        <v>1</v>
      </c>
      <c r="N152" s="141">
        <f t="shared" si="8"/>
        <v>5.2</v>
      </c>
      <c r="O152" s="259" t="s">
        <v>1156</v>
      </c>
      <c r="P152" s="143" t="s">
        <v>1780</v>
      </c>
      <c r="Q152" s="264"/>
    </row>
    <row r="153" spans="2:17" s="144" customFormat="1" ht="18.600000000000001" customHeight="1">
      <c r="B153" s="127" t="s">
        <v>2192</v>
      </c>
      <c r="C153" s="133">
        <v>148</v>
      </c>
      <c r="D153" s="180" t="s">
        <v>2304</v>
      </c>
      <c r="E153" s="181" t="s">
        <v>2387</v>
      </c>
      <c r="F153" s="181" t="s">
        <v>3404</v>
      </c>
      <c r="G153" s="181" t="s">
        <v>2404</v>
      </c>
      <c r="H153" s="181" t="s">
        <v>2413</v>
      </c>
      <c r="I153" s="182" t="s">
        <v>2414</v>
      </c>
      <c r="J153" s="137"/>
      <c r="K153" s="152" t="s">
        <v>1226</v>
      </c>
      <c r="L153" s="139">
        <f t="shared" si="7"/>
        <v>3.9</v>
      </c>
      <c r="M153" s="140">
        <f t="shared" si="6"/>
        <v>1</v>
      </c>
      <c r="N153" s="141">
        <f t="shared" si="8"/>
        <v>3.9</v>
      </c>
      <c r="O153" s="259" t="s">
        <v>1156</v>
      </c>
      <c r="P153" s="143" t="s">
        <v>1780</v>
      </c>
      <c r="Q153" s="264"/>
    </row>
    <row r="154" spans="2:17" s="144" customFormat="1" ht="18.600000000000001" customHeight="1">
      <c r="B154" s="127" t="s">
        <v>2192</v>
      </c>
      <c r="C154" s="133">
        <v>149</v>
      </c>
      <c r="D154" s="180" t="s">
        <v>2304</v>
      </c>
      <c r="E154" s="181" t="s">
        <v>2387</v>
      </c>
      <c r="F154" s="181" t="s">
        <v>3405</v>
      </c>
      <c r="G154" s="181" t="s">
        <v>2404</v>
      </c>
      <c r="H154" s="181" t="s">
        <v>2415</v>
      </c>
      <c r="I154" s="182" t="s">
        <v>2416</v>
      </c>
      <c r="J154" s="137"/>
      <c r="K154" s="146" t="s">
        <v>1607</v>
      </c>
      <c r="L154" s="139">
        <f t="shared" si="7"/>
        <v>5.4</v>
      </c>
      <c r="M154" s="140">
        <f t="shared" si="6"/>
        <v>1</v>
      </c>
      <c r="N154" s="141">
        <f t="shared" si="8"/>
        <v>5.4</v>
      </c>
      <c r="O154" s="259" t="s">
        <v>1156</v>
      </c>
      <c r="P154" s="143" t="s">
        <v>1780</v>
      </c>
      <c r="Q154" s="264"/>
    </row>
    <row r="155" spans="2:17" s="144" customFormat="1" ht="27">
      <c r="B155" s="127" t="s">
        <v>2192</v>
      </c>
      <c r="C155" s="133">
        <v>150</v>
      </c>
      <c r="D155" s="180" t="s">
        <v>2304</v>
      </c>
      <c r="E155" s="181" t="s">
        <v>2417</v>
      </c>
      <c r="F155" s="181" t="s">
        <v>3406</v>
      </c>
      <c r="G155" s="181" t="s">
        <v>2418</v>
      </c>
      <c r="H155" s="181" t="s">
        <v>2419</v>
      </c>
      <c r="I155" s="182" t="s">
        <v>2420</v>
      </c>
      <c r="J155" s="137"/>
      <c r="K155" s="138" t="s">
        <v>1155</v>
      </c>
      <c r="L155" s="139">
        <f t="shared" si="7"/>
        <v>7.5</v>
      </c>
      <c r="M155" s="140">
        <f t="shared" si="6"/>
        <v>1</v>
      </c>
      <c r="N155" s="141">
        <f t="shared" si="8"/>
        <v>7.5</v>
      </c>
      <c r="O155" s="259" t="s">
        <v>1156</v>
      </c>
      <c r="P155" s="143" t="s">
        <v>1780</v>
      </c>
      <c r="Q155" s="264"/>
    </row>
    <row r="156" spans="2:17" s="144" customFormat="1" ht="18.600000000000001" customHeight="1">
      <c r="B156" s="127" t="s">
        <v>2192</v>
      </c>
      <c r="C156" s="133">
        <v>151</v>
      </c>
      <c r="D156" s="180" t="s">
        <v>2304</v>
      </c>
      <c r="E156" s="181" t="s">
        <v>2417</v>
      </c>
      <c r="F156" s="181" t="s">
        <v>3407</v>
      </c>
      <c r="G156" s="181" t="s">
        <v>2418</v>
      </c>
      <c r="H156" s="181" t="s">
        <v>2421</v>
      </c>
      <c r="I156" s="182" t="s">
        <v>2422</v>
      </c>
      <c r="J156" s="137"/>
      <c r="K156" s="138" t="s">
        <v>1170</v>
      </c>
      <c r="L156" s="139">
        <f t="shared" si="7"/>
        <v>5.2</v>
      </c>
      <c r="M156" s="140">
        <f t="shared" si="6"/>
        <v>1</v>
      </c>
      <c r="N156" s="141">
        <f t="shared" si="8"/>
        <v>5.2</v>
      </c>
      <c r="O156" s="259" t="s">
        <v>1156</v>
      </c>
      <c r="P156" s="143" t="s">
        <v>1780</v>
      </c>
      <c r="Q156" s="264"/>
    </row>
    <row r="157" spans="2:17" s="144" customFormat="1" ht="18.600000000000001" customHeight="1">
      <c r="B157" s="127" t="s">
        <v>2192</v>
      </c>
      <c r="C157" s="133">
        <v>152</v>
      </c>
      <c r="D157" s="180" t="s">
        <v>2304</v>
      </c>
      <c r="E157" s="181" t="s">
        <v>2417</v>
      </c>
      <c r="F157" s="181" t="s">
        <v>3408</v>
      </c>
      <c r="G157" s="181" t="s">
        <v>2418</v>
      </c>
      <c r="H157" s="181" t="s">
        <v>2423</v>
      </c>
      <c r="I157" s="182" t="s">
        <v>2423</v>
      </c>
      <c r="J157" s="137"/>
      <c r="K157" s="138" t="s">
        <v>1170</v>
      </c>
      <c r="L157" s="139">
        <f t="shared" si="7"/>
        <v>5.2</v>
      </c>
      <c r="M157" s="140">
        <f t="shared" si="6"/>
        <v>1</v>
      </c>
      <c r="N157" s="141">
        <f t="shared" si="8"/>
        <v>5.2</v>
      </c>
      <c r="O157" s="259" t="s">
        <v>1156</v>
      </c>
      <c r="P157" s="143" t="s">
        <v>1780</v>
      </c>
      <c r="Q157" s="264"/>
    </row>
    <row r="158" spans="2:17" s="144" customFormat="1" ht="18.600000000000001" customHeight="1">
      <c r="B158" s="127" t="s">
        <v>2192</v>
      </c>
      <c r="C158" s="133">
        <v>153</v>
      </c>
      <c r="D158" s="180" t="s">
        <v>2304</v>
      </c>
      <c r="E158" s="181" t="s">
        <v>2417</v>
      </c>
      <c r="F158" s="181" t="s">
        <v>3409</v>
      </c>
      <c r="G158" s="181" t="s">
        <v>2418</v>
      </c>
      <c r="H158" s="181" t="s">
        <v>2424</v>
      </c>
      <c r="I158" s="182" t="s">
        <v>2424</v>
      </c>
      <c r="J158" s="137"/>
      <c r="K158" s="146" t="s">
        <v>1607</v>
      </c>
      <c r="L158" s="139">
        <f t="shared" si="7"/>
        <v>5.4</v>
      </c>
      <c r="M158" s="140">
        <f t="shared" si="6"/>
        <v>1</v>
      </c>
      <c r="N158" s="141">
        <f t="shared" si="8"/>
        <v>5.4</v>
      </c>
      <c r="O158" s="259" t="s">
        <v>1156</v>
      </c>
      <c r="P158" s="143" t="s">
        <v>1780</v>
      </c>
      <c r="Q158" s="264"/>
    </row>
    <row r="159" spans="2:17" s="144" customFormat="1" ht="18.600000000000001" customHeight="1">
      <c r="B159" s="127" t="s">
        <v>2192</v>
      </c>
      <c r="C159" s="133">
        <v>154</v>
      </c>
      <c r="D159" s="180" t="s">
        <v>2304</v>
      </c>
      <c r="E159" s="181" t="s">
        <v>2417</v>
      </c>
      <c r="F159" s="181" t="s">
        <v>3410</v>
      </c>
      <c r="G159" s="181" t="s">
        <v>2425</v>
      </c>
      <c r="H159" s="181" t="s">
        <v>2426</v>
      </c>
      <c r="I159" s="182" t="s">
        <v>2426</v>
      </c>
      <c r="J159" s="137"/>
      <c r="K159" s="152" t="s">
        <v>1226</v>
      </c>
      <c r="L159" s="139">
        <f t="shared" si="7"/>
        <v>3.9</v>
      </c>
      <c r="M159" s="140">
        <f t="shared" si="6"/>
        <v>1</v>
      </c>
      <c r="N159" s="141">
        <f t="shared" si="8"/>
        <v>3.9</v>
      </c>
      <c r="O159" s="259" t="s">
        <v>1156</v>
      </c>
      <c r="P159" s="143" t="s">
        <v>1780</v>
      </c>
      <c r="Q159" s="264"/>
    </row>
    <row r="160" spans="2:17" s="144" customFormat="1" ht="18.600000000000001" customHeight="1">
      <c r="B160" s="127" t="s">
        <v>2192</v>
      </c>
      <c r="C160" s="133">
        <v>155</v>
      </c>
      <c r="D160" s="180" t="s">
        <v>2304</v>
      </c>
      <c r="E160" s="181" t="s">
        <v>2417</v>
      </c>
      <c r="F160" s="181" t="s">
        <v>3411</v>
      </c>
      <c r="G160" s="181" t="s">
        <v>2425</v>
      </c>
      <c r="H160" s="181" t="s">
        <v>2427</v>
      </c>
      <c r="I160" s="182" t="s">
        <v>2427</v>
      </c>
      <c r="J160" s="137"/>
      <c r="K160" s="152" t="s">
        <v>1226</v>
      </c>
      <c r="L160" s="139">
        <f t="shared" si="7"/>
        <v>3.9</v>
      </c>
      <c r="M160" s="140">
        <f t="shared" si="6"/>
        <v>1</v>
      </c>
      <c r="N160" s="141">
        <f t="shared" si="8"/>
        <v>3.9</v>
      </c>
      <c r="O160" s="259" t="s">
        <v>1156</v>
      </c>
      <c r="P160" s="143" t="s">
        <v>1780</v>
      </c>
      <c r="Q160" s="264"/>
    </row>
    <row r="161" spans="2:17" s="144" customFormat="1" ht="18.600000000000001" customHeight="1">
      <c r="B161" s="127" t="s">
        <v>2192</v>
      </c>
      <c r="C161" s="133">
        <v>156</v>
      </c>
      <c r="D161" s="180" t="s">
        <v>2304</v>
      </c>
      <c r="E161" s="181" t="s">
        <v>2417</v>
      </c>
      <c r="F161" s="181" t="s">
        <v>3412</v>
      </c>
      <c r="G161" s="181" t="s">
        <v>2425</v>
      </c>
      <c r="H161" s="181" t="s">
        <v>2428</v>
      </c>
      <c r="I161" s="182" t="s">
        <v>2429</v>
      </c>
      <c r="J161" s="137"/>
      <c r="K161" s="138" t="s">
        <v>1170</v>
      </c>
      <c r="L161" s="139">
        <f t="shared" si="7"/>
        <v>5.2</v>
      </c>
      <c r="M161" s="140">
        <f t="shared" si="6"/>
        <v>1</v>
      </c>
      <c r="N161" s="141">
        <f t="shared" si="8"/>
        <v>5.2</v>
      </c>
      <c r="O161" s="259" t="s">
        <v>1156</v>
      </c>
      <c r="P161" s="143" t="s">
        <v>1780</v>
      </c>
      <c r="Q161" s="264"/>
    </row>
    <row r="162" spans="2:17" s="144" customFormat="1" ht="18.600000000000001" customHeight="1">
      <c r="B162" s="127" t="s">
        <v>2192</v>
      </c>
      <c r="C162" s="133">
        <v>157</v>
      </c>
      <c r="D162" s="180" t="s">
        <v>2304</v>
      </c>
      <c r="E162" s="181" t="s">
        <v>2417</v>
      </c>
      <c r="F162" s="181" t="s">
        <v>3413</v>
      </c>
      <c r="G162" s="181" t="s">
        <v>2425</v>
      </c>
      <c r="H162" s="181" t="s">
        <v>2430</v>
      </c>
      <c r="I162" s="182" t="s">
        <v>2431</v>
      </c>
      <c r="J162" s="137"/>
      <c r="K162" s="138" t="s">
        <v>1170</v>
      </c>
      <c r="L162" s="139">
        <f t="shared" si="7"/>
        <v>5.2</v>
      </c>
      <c r="M162" s="140">
        <f t="shared" si="6"/>
        <v>1</v>
      </c>
      <c r="N162" s="141">
        <f t="shared" si="8"/>
        <v>5.2</v>
      </c>
      <c r="O162" s="259" t="s">
        <v>1156</v>
      </c>
      <c r="P162" s="143" t="s">
        <v>1780</v>
      </c>
      <c r="Q162" s="264"/>
    </row>
    <row r="163" spans="2:17" s="144" customFormat="1" ht="18.600000000000001" customHeight="1">
      <c r="B163" s="127" t="s">
        <v>2192</v>
      </c>
      <c r="C163" s="133">
        <v>158</v>
      </c>
      <c r="D163" s="180" t="s">
        <v>2304</v>
      </c>
      <c r="E163" s="181" t="s">
        <v>2417</v>
      </c>
      <c r="F163" s="181" t="s">
        <v>3414</v>
      </c>
      <c r="G163" s="181" t="s">
        <v>2425</v>
      </c>
      <c r="H163" s="181" t="s">
        <v>2432</v>
      </c>
      <c r="I163" s="182" t="s">
        <v>2433</v>
      </c>
      <c r="J163" s="137"/>
      <c r="K163" s="138" t="s">
        <v>1170</v>
      </c>
      <c r="L163" s="139">
        <f t="shared" si="7"/>
        <v>5.2</v>
      </c>
      <c r="M163" s="140">
        <f t="shared" si="6"/>
        <v>1</v>
      </c>
      <c r="N163" s="141">
        <f t="shared" si="8"/>
        <v>5.2</v>
      </c>
      <c r="O163" s="259" t="s">
        <v>1156</v>
      </c>
      <c r="P163" s="143" t="s">
        <v>1780</v>
      </c>
      <c r="Q163" s="264"/>
    </row>
    <row r="164" spans="2:17" s="144" customFormat="1" ht="18.600000000000001" customHeight="1">
      <c r="B164" s="127" t="s">
        <v>2192</v>
      </c>
      <c r="C164" s="133">
        <v>159</v>
      </c>
      <c r="D164" s="180" t="s">
        <v>2304</v>
      </c>
      <c r="E164" s="181" t="s">
        <v>2417</v>
      </c>
      <c r="F164" s="181" t="s">
        <v>3415</v>
      </c>
      <c r="G164" s="181" t="s">
        <v>2425</v>
      </c>
      <c r="H164" s="181" t="s">
        <v>2434</v>
      </c>
      <c r="I164" s="182" t="s">
        <v>2434</v>
      </c>
      <c r="J164" s="137"/>
      <c r="K164" s="138" t="s">
        <v>1155</v>
      </c>
      <c r="L164" s="139">
        <f t="shared" si="7"/>
        <v>7.5</v>
      </c>
      <c r="M164" s="140">
        <f t="shared" si="6"/>
        <v>1</v>
      </c>
      <c r="N164" s="141">
        <f t="shared" si="8"/>
        <v>7.5</v>
      </c>
      <c r="O164" s="259" t="s">
        <v>1156</v>
      </c>
      <c r="P164" s="143" t="s">
        <v>1780</v>
      </c>
      <c r="Q164" s="264"/>
    </row>
    <row r="165" spans="2:17" s="144" customFormat="1" ht="18.600000000000001" customHeight="1">
      <c r="B165" s="127" t="s">
        <v>2192</v>
      </c>
      <c r="C165" s="133">
        <v>160</v>
      </c>
      <c r="D165" s="180" t="s">
        <v>2304</v>
      </c>
      <c r="E165" s="181" t="s">
        <v>2417</v>
      </c>
      <c r="F165" s="181" t="s">
        <v>3416</v>
      </c>
      <c r="G165" s="181" t="s">
        <v>2425</v>
      </c>
      <c r="H165" s="181" t="s">
        <v>2435</v>
      </c>
      <c r="I165" s="182" t="s">
        <v>2436</v>
      </c>
      <c r="J165" s="137"/>
      <c r="K165" s="152" t="s">
        <v>1226</v>
      </c>
      <c r="L165" s="139">
        <f t="shared" si="7"/>
        <v>3.9</v>
      </c>
      <c r="M165" s="140">
        <f t="shared" si="6"/>
        <v>1</v>
      </c>
      <c r="N165" s="141">
        <f t="shared" si="8"/>
        <v>3.9</v>
      </c>
      <c r="O165" s="259" t="s">
        <v>1156</v>
      </c>
      <c r="P165" s="143" t="s">
        <v>1780</v>
      </c>
      <c r="Q165" s="264"/>
    </row>
    <row r="166" spans="2:17" s="144" customFormat="1" ht="18.600000000000001" customHeight="1">
      <c r="B166" s="127" t="s">
        <v>2192</v>
      </c>
      <c r="C166" s="133">
        <v>161</v>
      </c>
      <c r="D166" s="180" t="s">
        <v>2304</v>
      </c>
      <c r="E166" s="181" t="s">
        <v>2417</v>
      </c>
      <c r="F166" s="181" t="s">
        <v>3417</v>
      </c>
      <c r="G166" s="181" t="s">
        <v>2425</v>
      </c>
      <c r="H166" s="181" t="s">
        <v>2437</v>
      </c>
      <c r="I166" s="182" t="s">
        <v>2438</v>
      </c>
      <c r="J166" s="137"/>
      <c r="K166" s="152" t="s">
        <v>1188</v>
      </c>
      <c r="L166" s="139">
        <f t="shared" si="7"/>
        <v>4</v>
      </c>
      <c r="M166" s="140">
        <f t="shared" si="6"/>
        <v>1</v>
      </c>
      <c r="N166" s="141">
        <f t="shared" si="8"/>
        <v>4</v>
      </c>
      <c r="O166" s="259" t="s">
        <v>1156</v>
      </c>
      <c r="P166" s="143" t="s">
        <v>1780</v>
      </c>
      <c r="Q166" s="264"/>
    </row>
    <row r="167" spans="2:17" s="144" customFormat="1" ht="18.600000000000001" customHeight="1">
      <c r="B167" s="127" t="s">
        <v>2192</v>
      </c>
      <c r="C167" s="133">
        <v>162</v>
      </c>
      <c r="D167" s="180" t="s">
        <v>2304</v>
      </c>
      <c r="E167" s="181" t="s">
        <v>2417</v>
      </c>
      <c r="F167" s="181" t="s">
        <v>3418</v>
      </c>
      <c r="G167" s="181" t="s">
        <v>2425</v>
      </c>
      <c r="H167" s="181" t="s">
        <v>2439</v>
      </c>
      <c r="I167" s="182" t="s">
        <v>2440</v>
      </c>
      <c r="J167" s="137"/>
      <c r="K167" s="152" t="s">
        <v>1188</v>
      </c>
      <c r="L167" s="139">
        <f t="shared" si="7"/>
        <v>4</v>
      </c>
      <c r="M167" s="140">
        <f t="shared" si="6"/>
        <v>1</v>
      </c>
      <c r="N167" s="141">
        <f t="shared" si="8"/>
        <v>4</v>
      </c>
      <c r="O167" s="259" t="s">
        <v>1156</v>
      </c>
      <c r="P167" s="143" t="s">
        <v>1780</v>
      </c>
      <c r="Q167" s="264"/>
    </row>
    <row r="168" spans="2:17" s="144" customFormat="1" ht="18.600000000000001" customHeight="1">
      <c r="B168" s="127" t="s">
        <v>2192</v>
      </c>
      <c r="C168" s="133">
        <v>163</v>
      </c>
      <c r="D168" s="180" t="s">
        <v>2304</v>
      </c>
      <c r="E168" s="181" t="s">
        <v>2417</v>
      </c>
      <c r="F168" s="181" t="s">
        <v>3419</v>
      </c>
      <c r="G168" s="181" t="s">
        <v>2425</v>
      </c>
      <c r="H168" s="181" t="s">
        <v>2441</v>
      </c>
      <c r="I168" s="182" t="s">
        <v>2441</v>
      </c>
      <c r="J168" s="137"/>
      <c r="K168" s="152" t="s">
        <v>1236</v>
      </c>
      <c r="L168" s="139">
        <f t="shared" si="7"/>
        <v>5.2</v>
      </c>
      <c r="M168" s="140">
        <f t="shared" si="6"/>
        <v>1</v>
      </c>
      <c r="N168" s="141">
        <f t="shared" si="8"/>
        <v>5.2</v>
      </c>
      <c r="O168" s="259" t="s">
        <v>1156</v>
      </c>
      <c r="P168" s="143" t="s">
        <v>1780</v>
      </c>
      <c r="Q168" s="264"/>
    </row>
    <row r="169" spans="2:17" s="144" customFormat="1" ht="18.600000000000001" customHeight="1">
      <c r="B169" s="127" t="s">
        <v>2192</v>
      </c>
      <c r="C169" s="133">
        <v>164</v>
      </c>
      <c r="D169" s="180" t="s">
        <v>2304</v>
      </c>
      <c r="E169" s="181" t="s">
        <v>2417</v>
      </c>
      <c r="F169" s="181" t="s">
        <v>3420</v>
      </c>
      <c r="G169" s="181" t="s">
        <v>2425</v>
      </c>
      <c r="H169" s="181" t="s">
        <v>2442</v>
      </c>
      <c r="I169" s="182" t="s">
        <v>2442</v>
      </c>
      <c r="J169" s="137"/>
      <c r="K169" s="152" t="s">
        <v>1236</v>
      </c>
      <c r="L169" s="139">
        <f t="shared" si="7"/>
        <v>5.2</v>
      </c>
      <c r="M169" s="140">
        <f t="shared" si="6"/>
        <v>1</v>
      </c>
      <c r="N169" s="141">
        <f t="shared" si="8"/>
        <v>5.2</v>
      </c>
      <c r="O169" s="259" t="s">
        <v>1156</v>
      </c>
      <c r="P169" s="143" t="s">
        <v>1780</v>
      </c>
      <c r="Q169" s="264"/>
    </row>
    <row r="170" spans="2:17" s="144" customFormat="1" ht="18.600000000000001" customHeight="1">
      <c r="B170" s="127" t="s">
        <v>2192</v>
      </c>
      <c r="C170" s="133">
        <v>165</v>
      </c>
      <c r="D170" s="180" t="s">
        <v>2304</v>
      </c>
      <c r="E170" s="181" t="s">
        <v>2417</v>
      </c>
      <c r="F170" s="181" t="s">
        <v>3421</v>
      </c>
      <c r="G170" s="181" t="s">
        <v>2425</v>
      </c>
      <c r="H170" s="181" t="s">
        <v>2443</v>
      </c>
      <c r="I170" s="182" t="s">
        <v>2443</v>
      </c>
      <c r="J170" s="137"/>
      <c r="K170" s="152" t="s">
        <v>1236</v>
      </c>
      <c r="L170" s="139">
        <f t="shared" si="7"/>
        <v>5.2</v>
      </c>
      <c r="M170" s="140">
        <f t="shared" si="6"/>
        <v>1</v>
      </c>
      <c r="N170" s="141">
        <f t="shared" si="8"/>
        <v>5.2</v>
      </c>
      <c r="O170" s="259" t="s">
        <v>1156</v>
      </c>
      <c r="P170" s="143" t="s">
        <v>1780</v>
      </c>
      <c r="Q170" s="264"/>
    </row>
    <row r="171" spans="2:17" s="144" customFormat="1" ht="18.600000000000001" customHeight="1">
      <c r="B171" s="127" t="s">
        <v>2192</v>
      </c>
      <c r="C171" s="133">
        <v>166</v>
      </c>
      <c r="D171" s="180" t="s">
        <v>2304</v>
      </c>
      <c r="E171" s="181" t="s">
        <v>2417</v>
      </c>
      <c r="F171" s="181" t="s">
        <v>3422</v>
      </c>
      <c r="G171" s="181" t="s">
        <v>2444</v>
      </c>
      <c r="H171" s="181" t="s">
        <v>2445</v>
      </c>
      <c r="I171" s="182" t="s">
        <v>2445</v>
      </c>
      <c r="J171" s="137"/>
      <c r="K171" s="152" t="s">
        <v>1226</v>
      </c>
      <c r="L171" s="139">
        <f t="shared" si="7"/>
        <v>3.9</v>
      </c>
      <c r="M171" s="140">
        <f t="shared" si="6"/>
        <v>1</v>
      </c>
      <c r="N171" s="141">
        <f t="shared" si="8"/>
        <v>3.9</v>
      </c>
      <c r="O171" s="259" t="s">
        <v>1156</v>
      </c>
      <c r="P171" s="143" t="s">
        <v>1780</v>
      </c>
      <c r="Q171" s="264"/>
    </row>
    <row r="172" spans="2:17" s="144" customFormat="1" ht="18.600000000000001" customHeight="1">
      <c r="B172" s="127" t="s">
        <v>2192</v>
      </c>
      <c r="C172" s="133">
        <v>167</v>
      </c>
      <c r="D172" s="180" t="s">
        <v>2304</v>
      </c>
      <c r="E172" s="181" t="s">
        <v>2417</v>
      </c>
      <c r="F172" s="181" t="s">
        <v>3423</v>
      </c>
      <c r="G172" s="181" t="s">
        <v>2444</v>
      </c>
      <c r="H172" s="181" t="s">
        <v>2446</v>
      </c>
      <c r="I172" s="182" t="s">
        <v>2446</v>
      </c>
      <c r="J172" s="137"/>
      <c r="K172" s="152" t="s">
        <v>1236</v>
      </c>
      <c r="L172" s="139">
        <f t="shared" si="7"/>
        <v>5.2</v>
      </c>
      <c r="M172" s="140">
        <f t="shared" si="6"/>
        <v>1</v>
      </c>
      <c r="N172" s="141">
        <f t="shared" si="8"/>
        <v>5.2</v>
      </c>
      <c r="O172" s="259" t="s">
        <v>1156</v>
      </c>
      <c r="P172" s="143" t="s">
        <v>1780</v>
      </c>
      <c r="Q172" s="264"/>
    </row>
    <row r="173" spans="2:17" s="144" customFormat="1" ht="18.600000000000001" customHeight="1">
      <c r="B173" s="127" t="s">
        <v>2192</v>
      </c>
      <c r="C173" s="133">
        <v>168</v>
      </c>
      <c r="D173" s="180" t="s">
        <v>2304</v>
      </c>
      <c r="E173" s="181" t="s">
        <v>2417</v>
      </c>
      <c r="F173" s="181" t="s">
        <v>3424</v>
      </c>
      <c r="G173" s="181" t="s">
        <v>2444</v>
      </c>
      <c r="H173" s="181" t="s">
        <v>2447</v>
      </c>
      <c r="I173" s="182" t="s">
        <v>2447</v>
      </c>
      <c r="J173" s="137"/>
      <c r="K173" s="152" t="s">
        <v>1236</v>
      </c>
      <c r="L173" s="139">
        <f t="shared" si="7"/>
        <v>5.2</v>
      </c>
      <c r="M173" s="140">
        <f t="shared" si="6"/>
        <v>1</v>
      </c>
      <c r="N173" s="141">
        <f t="shared" si="8"/>
        <v>5.2</v>
      </c>
      <c r="O173" s="259" t="s">
        <v>1156</v>
      </c>
      <c r="P173" s="143" t="s">
        <v>1780</v>
      </c>
      <c r="Q173" s="264"/>
    </row>
    <row r="174" spans="2:17" s="144" customFormat="1" ht="18.600000000000001" customHeight="1">
      <c r="B174" s="127" t="s">
        <v>2192</v>
      </c>
      <c r="C174" s="133">
        <v>169</v>
      </c>
      <c r="D174" s="180" t="s">
        <v>2304</v>
      </c>
      <c r="E174" s="181" t="s">
        <v>2417</v>
      </c>
      <c r="F174" s="181" t="s">
        <v>3425</v>
      </c>
      <c r="G174" s="181" t="s">
        <v>2444</v>
      </c>
      <c r="H174" s="181" t="s">
        <v>2448</v>
      </c>
      <c r="I174" s="182" t="s">
        <v>2448</v>
      </c>
      <c r="J174" s="137"/>
      <c r="K174" s="152" t="s">
        <v>1236</v>
      </c>
      <c r="L174" s="139">
        <f t="shared" si="7"/>
        <v>5.2</v>
      </c>
      <c r="M174" s="140">
        <f t="shared" si="6"/>
        <v>1</v>
      </c>
      <c r="N174" s="141">
        <f t="shared" si="8"/>
        <v>5.2</v>
      </c>
      <c r="O174" s="259" t="s">
        <v>1156</v>
      </c>
      <c r="P174" s="143" t="s">
        <v>1780</v>
      </c>
      <c r="Q174" s="264"/>
    </row>
    <row r="175" spans="2:17" s="144" customFormat="1" ht="18.600000000000001" customHeight="1">
      <c r="B175" s="127" t="s">
        <v>2192</v>
      </c>
      <c r="C175" s="133">
        <v>170</v>
      </c>
      <c r="D175" s="180" t="s">
        <v>2304</v>
      </c>
      <c r="E175" s="181" t="s">
        <v>2417</v>
      </c>
      <c r="F175" s="181" t="s">
        <v>3426</v>
      </c>
      <c r="G175" s="181" t="s">
        <v>2444</v>
      </c>
      <c r="H175" s="181" t="s">
        <v>2449</v>
      </c>
      <c r="I175" s="182" t="s">
        <v>2449</v>
      </c>
      <c r="J175" s="137"/>
      <c r="K175" s="152" t="s">
        <v>1236</v>
      </c>
      <c r="L175" s="139">
        <f t="shared" si="7"/>
        <v>5.2</v>
      </c>
      <c r="M175" s="140">
        <f t="shared" si="6"/>
        <v>1</v>
      </c>
      <c r="N175" s="141">
        <f t="shared" si="8"/>
        <v>5.2</v>
      </c>
      <c r="O175" s="259" t="s">
        <v>1156</v>
      </c>
      <c r="P175" s="143" t="s">
        <v>1780</v>
      </c>
      <c r="Q175" s="264"/>
    </row>
    <row r="176" spans="2:17" s="144" customFormat="1" ht="18.600000000000001" customHeight="1">
      <c r="B176" s="127" t="s">
        <v>2192</v>
      </c>
      <c r="C176" s="133">
        <v>171</v>
      </c>
      <c r="D176" s="180" t="s">
        <v>2304</v>
      </c>
      <c r="E176" s="181" t="s">
        <v>2417</v>
      </c>
      <c r="F176" s="181" t="s">
        <v>3427</v>
      </c>
      <c r="G176" s="181" t="s">
        <v>2444</v>
      </c>
      <c r="H176" s="181" t="s">
        <v>2450</v>
      </c>
      <c r="I176" s="182" t="s">
        <v>2450</v>
      </c>
      <c r="J176" s="137"/>
      <c r="K176" s="152" t="s">
        <v>1226</v>
      </c>
      <c r="L176" s="139">
        <f t="shared" si="7"/>
        <v>3.9</v>
      </c>
      <c r="M176" s="140">
        <f t="shared" si="6"/>
        <v>1</v>
      </c>
      <c r="N176" s="141">
        <f t="shared" si="8"/>
        <v>3.9</v>
      </c>
      <c r="O176" s="259" t="s">
        <v>1156</v>
      </c>
      <c r="P176" s="143" t="s">
        <v>1780</v>
      </c>
      <c r="Q176" s="264"/>
    </row>
    <row r="177" spans="2:17" s="144" customFormat="1" ht="18.600000000000001" customHeight="1">
      <c r="B177" s="127" t="s">
        <v>2192</v>
      </c>
      <c r="C177" s="133">
        <v>172</v>
      </c>
      <c r="D177" s="180" t="s">
        <v>2304</v>
      </c>
      <c r="E177" s="181" t="s">
        <v>2417</v>
      </c>
      <c r="F177" s="181" t="s">
        <v>3428</v>
      </c>
      <c r="G177" s="181" t="s">
        <v>2444</v>
      </c>
      <c r="H177" s="181" t="s">
        <v>2451</v>
      </c>
      <c r="I177" s="182" t="s">
        <v>2451</v>
      </c>
      <c r="J177" s="137"/>
      <c r="K177" s="152" t="s">
        <v>1188</v>
      </c>
      <c r="L177" s="139">
        <f t="shared" si="7"/>
        <v>4</v>
      </c>
      <c r="M177" s="140">
        <f t="shared" si="6"/>
        <v>1</v>
      </c>
      <c r="N177" s="141">
        <f t="shared" si="8"/>
        <v>4</v>
      </c>
      <c r="O177" s="259" t="s">
        <v>1156</v>
      </c>
      <c r="P177" s="143" t="s">
        <v>1780</v>
      </c>
      <c r="Q177" s="264"/>
    </row>
    <row r="178" spans="2:17" s="144" customFormat="1" ht="18.600000000000001" customHeight="1">
      <c r="B178" s="127" t="s">
        <v>2192</v>
      </c>
      <c r="C178" s="133">
        <v>173</v>
      </c>
      <c r="D178" s="180" t="s">
        <v>2304</v>
      </c>
      <c r="E178" s="181" t="s">
        <v>2417</v>
      </c>
      <c r="F178" s="181" t="s">
        <v>3429</v>
      </c>
      <c r="G178" s="181" t="s">
        <v>2444</v>
      </c>
      <c r="H178" s="181" t="s">
        <v>2452</v>
      </c>
      <c r="I178" s="182" t="s">
        <v>2453</v>
      </c>
      <c r="J178" s="137"/>
      <c r="K178" s="152" t="s">
        <v>1226</v>
      </c>
      <c r="L178" s="139">
        <f t="shared" si="7"/>
        <v>3.9</v>
      </c>
      <c r="M178" s="140">
        <f t="shared" si="6"/>
        <v>1</v>
      </c>
      <c r="N178" s="141">
        <f t="shared" si="8"/>
        <v>3.9</v>
      </c>
      <c r="O178" s="259" t="s">
        <v>1156</v>
      </c>
      <c r="P178" s="143" t="s">
        <v>1780</v>
      </c>
      <c r="Q178" s="264"/>
    </row>
    <row r="179" spans="2:17" s="144" customFormat="1" ht="18.600000000000001" customHeight="1">
      <c r="B179" s="127" t="s">
        <v>2192</v>
      </c>
      <c r="C179" s="133">
        <v>174</v>
      </c>
      <c r="D179" s="180" t="s">
        <v>2304</v>
      </c>
      <c r="E179" s="181" t="s">
        <v>2417</v>
      </c>
      <c r="F179" s="181" t="s">
        <v>3430</v>
      </c>
      <c r="G179" s="181" t="s">
        <v>2444</v>
      </c>
      <c r="H179" s="181" t="s">
        <v>2454</v>
      </c>
      <c r="I179" s="182" t="s">
        <v>2455</v>
      </c>
      <c r="J179" s="137"/>
      <c r="K179" s="152" t="s">
        <v>1188</v>
      </c>
      <c r="L179" s="139">
        <f t="shared" si="7"/>
        <v>4</v>
      </c>
      <c r="M179" s="140">
        <f t="shared" si="6"/>
        <v>1</v>
      </c>
      <c r="N179" s="141">
        <f t="shared" si="8"/>
        <v>4</v>
      </c>
      <c r="O179" s="259" t="s">
        <v>1156</v>
      </c>
      <c r="P179" s="143" t="s">
        <v>1780</v>
      </c>
      <c r="Q179" s="264"/>
    </row>
    <row r="180" spans="2:17" s="144" customFormat="1" ht="18.600000000000001" customHeight="1">
      <c r="B180" s="127" t="s">
        <v>2192</v>
      </c>
      <c r="C180" s="133">
        <v>175</v>
      </c>
      <c r="D180" s="180" t="s">
        <v>2304</v>
      </c>
      <c r="E180" s="181" t="s">
        <v>2417</v>
      </c>
      <c r="F180" s="181" t="s">
        <v>3431</v>
      </c>
      <c r="G180" s="181" t="s">
        <v>2444</v>
      </c>
      <c r="H180" s="181" t="s">
        <v>2456</v>
      </c>
      <c r="I180" s="182" t="s">
        <v>2457</v>
      </c>
      <c r="J180" s="137"/>
      <c r="K180" s="152" t="s">
        <v>1226</v>
      </c>
      <c r="L180" s="139">
        <f t="shared" si="7"/>
        <v>3.9</v>
      </c>
      <c r="M180" s="140">
        <f t="shared" si="6"/>
        <v>1</v>
      </c>
      <c r="N180" s="141">
        <f t="shared" si="8"/>
        <v>3.9</v>
      </c>
      <c r="O180" s="259" t="s">
        <v>1156</v>
      </c>
      <c r="P180" s="143" t="s">
        <v>1780</v>
      </c>
      <c r="Q180" s="264"/>
    </row>
    <row r="181" spans="2:17" s="144" customFormat="1" ht="18.600000000000001" customHeight="1">
      <c r="B181" s="127" t="s">
        <v>2192</v>
      </c>
      <c r="C181" s="133">
        <v>176</v>
      </c>
      <c r="D181" s="180" t="s">
        <v>2304</v>
      </c>
      <c r="E181" s="181" t="s">
        <v>2417</v>
      </c>
      <c r="F181" s="181" t="s">
        <v>3432</v>
      </c>
      <c r="G181" s="181" t="s">
        <v>2444</v>
      </c>
      <c r="H181" s="181" t="s">
        <v>2458</v>
      </c>
      <c r="I181" s="182" t="s">
        <v>2459</v>
      </c>
      <c r="J181" s="137"/>
      <c r="K181" s="152" t="s">
        <v>1188</v>
      </c>
      <c r="L181" s="139">
        <f t="shared" si="7"/>
        <v>4</v>
      </c>
      <c r="M181" s="140">
        <f t="shared" si="6"/>
        <v>1</v>
      </c>
      <c r="N181" s="141">
        <f t="shared" si="8"/>
        <v>4</v>
      </c>
      <c r="O181" s="259" t="s">
        <v>1156</v>
      </c>
      <c r="P181" s="143" t="s">
        <v>1780</v>
      </c>
      <c r="Q181" s="264"/>
    </row>
    <row r="182" spans="2:17" s="144" customFormat="1" ht="18.600000000000001" customHeight="1">
      <c r="B182" s="127" t="s">
        <v>2192</v>
      </c>
      <c r="C182" s="133">
        <v>177</v>
      </c>
      <c r="D182" s="180" t="s">
        <v>2304</v>
      </c>
      <c r="E182" s="181" t="s">
        <v>2417</v>
      </c>
      <c r="F182" s="181" t="s">
        <v>3433</v>
      </c>
      <c r="G182" s="181" t="s">
        <v>2444</v>
      </c>
      <c r="H182" s="181" t="s">
        <v>2460</v>
      </c>
      <c r="I182" s="182" t="s">
        <v>2460</v>
      </c>
      <c r="J182" s="137"/>
      <c r="K182" s="152" t="s">
        <v>1236</v>
      </c>
      <c r="L182" s="139">
        <f t="shared" si="7"/>
        <v>5.2</v>
      </c>
      <c r="M182" s="140">
        <f t="shared" si="6"/>
        <v>1</v>
      </c>
      <c r="N182" s="141">
        <f t="shared" si="8"/>
        <v>5.2</v>
      </c>
      <c r="O182" s="259" t="s">
        <v>1156</v>
      </c>
      <c r="P182" s="143" t="s">
        <v>1780</v>
      </c>
      <c r="Q182" s="264"/>
    </row>
    <row r="183" spans="2:17" s="144" customFormat="1" ht="18" customHeight="1">
      <c r="B183" s="127" t="s">
        <v>2192</v>
      </c>
      <c r="C183" s="147">
        <v>178</v>
      </c>
      <c r="D183" s="180" t="s">
        <v>2304</v>
      </c>
      <c r="E183" s="181" t="s">
        <v>2417</v>
      </c>
      <c r="F183" s="181" t="s">
        <v>3434</v>
      </c>
      <c r="G183" s="181" t="s">
        <v>2461</v>
      </c>
      <c r="H183" s="181" t="s">
        <v>2462</v>
      </c>
      <c r="I183" s="182" t="s">
        <v>2462</v>
      </c>
      <c r="J183" s="137"/>
      <c r="K183" s="152" t="s">
        <v>1236</v>
      </c>
      <c r="L183" s="139">
        <f t="shared" si="7"/>
        <v>5.2</v>
      </c>
      <c r="M183" s="140">
        <f t="shared" si="6"/>
        <v>1</v>
      </c>
      <c r="N183" s="141">
        <f t="shared" si="8"/>
        <v>5.2</v>
      </c>
      <c r="O183" s="259" t="s">
        <v>1156</v>
      </c>
      <c r="P183" s="143" t="s">
        <v>1780</v>
      </c>
      <c r="Q183" s="264"/>
    </row>
    <row r="184" spans="2:17" s="144" customFormat="1" ht="18" customHeight="1">
      <c r="B184" s="127" t="s">
        <v>2192</v>
      </c>
      <c r="C184" s="147">
        <v>179</v>
      </c>
      <c r="D184" s="180" t="s">
        <v>2304</v>
      </c>
      <c r="E184" s="181" t="s">
        <v>2417</v>
      </c>
      <c r="F184" s="181" t="s">
        <v>3435</v>
      </c>
      <c r="G184" s="181" t="s">
        <v>2461</v>
      </c>
      <c r="H184" s="181" t="s">
        <v>2463</v>
      </c>
      <c r="I184" s="182" t="s">
        <v>2463</v>
      </c>
      <c r="J184" s="137"/>
      <c r="K184" s="152" t="s">
        <v>1226</v>
      </c>
      <c r="L184" s="139">
        <f t="shared" si="7"/>
        <v>3.9</v>
      </c>
      <c r="M184" s="140">
        <f t="shared" si="6"/>
        <v>1</v>
      </c>
      <c r="N184" s="141">
        <f t="shared" si="8"/>
        <v>3.9</v>
      </c>
      <c r="O184" s="259" t="s">
        <v>1156</v>
      </c>
      <c r="P184" s="143" t="s">
        <v>1780</v>
      </c>
      <c r="Q184" s="264"/>
    </row>
    <row r="185" spans="2:17" s="144" customFormat="1" ht="18" customHeight="1">
      <c r="B185" s="127" t="s">
        <v>2192</v>
      </c>
      <c r="C185" s="147">
        <v>180</v>
      </c>
      <c r="D185" s="180" t="s">
        <v>2304</v>
      </c>
      <c r="E185" s="181" t="s">
        <v>2417</v>
      </c>
      <c r="F185" s="181" t="s">
        <v>3436</v>
      </c>
      <c r="G185" s="181" t="s">
        <v>2461</v>
      </c>
      <c r="H185" s="181" t="s">
        <v>2464</v>
      </c>
      <c r="I185" s="182" t="s">
        <v>2464</v>
      </c>
      <c r="J185" s="137"/>
      <c r="K185" s="152" t="s">
        <v>1236</v>
      </c>
      <c r="L185" s="139">
        <f t="shared" si="7"/>
        <v>5.2</v>
      </c>
      <c r="M185" s="140">
        <f t="shared" si="6"/>
        <v>1</v>
      </c>
      <c r="N185" s="141">
        <f t="shared" si="8"/>
        <v>5.2</v>
      </c>
      <c r="O185" s="259" t="s">
        <v>1156</v>
      </c>
      <c r="P185" s="143" t="s">
        <v>1780</v>
      </c>
      <c r="Q185" s="264"/>
    </row>
    <row r="186" spans="2:17" s="144" customFormat="1" ht="18" customHeight="1">
      <c r="B186" s="127" t="s">
        <v>2192</v>
      </c>
      <c r="C186" s="147">
        <v>181</v>
      </c>
      <c r="D186" s="180" t="s">
        <v>2304</v>
      </c>
      <c r="E186" s="181" t="s">
        <v>2417</v>
      </c>
      <c r="F186" s="181" t="s">
        <v>3437</v>
      </c>
      <c r="G186" s="181" t="s">
        <v>2461</v>
      </c>
      <c r="H186" s="181" t="s">
        <v>2465</v>
      </c>
      <c r="I186" s="182" t="s">
        <v>2465</v>
      </c>
      <c r="J186" s="137"/>
      <c r="K186" s="152" t="s">
        <v>1236</v>
      </c>
      <c r="L186" s="139">
        <f t="shared" si="7"/>
        <v>5.2</v>
      </c>
      <c r="M186" s="140">
        <f t="shared" si="6"/>
        <v>1</v>
      </c>
      <c r="N186" s="141">
        <f t="shared" si="8"/>
        <v>5.2</v>
      </c>
      <c r="O186" s="259" t="s">
        <v>1156</v>
      </c>
      <c r="P186" s="143" t="s">
        <v>1780</v>
      </c>
      <c r="Q186" s="264"/>
    </row>
    <row r="187" spans="2:17" s="144" customFormat="1" ht="18" customHeight="1">
      <c r="B187" s="127" t="s">
        <v>2192</v>
      </c>
      <c r="C187" s="147">
        <v>182</v>
      </c>
      <c r="D187" s="180" t="s">
        <v>2304</v>
      </c>
      <c r="E187" s="181" t="s">
        <v>2417</v>
      </c>
      <c r="F187" s="181" t="s">
        <v>3438</v>
      </c>
      <c r="G187" s="181" t="s">
        <v>2461</v>
      </c>
      <c r="H187" s="181" t="s">
        <v>2466</v>
      </c>
      <c r="I187" s="182" t="s">
        <v>2466</v>
      </c>
      <c r="J187" s="137"/>
      <c r="K187" s="152" t="s">
        <v>1236</v>
      </c>
      <c r="L187" s="139">
        <f t="shared" si="7"/>
        <v>5.2</v>
      </c>
      <c r="M187" s="140">
        <f t="shared" si="6"/>
        <v>1</v>
      </c>
      <c r="N187" s="141">
        <f t="shared" si="8"/>
        <v>5.2</v>
      </c>
      <c r="O187" s="259" t="s">
        <v>1156</v>
      </c>
      <c r="P187" s="143" t="s">
        <v>1780</v>
      </c>
      <c r="Q187" s="264"/>
    </row>
    <row r="188" spans="2:17" s="144" customFormat="1" ht="18" customHeight="1">
      <c r="B188" s="127" t="s">
        <v>2192</v>
      </c>
      <c r="C188" s="147">
        <v>183</v>
      </c>
      <c r="D188" s="180" t="s">
        <v>2304</v>
      </c>
      <c r="E188" s="181" t="s">
        <v>2417</v>
      </c>
      <c r="F188" s="181" t="s">
        <v>3439</v>
      </c>
      <c r="G188" s="181" t="s">
        <v>2461</v>
      </c>
      <c r="H188" s="181" t="s">
        <v>2467</v>
      </c>
      <c r="I188" s="182" t="s">
        <v>2468</v>
      </c>
      <c r="J188" s="137"/>
      <c r="K188" s="146" t="s">
        <v>1607</v>
      </c>
      <c r="L188" s="139">
        <f t="shared" si="7"/>
        <v>5.4</v>
      </c>
      <c r="M188" s="140">
        <f t="shared" si="6"/>
        <v>1</v>
      </c>
      <c r="N188" s="141">
        <f t="shared" si="8"/>
        <v>5.4</v>
      </c>
      <c r="O188" s="259" t="s">
        <v>1156</v>
      </c>
      <c r="P188" s="143" t="s">
        <v>1780</v>
      </c>
      <c r="Q188" s="264"/>
    </row>
    <row r="189" spans="2:17" s="144" customFormat="1" ht="18" customHeight="1">
      <c r="B189" s="127" t="s">
        <v>2192</v>
      </c>
      <c r="C189" s="147">
        <v>184</v>
      </c>
      <c r="D189" s="180" t="s">
        <v>2304</v>
      </c>
      <c r="E189" s="181" t="s">
        <v>2417</v>
      </c>
      <c r="F189" s="181" t="s">
        <v>3440</v>
      </c>
      <c r="G189" s="181" t="s">
        <v>2461</v>
      </c>
      <c r="H189" s="181" t="s">
        <v>2469</v>
      </c>
      <c r="I189" s="182" t="s">
        <v>2469</v>
      </c>
      <c r="J189" s="137"/>
      <c r="K189" s="152" t="s">
        <v>1226</v>
      </c>
      <c r="L189" s="139">
        <f t="shared" si="7"/>
        <v>3.9</v>
      </c>
      <c r="M189" s="140">
        <f t="shared" si="6"/>
        <v>1</v>
      </c>
      <c r="N189" s="141">
        <f t="shared" si="8"/>
        <v>3.9</v>
      </c>
      <c r="O189" s="259" t="s">
        <v>1156</v>
      </c>
      <c r="P189" s="143" t="s">
        <v>1780</v>
      </c>
      <c r="Q189" s="264"/>
    </row>
    <row r="190" spans="2:17" s="144" customFormat="1" ht="27">
      <c r="B190" s="127" t="s">
        <v>2192</v>
      </c>
      <c r="C190" s="147">
        <v>185</v>
      </c>
      <c r="D190" s="180" t="s">
        <v>2304</v>
      </c>
      <c r="E190" s="181" t="s">
        <v>2417</v>
      </c>
      <c r="F190" s="181" t="s">
        <v>3441</v>
      </c>
      <c r="G190" s="181" t="s">
        <v>2461</v>
      </c>
      <c r="H190" s="181" t="s">
        <v>2470</v>
      </c>
      <c r="I190" s="182" t="s">
        <v>2470</v>
      </c>
      <c r="J190" s="137"/>
      <c r="K190" s="152" t="s">
        <v>1236</v>
      </c>
      <c r="L190" s="139">
        <f t="shared" si="7"/>
        <v>5.2</v>
      </c>
      <c r="M190" s="140">
        <f t="shared" si="6"/>
        <v>1</v>
      </c>
      <c r="N190" s="141">
        <f t="shared" si="8"/>
        <v>5.2</v>
      </c>
      <c r="O190" s="259" t="s">
        <v>1156</v>
      </c>
      <c r="P190" s="143" t="s">
        <v>1780</v>
      </c>
      <c r="Q190" s="264"/>
    </row>
    <row r="191" spans="2:17" s="144" customFormat="1" ht="27">
      <c r="B191" s="127" t="s">
        <v>2192</v>
      </c>
      <c r="C191" s="147">
        <v>186</v>
      </c>
      <c r="D191" s="180" t="s">
        <v>2304</v>
      </c>
      <c r="E191" s="181" t="s">
        <v>2417</v>
      </c>
      <c r="F191" s="181" t="s">
        <v>3442</v>
      </c>
      <c r="G191" s="181" t="s">
        <v>2461</v>
      </c>
      <c r="H191" s="181" t="s">
        <v>2471</v>
      </c>
      <c r="I191" s="182" t="s">
        <v>2471</v>
      </c>
      <c r="J191" s="137"/>
      <c r="K191" s="152" t="s">
        <v>1236</v>
      </c>
      <c r="L191" s="139">
        <f t="shared" si="7"/>
        <v>5.2</v>
      </c>
      <c r="M191" s="140">
        <f t="shared" si="6"/>
        <v>1</v>
      </c>
      <c r="N191" s="141">
        <f t="shared" si="8"/>
        <v>5.2</v>
      </c>
      <c r="O191" s="259" t="s">
        <v>1156</v>
      </c>
      <c r="P191" s="143" t="s">
        <v>1780</v>
      </c>
      <c r="Q191" s="264"/>
    </row>
    <row r="192" spans="2:17" s="144" customFormat="1" ht="27">
      <c r="B192" s="127" t="s">
        <v>2192</v>
      </c>
      <c r="C192" s="147">
        <v>187</v>
      </c>
      <c r="D192" s="180" t="s">
        <v>2304</v>
      </c>
      <c r="E192" s="181" t="s">
        <v>2417</v>
      </c>
      <c r="F192" s="181" t="s">
        <v>3443</v>
      </c>
      <c r="G192" s="181" t="s">
        <v>2461</v>
      </c>
      <c r="H192" s="181" t="s">
        <v>2472</v>
      </c>
      <c r="I192" s="182" t="s">
        <v>2472</v>
      </c>
      <c r="J192" s="137"/>
      <c r="K192" s="152" t="s">
        <v>1236</v>
      </c>
      <c r="L192" s="139">
        <f t="shared" si="7"/>
        <v>5.2</v>
      </c>
      <c r="M192" s="140">
        <f t="shared" si="6"/>
        <v>1</v>
      </c>
      <c r="N192" s="141">
        <f t="shared" si="8"/>
        <v>5.2</v>
      </c>
      <c r="O192" s="259" t="s">
        <v>1156</v>
      </c>
      <c r="P192" s="143" t="s">
        <v>1780</v>
      </c>
      <c r="Q192" s="264"/>
    </row>
    <row r="193" spans="2:17" s="144" customFormat="1" ht="27">
      <c r="B193" s="127" t="s">
        <v>2192</v>
      </c>
      <c r="C193" s="147">
        <v>188</v>
      </c>
      <c r="D193" s="180" t="s">
        <v>2304</v>
      </c>
      <c r="E193" s="181" t="s">
        <v>2417</v>
      </c>
      <c r="F193" s="181" t="s">
        <v>3444</v>
      </c>
      <c r="G193" s="181" t="s">
        <v>2461</v>
      </c>
      <c r="H193" s="181" t="s">
        <v>2473</v>
      </c>
      <c r="I193" s="182" t="s">
        <v>2473</v>
      </c>
      <c r="J193" s="137"/>
      <c r="K193" s="152" t="s">
        <v>1236</v>
      </c>
      <c r="L193" s="139">
        <f t="shared" si="7"/>
        <v>5.2</v>
      </c>
      <c r="M193" s="140">
        <f t="shared" si="6"/>
        <v>1</v>
      </c>
      <c r="N193" s="141">
        <f t="shared" si="8"/>
        <v>5.2</v>
      </c>
      <c r="O193" s="259" t="s">
        <v>1156</v>
      </c>
      <c r="P193" s="143" t="s">
        <v>1780</v>
      </c>
      <c r="Q193" s="264"/>
    </row>
    <row r="194" spans="2:17" s="144" customFormat="1" ht="27">
      <c r="B194" s="127" t="s">
        <v>2192</v>
      </c>
      <c r="C194" s="147">
        <v>189</v>
      </c>
      <c r="D194" s="180" t="s">
        <v>2304</v>
      </c>
      <c r="E194" s="181" t="s">
        <v>2417</v>
      </c>
      <c r="F194" s="181" t="s">
        <v>3445</v>
      </c>
      <c r="G194" s="181" t="s">
        <v>2461</v>
      </c>
      <c r="H194" s="181" t="s">
        <v>2474</v>
      </c>
      <c r="I194" s="182" t="s">
        <v>2474</v>
      </c>
      <c r="J194" s="137"/>
      <c r="K194" s="152" t="s">
        <v>1226</v>
      </c>
      <c r="L194" s="139">
        <f t="shared" si="7"/>
        <v>3.9</v>
      </c>
      <c r="M194" s="140">
        <f t="shared" si="6"/>
        <v>1</v>
      </c>
      <c r="N194" s="141">
        <f t="shared" si="8"/>
        <v>3.9</v>
      </c>
      <c r="O194" s="259" t="s">
        <v>1156</v>
      </c>
      <c r="P194" s="143" t="s">
        <v>1780</v>
      </c>
      <c r="Q194" s="264"/>
    </row>
    <row r="195" spans="2:17" s="144" customFormat="1">
      <c r="B195" s="127" t="s">
        <v>2192</v>
      </c>
      <c r="C195" s="147">
        <v>190</v>
      </c>
      <c r="D195" s="180" t="s">
        <v>2304</v>
      </c>
      <c r="E195" s="181" t="s">
        <v>2417</v>
      </c>
      <c r="F195" s="181" t="s">
        <v>3446</v>
      </c>
      <c r="G195" s="181" t="s">
        <v>2475</v>
      </c>
      <c r="H195" s="181" t="s">
        <v>2476</v>
      </c>
      <c r="I195" s="182" t="s">
        <v>2476</v>
      </c>
      <c r="J195" s="137"/>
      <c r="K195" s="152" t="s">
        <v>1236</v>
      </c>
      <c r="L195" s="139">
        <f t="shared" si="7"/>
        <v>5.2</v>
      </c>
      <c r="M195" s="140">
        <f t="shared" si="6"/>
        <v>1</v>
      </c>
      <c r="N195" s="141">
        <f t="shared" si="8"/>
        <v>5.2</v>
      </c>
      <c r="O195" s="259" t="s">
        <v>1156</v>
      </c>
      <c r="P195" s="143" t="s">
        <v>1780</v>
      </c>
      <c r="Q195" s="264"/>
    </row>
    <row r="196" spans="2:17" s="144" customFormat="1">
      <c r="B196" s="127" t="s">
        <v>2192</v>
      </c>
      <c r="C196" s="147">
        <v>191</v>
      </c>
      <c r="D196" s="180" t="s">
        <v>2304</v>
      </c>
      <c r="E196" s="181" t="s">
        <v>2417</v>
      </c>
      <c r="F196" s="181" t="s">
        <v>3447</v>
      </c>
      <c r="G196" s="181" t="s">
        <v>2475</v>
      </c>
      <c r="H196" s="181" t="s">
        <v>2477</v>
      </c>
      <c r="I196" s="182" t="s">
        <v>2477</v>
      </c>
      <c r="J196" s="137"/>
      <c r="K196" s="152" t="s">
        <v>1236</v>
      </c>
      <c r="L196" s="139">
        <f t="shared" si="7"/>
        <v>5.2</v>
      </c>
      <c r="M196" s="140">
        <f t="shared" si="6"/>
        <v>1</v>
      </c>
      <c r="N196" s="141">
        <f t="shared" si="8"/>
        <v>5.2</v>
      </c>
      <c r="O196" s="259" t="s">
        <v>1156</v>
      </c>
      <c r="P196" s="143" t="s">
        <v>1780</v>
      </c>
      <c r="Q196" s="264"/>
    </row>
    <row r="197" spans="2:17" s="144" customFormat="1">
      <c r="B197" s="127" t="s">
        <v>2192</v>
      </c>
      <c r="C197" s="147">
        <v>192</v>
      </c>
      <c r="D197" s="180" t="s">
        <v>2304</v>
      </c>
      <c r="E197" s="181" t="s">
        <v>2417</v>
      </c>
      <c r="F197" s="181" t="s">
        <v>3448</v>
      </c>
      <c r="G197" s="181" t="s">
        <v>2475</v>
      </c>
      <c r="H197" s="181" t="s">
        <v>2478</v>
      </c>
      <c r="I197" s="182" t="s">
        <v>2478</v>
      </c>
      <c r="J197" s="137"/>
      <c r="K197" s="152" t="s">
        <v>1236</v>
      </c>
      <c r="L197" s="139">
        <f t="shared" si="7"/>
        <v>5.2</v>
      </c>
      <c r="M197" s="140">
        <f t="shared" si="6"/>
        <v>1</v>
      </c>
      <c r="N197" s="141">
        <f t="shared" si="8"/>
        <v>5.2</v>
      </c>
      <c r="O197" s="259" t="s">
        <v>1156</v>
      </c>
      <c r="P197" s="143" t="s">
        <v>1780</v>
      </c>
      <c r="Q197" s="264"/>
    </row>
    <row r="198" spans="2:17" s="144" customFormat="1">
      <c r="B198" s="127" t="s">
        <v>2192</v>
      </c>
      <c r="C198" s="147">
        <v>193</v>
      </c>
      <c r="D198" s="180" t="s">
        <v>2304</v>
      </c>
      <c r="E198" s="181" t="s">
        <v>2417</v>
      </c>
      <c r="F198" s="181" t="s">
        <v>3449</v>
      </c>
      <c r="G198" s="181" t="s">
        <v>2475</v>
      </c>
      <c r="H198" s="181" t="s">
        <v>2479</v>
      </c>
      <c r="I198" s="182" t="s">
        <v>2479</v>
      </c>
      <c r="J198" s="137"/>
      <c r="K198" s="152" t="s">
        <v>1236</v>
      </c>
      <c r="L198" s="139">
        <f t="shared" si="7"/>
        <v>5.2</v>
      </c>
      <c r="M198" s="140">
        <f t="shared" ref="M198:M261" si="9">IF(O198="","",IF(O198="신규",1,IF(O198="고도화",1.04,IF(O198="재사용",0.25))))</f>
        <v>1</v>
      </c>
      <c r="N198" s="141">
        <f t="shared" si="8"/>
        <v>5.2</v>
      </c>
      <c r="O198" s="259" t="s">
        <v>1156</v>
      </c>
      <c r="P198" s="143" t="s">
        <v>1780</v>
      </c>
      <c r="Q198" s="264"/>
    </row>
    <row r="199" spans="2:17" s="144" customFormat="1">
      <c r="B199" s="127" t="s">
        <v>2192</v>
      </c>
      <c r="C199" s="133">
        <v>194</v>
      </c>
      <c r="D199" s="180" t="s">
        <v>2304</v>
      </c>
      <c r="E199" s="181" t="s">
        <v>2417</v>
      </c>
      <c r="F199" s="181" t="s">
        <v>3450</v>
      </c>
      <c r="G199" s="181" t="s">
        <v>2475</v>
      </c>
      <c r="H199" s="181" t="s">
        <v>2480</v>
      </c>
      <c r="I199" s="182" t="s">
        <v>2480</v>
      </c>
      <c r="J199" s="137"/>
      <c r="K199" s="152" t="s">
        <v>1236</v>
      </c>
      <c r="L199" s="139">
        <f t="shared" ref="L199:L262" si="10">IF(K199="","",IF(K199="EI",4,IF(K199="EO",5.2,IF(K199="EQ",3.9,IF(K199="ILF",7.5,IF(K199="EIF",5.4))))))</f>
        <v>5.2</v>
      </c>
      <c r="M199" s="140">
        <f t="shared" si="9"/>
        <v>1</v>
      </c>
      <c r="N199" s="141">
        <f t="shared" ref="N199:N262" si="11">L199*M199</f>
        <v>5.2</v>
      </c>
      <c r="O199" s="259" t="s">
        <v>1156</v>
      </c>
      <c r="P199" s="143" t="s">
        <v>1780</v>
      </c>
      <c r="Q199" s="264"/>
    </row>
    <row r="200" spans="2:17" s="144" customFormat="1">
      <c r="B200" s="127" t="s">
        <v>2192</v>
      </c>
      <c r="C200" s="133">
        <v>195</v>
      </c>
      <c r="D200" s="180" t="s">
        <v>2304</v>
      </c>
      <c r="E200" s="181" t="s">
        <v>2417</v>
      </c>
      <c r="F200" s="181" t="s">
        <v>3451</v>
      </c>
      <c r="G200" s="181" t="s">
        <v>2475</v>
      </c>
      <c r="H200" s="181" t="s">
        <v>2481</v>
      </c>
      <c r="I200" s="182" t="s">
        <v>2481</v>
      </c>
      <c r="J200" s="137"/>
      <c r="K200" s="152" t="s">
        <v>1236</v>
      </c>
      <c r="L200" s="139">
        <f t="shared" si="10"/>
        <v>5.2</v>
      </c>
      <c r="M200" s="140">
        <f t="shared" si="9"/>
        <v>1</v>
      </c>
      <c r="N200" s="141">
        <f t="shared" si="11"/>
        <v>5.2</v>
      </c>
      <c r="O200" s="259" t="s">
        <v>1156</v>
      </c>
      <c r="P200" s="143" t="s">
        <v>1780</v>
      </c>
      <c r="Q200" s="264"/>
    </row>
    <row r="201" spans="2:17" s="144" customFormat="1">
      <c r="B201" s="127" t="s">
        <v>2192</v>
      </c>
      <c r="C201" s="133">
        <v>196</v>
      </c>
      <c r="D201" s="180" t="s">
        <v>2304</v>
      </c>
      <c r="E201" s="181" t="s">
        <v>2417</v>
      </c>
      <c r="F201" s="181" t="s">
        <v>3452</v>
      </c>
      <c r="G201" s="181" t="s">
        <v>2475</v>
      </c>
      <c r="H201" s="181" t="s">
        <v>2482</v>
      </c>
      <c r="I201" s="182" t="s">
        <v>2482</v>
      </c>
      <c r="J201" s="137"/>
      <c r="K201" s="152" t="s">
        <v>1236</v>
      </c>
      <c r="L201" s="139">
        <f t="shared" si="10"/>
        <v>5.2</v>
      </c>
      <c r="M201" s="140">
        <f t="shared" si="9"/>
        <v>1</v>
      </c>
      <c r="N201" s="141">
        <f t="shared" si="11"/>
        <v>5.2</v>
      </c>
      <c r="O201" s="259" t="s">
        <v>1156</v>
      </c>
      <c r="P201" s="143" t="s">
        <v>1780</v>
      </c>
      <c r="Q201" s="264"/>
    </row>
    <row r="202" spans="2:17" s="144" customFormat="1">
      <c r="B202" s="127" t="s">
        <v>2192</v>
      </c>
      <c r="C202" s="147">
        <v>197</v>
      </c>
      <c r="D202" s="180" t="s">
        <v>2304</v>
      </c>
      <c r="E202" s="181" t="s">
        <v>2417</v>
      </c>
      <c r="F202" s="181" t="s">
        <v>3453</v>
      </c>
      <c r="G202" s="181" t="s">
        <v>2475</v>
      </c>
      <c r="H202" s="181" t="s">
        <v>2483</v>
      </c>
      <c r="I202" s="182" t="s">
        <v>2484</v>
      </c>
      <c r="J202" s="137"/>
      <c r="K202" s="152" t="s">
        <v>1226</v>
      </c>
      <c r="L202" s="139">
        <f t="shared" si="10"/>
        <v>3.9</v>
      </c>
      <c r="M202" s="140">
        <f t="shared" si="9"/>
        <v>1</v>
      </c>
      <c r="N202" s="141">
        <f t="shared" si="11"/>
        <v>3.9</v>
      </c>
      <c r="O202" s="259" t="s">
        <v>1156</v>
      </c>
      <c r="P202" s="143" t="s">
        <v>1780</v>
      </c>
      <c r="Q202" s="264"/>
    </row>
    <row r="203" spans="2:17" s="144" customFormat="1">
      <c r="B203" s="127" t="s">
        <v>2192</v>
      </c>
      <c r="C203" s="147">
        <v>198</v>
      </c>
      <c r="D203" s="180" t="s">
        <v>2304</v>
      </c>
      <c r="E203" s="181" t="s">
        <v>2417</v>
      </c>
      <c r="F203" s="181" t="s">
        <v>3454</v>
      </c>
      <c r="G203" s="181" t="s">
        <v>2475</v>
      </c>
      <c r="H203" s="181" t="s">
        <v>2485</v>
      </c>
      <c r="I203" s="182" t="s">
        <v>2485</v>
      </c>
      <c r="J203" s="137"/>
      <c r="K203" s="152" t="s">
        <v>1226</v>
      </c>
      <c r="L203" s="139">
        <f t="shared" si="10"/>
        <v>3.9</v>
      </c>
      <c r="M203" s="140">
        <f t="shared" si="9"/>
        <v>1</v>
      </c>
      <c r="N203" s="141">
        <f t="shared" si="11"/>
        <v>3.9</v>
      </c>
      <c r="O203" s="259" t="s">
        <v>1156</v>
      </c>
      <c r="P203" s="143" t="s">
        <v>1780</v>
      </c>
      <c r="Q203" s="264"/>
    </row>
    <row r="204" spans="2:17" s="144" customFormat="1">
      <c r="B204" s="127" t="s">
        <v>2192</v>
      </c>
      <c r="C204" s="147">
        <v>199</v>
      </c>
      <c r="D204" s="180" t="s">
        <v>2304</v>
      </c>
      <c r="E204" s="181" t="s">
        <v>2417</v>
      </c>
      <c r="F204" s="181" t="s">
        <v>3455</v>
      </c>
      <c r="G204" s="181" t="s">
        <v>2475</v>
      </c>
      <c r="H204" s="181" t="s">
        <v>2486</v>
      </c>
      <c r="I204" s="182" t="s">
        <v>2486</v>
      </c>
      <c r="J204" s="137"/>
      <c r="K204" s="152" t="s">
        <v>1226</v>
      </c>
      <c r="L204" s="139">
        <f t="shared" si="10"/>
        <v>3.9</v>
      </c>
      <c r="M204" s="140">
        <f t="shared" si="9"/>
        <v>1</v>
      </c>
      <c r="N204" s="141">
        <f t="shared" si="11"/>
        <v>3.9</v>
      </c>
      <c r="O204" s="259" t="s">
        <v>1156</v>
      </c>
      <c r="P204" s="143" t="s">
        <v>1780</v>
      </c>
      <c r="Q204" s="264"/>
    </row>
    <row r="205" spans="2:17" s="144" customFormat="1">
      <c r="B205" s="127" t="s">
        <v>2192</v>
      </c>
      <c r="C205" s="147">
        <v>200</v>
      </c>
      <c r="D205" s="180" t="s">
        <v>2304</v>
      </c>
      <c r="E205" s="181" t="s">
        <v>2417</v>
      </c>
      <c r="F205" s="181" t="s">
        <v>3456</v>
      </c>
      <c r="G205" s="181" t="s">
        <v>2475</v>
      </c>
      <c r="H205" s="181" t="s">
        <v>2487</v>
      </c>
      <c r="I205" s="182" t="s">
        <v>2487</v>
      </c>
      <c r="J205" s="137"/>
      <c r="K205" s="152" t="s">
        <v>1236</v>
      </c>
      <c r="L205" s="139">
        <f t="shared" si="10"/>
        <v>5.2</v>
      </c>
      <c r="M205" s="140">
        <f t="shared" si="9"/>
        <v>1</v>
      </c>
      <c r="N205" s="141">
        <f t="shared" si="11"/>
        <v>5.2</v>
      </c>
      <c r="O205" s="259" t="s">
        <v>1156</v>
      </c>
      <c r="P205" s="143" t="s">
        <v>1780</v>
      </c>
      <c r="Q205" s="264"/>
    </row>
    <row r="206" spans="2:17" s="144" customFormat="1">
      <c r="B206" s="127" t="s">
        <v>2192</v>
      </c>
      <c r="C206" s="147">
        <v>201</v>
      </c>
      <c r="D206" s="180" t="s">
        <v>2304</v>
      </c>
      <c r="E206" s="181" t="s">
        <v>2417</v>
      </c>
      <c r="F206" s="181" t="s">
        <v>3457</v>
      </c>
      <c r="G206" s="181" t="s">
        <v>2475</v>
      </c>
      <c r="H206" s="181" t="s">
        <v>2488</v>
      </c>
      <c r="I206" s="182" t="s">
        <v>2488</v>
      </c>
      <c r="J206" s="137"/>
      <c r="K206" s="152" t="s">
        <v>1236</v>
      </c>
      <c r="L206" s="139">
        <f t="shared" si="10"/>
        <v>5.2</v>
      </c>
      <c r="M206" s="140">
        <f t="shared" si="9"/>
        <v>1</v>
      </c>
      <c r="N206" s="141">
        <f t="shared" si="11"/>
        <v>5.2</v>
      </c>
      <c r="O206" s="259" t="s">
        <v>1156</v>
      </c>
      <c r="P206" s="143" t="s">
        <v>1780</v>
      </c>
      <c r="Q206" s="264"/>
    </row>
    <row r="207" spans="2:17" s="144" customFormat="1">
      <c r="B207" s="127" t="s">
        <v>2192</v>
      </c>
      <c r="C207" s="147">
        <v>202</v>
      </c>
      <c r="D207" s="180" t="s">
        <v>2304</v>
      </c>
      <c r="E207" s="181" t="s">
        <v>2417</v>
      </c>
      <c r="F207" s="181" t="s">
        <v>3458</v>
      </c>
      <c r="G207" s="181" t="s">
        <v>2475</v>
      </c>
      <c r="H207" s="181" t="s">
        <v>2489</v>
      </c>
      <c r="I207" s="182" t="s">
        <v>2489</v>
      </c>
      <c r="J207" s="137"/>
      <c r="K207" s="152" t="s">
        <v>1236</v>
      </c>
      <c r="L207" s="139">
        <f t="shared" si="10"/>
        <v>5.2</v>
      </c>
      <c r="M207" s="140">
        <f t="shared" si="9"/>
        <v>1</v>
      </c>
      <c r="N207" s="141">
        <f t="shared" si="11"/>
        <v>5.2</v>
      </c>
      <c r="O207" s="259" t="s">
        <v>1156</v>
      </c>
      <c r="P207" s="143" t="s">
        <v>1780</v>
      </c>
      <c r="Q207" s="264"/>
    </row>
    <row r="208" spans="2:17" s="144" customFormat="1">
      <c r="B208" s="127" t="s">
        <v>2192</v>
      </c>
      <c r="C208" s="147">
        <v>203</v>
      </c>
      <c r="D208" s="180" t="s">
        <v>2304</v>
      </c>
      <c r="E208" s="181" t="s">
        <v>2417</v>
      </c>
      <c r="F208" s="181" t="s">
        <v>3459</v>
      </c>
      <c r="G208" s="181" t="s">
        <v>2475</v>
      </c>
      <c r="H208" s="181" t="s">
        <v>2490</v>
      </c>
      <c r="I208" s="182" t="s">
        <v>2490</v>
      </c>
      <c r="J208" s="137"/>
      <c r="K208" s="152" t="s">
        <v>1236</v>
      </c>
      <c r="L208" s="139">
        <f t="shared" si="10"/>
        <v>5.2</v>
      </c>
      <c r="M208" s="140">
        <f t="shared" si="9"/>
        <v>1</v>
      </c>
      <c r="N208" s="141">
        <f t="shared" si="11"/>
        <v>5.2</v>
      </c>
      <c r="O208" s="259" t="s">
        <v>1156</v>
      </c>
      <c r="P208" s="143" t="s">
        <v>1780</v>
      </c>
      <c r="Q208" s="264"/>
    </row>
    <row r="209" spans="2:17" s="144" customFormat="1">
      <c r="B209" s="127" t="s">
        <v>2192</v>
      </c>
      <c r="C209" s="147">
        <v>204</v>
      </c>
      <c r="D209" s="180" t="s">
        <v>2304</v>
      </c>
      <c r="E209" s="181" t="s">
        <v>2417</v>
      </c>
      <c r="F209" s="181" t="s">
        <v>3460</v>
      </c>
      <c r="G209" s="181" t="s">
        <v>2491</v>
      </c>
      <c r="H209" s="181" t="s">
        <v>2492</v>
      </c>
      <c r="I209" s="182" t="s">
        <v>2492</v>
      </c>
      <c r="J209" s="137"/>
      <c r="K209" s="152" t="s">
        <v>1236</v>
      </c>
      <c r="L209" s="139">
        <f t="shared" si="10"/>
        <v>5.2</v>
      </c>
      <c r="M209" s="140">
        <f t="shared" si="9"/>
        <v>1</v>
      </c>
      <c r="N209" s="141">
        <f t="shared" si="11"/>
        <v>5.2</v>
      </c>
      <c r="O209" s="259" t="s">
        <v>1156</v>
      </c>
      <c r="P209" s="143" t="s">
        <v>1780</v>
      </c>
      <c r="Q209" s="264"/>
    </row>
    <row r="210" spans="2:17" s="144" customFormat="1">
      <c r="B210" s="127" t="s">
        <v>2192</v>
      </c>
      <c r="C210" s="147">
        <v>205</v>
      </c>
      <c r="D210" s="180" t="s">
        <v>2304</v>
      </c>
      <c r="E210" s="181" t="s">
        <v>2417</v>
      </c>
      <c r="F210" s="181" t="s">
        <v>3461</v>
      </c>
      <c r="G210" s="181" t="s">
        <v>2491</v>
      </c>
      <c r="H210" s="181" t="s">
        <v>2493</v>
      </c>
      <c r="I210" s="182" t="s">
        <v>2493</v>
      </c>
      <c r="J210" s="137"/>
      <c r="K210" s="152" t="s">
        <v>1236</v>
      </c>
      <c r="L210" s="139">
        <f t="shared" si="10"/>
        <v>5.2</v>
      </c>
      <c r="M210" s="140">
        <f t="shared" si="9"/>
        <v>1</v>
      </c>
      <c r="N210" s="141">
        <f t="shared" si="11"/>
        <v>5.2</v>
      </c>
      <c r="O210" s="259" t="s">
        <v>1156</v>
      </c>
      <c r="P210" s="143" t="s">
        <v>1780</v>
      </c>
      <c r="Q210" s="264"/>
    </row>
    <row r="211" spans="2:17" s="144" customFormat="1">
      <c r="B211" s="127" t="s">
        <v>2192</v>
      </c>
      <c r="C211" s="147">
        <v>206</v>
      </c>
      <c r="D211" s="180" t="s">
        <v>2304</v>
      </c>
      <c r="E211" s="181" t="s">
        <v>2417</v>
      </c>
      <c r="F211" s="181" t="s">
        <v>3462</v>
      </c>
      <c r="G211" s="181" t="s">
        <v>2491</v>
      </c>
      <c r="H211" s="181" t="s">
        <v>2494</v>
      </c>
      <c r="I211" s="182" t="s">
        <v>2494</v>
      </c>
      <c r="J211" s="137"/>
      <c r="K211" s="152" t="s">
        <v>1236</v>
      </c>
      <c r="L211" s="139">
        <f t="shared" si="10"/>
        <v>5.2</v>
      </c>
      <c r="M211" s="140">
        <f t="shared" si="9"/>
        <v>0.25</v>
      </c>
      <c r="N211" s="141">
        <f t="shared" si="11"/>
        <v>1.3</v>
      </c>
      <c r="O211" s="259" t="s">
        <v>1776</v>
      </c>
      <c r="P211" s="143" t="s">
        <v>1780</v>
      </c>
      <c r="Q211" s="264"/>
    </row>
    <row r="212" spans="2:17" s="144" customFormat="1">
      <c r="B212" s="127" t="s">
        <v>2192</v>
      </c>
      <c r="C212" s="147">
        <v>207</v>
      </c>
      <c r="D212" s="180" t="s">
        <v>2304</v>
      </c>
      <c r="E212" s="181" t="s">
        <v>2417</v>
      </c>
      <c r="F212" s="181" t="s">
        <v>3463</v>
      </c>
      <c r="G212" s="181" t="s">
        <v>2491</v>
      </c>
      <c r="H212" s="181" t="s">
        <v>2495</v>
      </c>
      <c r="I212" s="182" t="s">
        <v>2495</v>
      </c>
      <c r="J212" s="137"/>
      <c r="K212" s="152" t="s">
        <v>1236</v>
      </c>
      <c r="L212" s="139">
        <f t="shared" si="10"/>
        <v>5.2</v>
      </c>
      <c r="M212" s="140">
        <f t="shared" si="9"/>
        <v>0.25</v>
      </c>
      <c r="N212" s="141">
        <f t="shared" si="11"/>
        <v>1.3</v>
      </c>
      <c r="O212" s="259" t="s">
        <v>1776</v>
      </c>
      <c r="P212" s="143" t="s">
        <v>1780</v>
      </c>
      <c r="Q212" s="264"/>
    </row>
    <row r="213" spans="2:17" s="144" customFormat="1">
      <c r="B213" s="127" t="s">
        <v>2192</v>
      </c>
      <c r="C213" s="147">
        <v>208</v>
      </c>
      <c r="D213" s="180" t="s">
        <v>2304</v>
      </c>
      <c r="E213" s="181" t="s">
        <v>2417</v>
      </c>
      <c r="F213" s="181" t="s">
        <v>3464</v>
      </c>
      <c r="G213" s="181" t="s">
        <v>2491</v>
      </c>
      <c r="H213" s="181" t="s">
        <v>2496</v>
      </c>
      <c r="I213" s="182" t="s">
        <v>2496</v>
      </c>
      <c r="J213" s="137"/>
      <c r="K213" s="191" t="s">
        <v>1188</v>
      </c>
      <c r="L213" s="139">
        <f t="shared" si="10"/>
        <v>4</v>
      </c>
      <c r="M213" s="140">
        <f t="shared" si="9"/>
        <v>0.25</v>
      </c>
      <c r="N213" s="141">
        <f t="shared" si="11"/>
        <v>1</v>
      </c>
      <c r="O213" s="259" t="s">
        <v>1776</v>
      </c>
      <c r="P213" s="143" t="s">
        <v>1780</v>
      </c>
      <c r="Q213" s="264"/>
    </row>
    <row r="214" spans="2:17" s="144" customFormat="1">
      <c r="B214" s="127" t="s">
        <v>2192</v>
      </c>
      <c r="C214" s="147">
        <v>209</v>
      </c>
      <c r="D214" s="180" t="s">
        <v>2304</v>
      </c>
      <c r="E214" s="181" t="s">
        <v>2417</v>
      </c>
      <c r="F214" s="181" t="s">
        <v>3465</v>
      </c>
      <c r="G214" s="181" t="s">
        <v>2491</v>
      </c>
      <c r="H214" s="181" t="s">
        <v>2497</v>
      </c>
      <c r="I214" s="182" t="s">
        <v>2497</v>
      </c>
      <c r="J214" s="137"/>
      <c r="K214" s="191" t="s">
        <v>1188</v>
      </c>
      <c r="L214" s="139">
        <f t="shared" si="10"/>
        <v>4</v>
      </c>
      <c r="M214" s="140">
        <f t="shared" si="9"/>
        <v>0.25</v>
      </c>
      <c r="N214" s="141">
        <f t="shared" si="11"/>
        <v>1</v>
      </c>
      <c r="O214" s="259" t="s">
        <v>1776</v>
      </c>
      <c r="P214" s="143" t="s">
        <v>1780</v>
      </c>
      <c r="Q214" s="264"/>
    </row>
    <row r="215" spans="2:17" s="144" customFormat="1">
      <c r="B215" s="127" t="s">
        <v>2192</v>
      </c>
      <c r="C215" s="147">
        <v>210</v>
      </c>
      <c r="D215" s="180" t="s">
        <v>2304</v>
      </c>
      <c r="E215" s="181" t="s">
        <v>2417</v>
      </c>
      <c r="F215" s="181" t="s">
        <v>3466</v>
      </c>
      <c r="G215" s="181" t="s">
        <v>2491</v>
      </c>
      <c r="H215" s="181" t="s">
        <v>2498</v>
      </c>
      <c r="I215" s="182" t="s">
        <v>2498</v>
      </c>
      <c r="J215" s="137"/>
      <c r="K215" s="191" t="s">
        <v>1188</v>
      </c>
      <c r="L215" s="139">
        <f t="shared" si="10"/>
        <v>4</v>
      </c>
      <c r="M215" s="140">
        <f t="shared" si="9"/>
        <v>0.25</v>
      </c>
      <c r="N215" s="141">
        <f t="shared" si="11"/>
        <v>1</v>
      </c>
      <c r="O215" s="259" t="s">
        <v>1776</v>
      </c>
      <c r="P215" s="143" t="s">
        <v>1780</v>
      </c>
      <c r="Q215" s="264"/>
    </row>
    <row r="216" spans="2:17" s="144" customFormat="1">
      <c r="B216" s="127" t="s">
        <v>2192</v>
      </c>
      <c r="C216" s="147">
        <v>211</v>
      </c>
      <c r="D216" s="180" t="s">
        <v>2304</v>
      </c>
      <c r="E216" s="181" t="s">
        <v>2417</v>
      </c>
      <c r="F216" s="181" t="s">
        <v>3467</v>
      </c>
      <c r="G216" s="181" t="s">
        <v>2491</v>
      </c>
      <c r="H216" s="181" t="s">
        <v>2499</v>
      </c>
      <c r="I216" s="182" t="s">
        <v>2499</v>
      </c>
      <c r="J216" s="137"/>
      <c r="K216" s="191" t="s">
        <v>1188</v>
      </c>
      <c r="L216" s="139">
        <f t="shared" si="10"/>
        <v>4</v>
      </c>
      <c r="M216" s="140">
        <f t="shared" si="9"/>
        <v>0.25</v>
      </c>
      <c r="N216" s="141">
        <f t="shared" si="11"/>
        <v>1</v>
      </c>
      <c r="O216" s="259" t="s">
        <v>1776</v>
      </c>
      <c r="P216" s="143" t="s">
        <v>1780</v>
      </c>
      <c r="Q216" s="264"/>
    </row>
    <row r="217" spans="2:17" s="144" customFormat="1">
      <c r="B217" s="127" t="s">
        <v>2192</v>
      </c>
      <c r="C217" s="147">
        <v>212</v>
      </c>
      <c r="D217" s="180" t="s">
        <v>2304</v>
      </c>
      <c r="E217" s="181" t="s">
        <v>2417</v>
      </c>
      <c r="F217" s="181" t="s">
        <v>3468</v>
      </c>
      <c r="G217" s="181" t="s">
        <v>2491</v>
      </c>
      <c r="H217" s="181" t="s">
        <v>2500</v>
      </c>
      <c r="I217" s="182" t="s">
        <v>2500</v>
      </c>
      <c r="J217" s="137"/>
      <c r="K217" s="191" t="s">
        <v>1226</v>
      </c>
      <c r="L217" s="139">
        <f t="shared" si="10"/>
        <v>3.9</v>
      </c>
      <c r="M217" s="140">
        <f t="shared" si="9"/>
        <v>0.25</v>
      </c>
      <c r="N217" s="141">
        <f t="shared" si="11"/>
        <v>0.97499999999999998</v>
      </c>
      <c r="O217" s="259" t="s">
        <v>1776</v>
      </c>
      <c r="P217" s="143" t="s">
        <v>1780</v>
      </c>
      <c r="Q217" s="264"/>
    </row>
    <row r="218" spans="2:17" s="144" customFormat="1">
      <c r="B218" s="127" t="s">
        <v>2192</v>
      </c>
      <c r="C218" s="133">
        <v>213</v>
      </c>
      <c r="D218" s="180" t="s">
        <v>2304</v>
      </c>
      <c r="E218" s="181" t="s">
        <v>2417</v>
      </c>
      <c r="F218" s="181" t="s">
        <v>3469</v>
      </c>
      <c r="G218" s="181" t="s">
        <v>2501</v>
      </c>
      <c r="H218" s="181" t="s">
        <v>2502</v>
      </c>
      <c r="I218" s="182" t="s">
        <v>2502</v>
      </c>
      <c r="J218" s="137"/>
      <c r="K218" s="138" t="s">
        <v>1155</v>
      </c>
      <c r="L218" s="139">
        <f t="shared" si="10"/>
        <v>7.5</v>
      </c>
      <c r="M218" s="140">
        <f t="shared" si="9"/>
        <v>0.25</v>
      </c>
      <c r="N218" s="141">
        <f t="shared" si="11"/>
        <v>1.875</v>
      </c>
      <c r="O218" s="259" t="s">
        <v>1776</v>
      </c>
      <c r="P218" s="143" t="s">
        <v>1780</v>
      </c>
      <c r="Q218" s="264"/>
    </row>
    <row r="219" spans="2:17" s="144" customFormat="1">
      <c r="B219" s="127" t="s">
        <v>2192</v>
      </c>
      <c r="C219" s="133">
        <v>214</v>
      </c>
      <c r="D219" s="180" t="s">
        <v>2304</v>
      </c>
      <c r="E219" s="181" t="s">
        <v>2417</v>
      </c>
      <c r="F219" s="181" t="s">
        <v>3470</v>
      </c>
      <c r="G219" s="181" t="s">
        <v>2501</v>
      </c>
      <c r="H219" s="181" t="s">
        <v>2503</v>
      </c>
      <c r="I219" s="182" t="s">
        <v>2504</v>
      </c>
      <c r="J219" s="137"/>
      <c r="K219" s="191" t="s">
        <v>1226</v>
      </c>
      <c r="L219" s="139">
        <f t="shared" si="10"/>
        <v>3.9</v>
      </c>
      <c r="M219" s="140">
        <f t="shared" si="9"/>
        <v>0.25</v>
      </c>
      <c r="N219" s="141">
        <f t="shared" si="11"/>
        <v>0.97499999999999998</v>
      </c>
      <c r="O219" s="259" t="s">
        <v>1776</v>
      </c>
      <c r="P219" s="143" t="s">
        <v>1780</v>
      </c>
      <c r="Q219" s="264"/>
    </row>
    <row r="220" spans="2:17" s="144" customFormat="1">
      <c r="B220" s="127" t="s">
        <v>2192</v>
      </c>
      <c r="C220" s="133">
        <v>215</v>
      </c>
      <c r="D220" s="180" t="s">
        <v>2304</v>
      </c>
      <c r="E220" s="181" t="s">
        <v>2417</v>
      </c>
      <c r="F220" s="181" t="s">
        <v>3471</v>
      </c>
      <c r="G220" s="181" t="s">
        <v>2501</v>
      </c>
      <c r="H220" s="181" t="s">
        <v>2505</v>
      </c>
      <c r="I220" s="182" t="s">
        <v>2505</v>
      </c>
      <c r="J220" s="137"/>
      <c r="K220" s="191" t="s">
        <v>1188</v>
      </c>
      <c r="L220" s="139">
        <f t="shared" si="10"/>
        <v>4</v>
      </c>
      <c r="M220" s="140">
        <f t="shared" si="9"/>
        <v>0.25</v>
      </c>
      <c r="N220" s="141">
        <f t="shared" si="11"/>
        <v>1</v>
      </c>
      <c r="O220" s="259" t="s">
        <v>1776</v>
      </c>
      <c r="P220" s="143" t="s">
        <v>1780</v>
      </c>
      <c r="Q220" s="264"/>
    </row>
    <row r="221" spans="2:17" s="144" customFormat="1">
      <c r="B221" s="127" t="s">
        <v>2192</v>
      </c>
      <c r="C221" s="133">
        <v>216</v>
      </c>
      <c r="D221" s="180" t="s">
        <v>2304</v>
      </c>
      <c r="E221" s="181" t="s">
        <v>2417</v>
      </c>
      <c r="F221" s="181" t="s">
        <v>3472</v>
      </c>
      <c r="G221" s="181" t="s">
        <v>2501</v>
      </c>
      <c r="H221" s="181" t="s">
        <v>2506</v>
      </c>
      <c r="I221" s="182" t="s">
        <v>2506</v>
      </c>
      <c r="J221" s="137"/>
      <c r="K221" s="191" t="s">
        <v>1188</v>
      </c>
      <c r="L221" s="139">
        <f t="shared" si="10"/>
        <v>4</v>
      </c>
      <c r="M221" s="140">
        <f t="shared" si="9"/>
        <v>0.25</v>
      </c>
      <c r="N221" s="141">
        <f t="shared" si="11"/>
        <v>1</v>
      </c>
      <c r="O221" s="259" t="s">
        <v>1776</v>
      </c>
      <c r="P221" s="143" t="s">
        <v>1780</v>
      </c>
      <c r="Q221" s="264"/>
    </row>
    <row r="222" spans="2:17" s="144" customFormat="1">
      <c r="B222" s="127" t="s">
        <v>2192</v>
      </c>
      <c r="C222" s="133">
        <v>217</v>
      </c>
      <c r="D222" s="180" t="s">
        <v>2304</v>
      </c>
      <c r="E222" s="181" t="s">
        <v>2417</v>
      </c>
      <c r="F222" s="181" t="s">
        <v>3473</v>
      </c>
      <c r="G222" s="181" t="s">
        <v>2501</v>
      </c>
      <c r="H222" s="181" t="s">
        <v>2507</v>
      </c>
      <c r="I222" s="182" t="s">
        <v>2507</v>
      </c>
      <c r="J222" s="137"/>
      <c r="K222" s="191" t="s">
        <v>1188</v>
      </c>
      <c r="L222" s="139">
        <f t="shared" si="10"/>
        <v>4</v>
      </c>
      <c r="M222" s="140">
        <f t="shared" si="9"/>
        <v>0.25</v>
      </c>
      <c r="N222" s="141">
        <f t="shared" si="11"/>
        <v>1</v>
      </c>
      <c r="O222" s="259" t="s">
        <v>1776</v>
      </c>
      <c r="P222" s="143" t="s">
        <v>1780</v>
      </c>
      <c r="Q222" s="264"/>
    </row>
    <row r="223" spans="2:17" s="144" customFormat="1">
      <c r="B223" s="127" t="s">
        <v>2192</v>
      </c>
      <c r="C223" s="133">
        <v>218</v>
      </c>
      <c r="D223" s="180" t="s">
        <v>2304</v>
      </c>
      <c r="E223" s="181" t="s">
        <v>2417</v>
      </c>
      <c r="F223" s="181" t="s">
        <v>3474</v>
      </c>
      <c r="G223" s="181" t="s">
        <v>2501</v>
      </c>
      <c r="H223" s="181" t="s">
        <v>2508</v>
      </c>
      <c r="I223" s="182" t="s">
        <v>2508</v>
      </c>
      <c r="J223" s="137"/>
      <c r="K223" s="191" t="s">
        <v>1226</v>
      </c>
      <c r="L223" s="139">
        <f t="shared" si="10"/>
        <v>3.9</v>
      </c>
      <c r="M223" s="140">
        <f t="shared" si="9"/>
        <v>0.25</v>
      </c>
      <c r="N223" s="141">
        <f t="shared" si="11"/>
        <v>0.97499999999999998</v>
      </c>
      <c r="O223" s="259" t="s">
        <v>1776</v>
      </c>
      <c r="P223" s="143" t="s">
        <v>1780</v>
      </c>
      <c r="Q223" s="264"/>
    </row>
    <row r="224" spans="2:17" s="144" customFormat="1" ht="27">
      <c r="B224" s="127" t="s">
        <v>2192</v>
      </c>
      <c r="C224" s="133">
        <v>219</v>
      </c>
      <c r="D224" s="180" t="s">
        <v>2304</v>
      </c>
      <c r="E224" s="181" t="s">
        <v>2417</v>
      </c>
      <c r="F224" s="181" t="s">
        <v>3475</v>
      </c>
      <c r="G224" s="181" t="s">
        <v>2501</v>
      </c>
      <c r="H224" s="181" t="s">
        <v>2509</v>
      </c>
      <c r="I224" s="182" t="s">
        <v>2510</v>
      </c>
      <c r="J224" s="137"/>
      <c r="K224" s="146" t="s">
        <v>1607</v>
      </c>
      <c r="L224" s="139">
        <f t="shared" si="10"/>
        <v>5.4</v>
      </c>
      <c r="M224" s="140">
        <f t="shared" si="9"/>
        <v>1</v>
      </c>
      <c r="N224" s="141">
        <f t="shared" si="11"/>
        <v>5.4</v>
      </c>
      <c r="O224" s="259" t="s">
        <v>1156</v>
      </c>
      <c r="P224" s="143" t="s">
        <v>1780</v>
      </c>
      <c r="Q224" s="264"/>
    </row>
    <row r="225" spans="2:17" s="144" customFormat="1">
      <c r="B225" s="127" t="s">
        <v>2192</v>
      </c>
      <c r="C225" s="267">
        <v>220</v>
      </c>
      <c r="D225" s="276" t="s">
        <v>2304</v>
      </c>
      <c r="E225" s="269" t="s">
        <v>2417</v>
      </c>
      <c r="F225" s="269" t="s">
        <v>3476</v>
      </c>
      <c r="G225" s="269" t="s">
        <v>2501</v>
      </c>
      <c r="H225" s="269" t="s">
        <v>2511</v>
      </c>
      <c r="I225" s="277" t="s">
        <v>2511</v>
      </c>
      <c r="J225" s="137"/>
      <c r="K225" s="191" t="s">
        <v>1188</v>
      </c>
      <c r="L225" s="139">
        <f t="shared" si="10"/>
        <v>4</v>
      </c>
      <c r="M225" s="140">
        <f t="shared" si="9"/>
        <v>1</v>
      </c>
      <c r="N225" s="141">
        <f t="shared" si="11"/>
        <v>4</v>
      </c>
      <c r="O225" s="259" t="s">
        <v>1156</v>
      </c>
      <c r="P225" s="143" t="s">
        <v>1780</v>
      </c>
      <c r="Q225" s="264"/>
    </row>
    <row r="226" spans="2:17" s="144" customFormat="1">
      <c r="B226" s="127" t="s">
        <v>2192</v>
      </c>
      <c r="C226" s="267">
        <v>221</v>
      </c>
      <c r="D226" s="276" t="s">
        <v>2304</v>
      </c>
      <c r="E226" s="269" t="s">
        <v>2417</v>
      </c>
      <c r="F226" s="269" t="s">
        <v>3477</v>
      </c>
      <c r="G226" s="269" t="s">
        <v>2501</v>
      </c>
      <c r="H226" s="269" t="s">
        <v>2512</v>
      </c>
      <c r="I226" s="277" t="s">
        <v>2512</v>
      </c>
      <c r="J226" s="137"/>
      <c r="K226" s="191" t="s">
        <v>1188</v>
      </c>
      <c r="L226" s="139">
        <f t="shared" si="10"/>
        <v>4</v>
      </c>
      <c r="M226" s="140">
        <f t="shared" si="9"/>
        <v>1</v>
      </c>
      <c r="N226" s="141">
        <f t="shared" si="11"/>
        <v>4</v>
      </c>
      <c r="O226" s="259" t="s">
        <v>1156</v>
      </c>
      <c r="P226" s="143" t="s">
        <v>1780</v>
      </c>
      <c r="Q226" s="264"/>
    </row>
    <row r="227" spans="2:17" s="144" customFormat="1">
      <c r="B227" s="127" t="s">
        <v>2192</v>
      </c>
      <c r="C227" s="147">
        <v>222</v>
      </c>
      <c r="D227" s="185" t="s">
        <v>2304</v>
      </c>
      <c r="E227" s="186" t="s">
        <v>2417</v>
      </c>
      <c r="F227" s="186" t="s">
        <v>3478</v>
      </c>
      <c r="G227" s="186" t="s">
        <v>2501</v>
      </c>
      <c r="H227" s="186" t="s">
        <v>2513</v>
      </c>
      <c r="I227" s="187" t="s">
        <v>2513</v>
      </c>
      <c r="J227" s="137"/>
      <c r="K227" s="152" t="s">
        <v>1236</v>
      </c>
      <c r="L227" s="139">
        <f t="shared" si="10"/>
        <v>5.2</v>
      </c>
      <c r="M227" s="140">
        <f t="shared" si="9"/>
        <v>1</v>
      </c>
      <c r="N227" s="141">
        <f t="shared" si="11"/>
        <v>5.2</v>
      </c>
      <c r="O227" s="259" t="s">
        <v>1156</v>
      </c>
      <c r="P227" s="143" t="s">
        <v>1780</v>
      </c>
      <c r="Q227" s="264"/>
    </row>
    <row r="228" spans="2:17" s="144" customFormat="1">
      <c r="B228" s="127" t="s">
        <v>2192</v>
      </c>
      <c r="C228" s="147">
        <v>223</v>
      </c>
      <c r="D228" s="185" t="s">
        <v>2304</v>
      </c>
      <c r="E228" s="186" t="s">
        <v>2417</v>
      </c>
      <c r="F228" s="186" t="s">
        <v>3479</v>
      </c>
      <c r="G228" s="186" t="s">
        <v>2501</v>
      </c>
      <c r="H228" s="186" t="s">
        <v>1482</v>
      </c>
      <c r="I228" s="187" t="s">
        <v>1482</v>
      </c>
      <c r="J228" s="137"/>
      <c r="K228" s="152" t="s">
        <v>1236</v>
      </c>
      <c r="L228" s="139">
        <f t="shared" si="10"/>
        <v>5.2</v>
      </c>
      <c r="M228" s="140">
        <f t="shared" si="9"/>
        <v>1</v>
      </c>
      <c r="N228" s="141">
        <f t="shared" si="11"/>
        <v>5.2</v>
      </c>
      <c r="O228" s="259" t="s">
        <v>1156</v>
      </c>
      <c r="P228" s="143" t="s">
        <v>1780</v>
      </c>
      <c r="Q228" s="264"/>
    </row>
    <row r="229" spans="2:17" s="144" customFormat="1">
      <c r="B229" s="127" t="s">
        <v>2192</v>
      </c>
      <c r="C229" s="147">
        <v>224</v>
      </c>
      <c r="D229" s="185" t="s">
        <v>2304</v>
      </c>
      <c r="E229" s="186" t="s">
        <v>2417</v>
      </c>
      <c r="F229" s="186" t="s">
        <v>3480</v>
      </c>
      <c r="G229" s="186" t="s">
        <v>2514</v>
      </c>
      <c r="H229" s="186" t="s">
        <v>2515</v>
      </c>
      <c r="I229" s="187" t="s">
        <v>2515</v>
      </c>
      <c r="J229" s="137"/>
      <c r="K229" s="152" t="s">
        <v>1236</v>
      </c>
      <c r="L229" s="139">
        <f t="shared" si="10"/>
        <v>5.2</v>
      </c>
      <c r="M229" s="140">
        <f t="shared" si="9"/>
        <v>1</v>
      </c>
      <c r="N229" s="141">
        <f t="shared" si="11"/>
        <v>5.2</v>
      </c>
      <c r="O229" s="259" t="s">
        <v>1156</v>
      </c>
      <c r="P229" s="143" t="s">
        <v>1780</v>
      </c>
      <c r="Q229" s="264"/>
    </row>
    <row r="230" spans="2:17" s="144" customFormat="1">
      <c r="B230" s="127" t="s">
        <v>2192</v>
      </c>
      <c r="C230" s="147">
        <v>225</v>
      </c>
      <c r="D230" s="185" t="s">
        <v>2304</v>
      </c>
      <c r="E230" s="186" t="s">
        <v>2417</v>
      </c>
      <c r="F230" s="186" t="s">
        <v>3481</v>
      </c>
      <c r="G230" s="186" t="s">
        <v>2514</v>
      </c>
      <c r="H230" s="186" t="s">
        <v>2516</v>
      </c>
      <c r="I230" s="187" t="s">
        <v>2516</v>
      </c>
      <c r="J230" s="137"/>
      <c r="K230" s="152" t="s">
        <v>1236</v>
      </c>
      <c r="L230" s="139">
        <f t="shared" si="10"/>
        <v>5.2</v>
      </c>
      <c r="M230" s="140">
        <f t="shared" si="9"/>
        <v>1</v>
      </c>
      <c r="N230" s="141">
        <f t="shared" si="11"/>
        <v>5.2</v>
      </c>
      <c r="O230" s="259" t="s">
        <v>1156</v>
      </c>
      <c r="P230" s="143" t="s">
        <v>1780</v>
      </c>
      <c r="Q230" s="264"/>
    </row>
    <row r="231" spans="2:17" s="144" customFormat="1">
      <c r="B231" s="127" t="s">
        <v>2192</v>
      </c>
      <c r="C231" s="147">
        <v>226</v>
      </c>
      <c r="D231" s="185" t="s">
        <v>2304</v>
      </c>
      <c r="E231" s="186" t="s">
        <v>2417</v>
      </c>
      <c r="F231" s="186" t="s">
        <v>3482</v>
      </c>
      <c r="G231" s="186" t="s">
        <v>2514</v>
      </c>
      <c r="H231" s="186" t="s">
        <v>2517</v>
      </c>
      <c r="I231" s="187" t="s">
        <v>2517</v>
      </c>
      <c r="J231" s="137"/>
      <c r="K231" s="152" t="s">
        <v>1188</v>
      </c>
      <c r="L231" s="139">
        <f t="shared" si="10"/>
        <v>4</v>
      </c>
      <c r="M231" s="140">
        <f t="shared" si="9"/>
        <v>1</v>
      </c>
      <c r="N231" s="141">
        <f t="shared" si="11"/>
        <v>4</v>
      </c>
      <c r="O231" s="259" t="s">
        <v>1156</v>
      </c>
      <c r="P231" s="143" t="s">
        <v>1780</v>
      </c>
      <c r="Q231" s="264"/>
    </row>
    <row r="232" spans="2:17" s="144" customFormat="1">
      <c r="B232" s="127" t="s">
        <v>2192</v>
      </c>
      <c r="C232" s="147">
        <v>227</v>
      </c>
      <c r="D232" s="185" t="s">
        <v>2304</v>
      </c>
      <c r="E232" s="186" t="s">
        <v>2417</v>
      </c>
      <c r="F232" s="186" t="s">
        <v>3483</v>
      </c>
      <c r="G232" s="186" t="s">
        <v>2514</v>
      </c>
      <c r="H232" s="186" t="s">
        <v>2518</v>
      </c>
      <c r="I232" s="187" t="s">
        <v>2518</v>
      </c>
      <c r="J232" s="137"/>
      <c r="K232" s="152" t="s">
        <v>1226</v>
      </c>
      <c r="L232" s="139">
        <f t="shared" si="10"/>
        <v>3.9</v>
      </c>
      <c r="M232" s="140">
        <f t="shared" si="9"/>
        <v>1</v>
      </c>
      <c r="N232" s="141">
        <f t="shared" si="11"/>
        <v>3.9</v>
      </c>
      <c r="O232" s="259" t="s">
        <v>1156</v>
      </c>
      <c r="P232" s="143" t="s">
        <v>1780</v>
      </c>
      <c r="Q232" s="264"/>
    </row>
    <row r="233" spans="2:17" s="144" customFormat="1">
      <c r="B233" s="127" t="s">
        <v>2192</v>
      </c>
      <c r="C233" s="147">
        <v>228</v>
      </c>
      <c r="D233" s="185" t="s">
        <v>2304</v>
      </c>
      <c r="E233" s="186" t="s">
        <v>2519</v>
      </c>
      <c r="F233" s="186" t="s">
        <v>3484</v>
      </c>
      <c r="G233" s="186" t="s">
        <v>2520</v>
      </c>
      <c r="H233" s="186" t="s">
        <v>2521</v>
      </c>
      <c r="I233" s="187" t="s">
        <v>2522</v>
      </c>
      <c r="J233" s="137"/>
      <c r="K233" s="191" t="s">
        <v>1202</v>
      </c>
      <c r="L233" s="139">
        <f t="shared" si="10"/>
        <v>7.5</v>
      </c>
      <c r="M233" s="140">
        <f t="shared" si="9"/>
        <v>0.25</v>
      </c>
      <c r="N233" s="141">
        <f t="shared" si="11"/>
        <v>1.875</v>
      </c>
      <c r="O233" s="259" t="s">
        <v>1776</v>
      </c>
      <c r="P233" s="143" t="s">
        <v>1780</v>
      </c>
      <c r="Q233" s="264"/>
    </row>
    <row r="234" spans="2:17" s="144" customFormat="1">
      <c r="B234" s="127" t="s">
        <v>2192</v>
      </c>
      <c r="C234" s="147">
        <v>229</v>
      </c>
      <c r="D234" s="185" t="s">
        <v>2304</v>
      </c>
      <c r="E234" s="186" t="s">
        <v>2519</v>
      </c>
      <c r="F234" s="186" t="s">
        <v>3485</v>
      </c>
      <c r="G234" s="186" t="s">
        <v>2520</v>
      </c>
      <c r="H234" s="186" t="s">
        <v>2523</v>
      </c>
      <c r="I234" s="187" t="s">
        <v>2524</v>
      </c>
      <c r="J234" s="137"/>
      <c r="K234" s="152" t="s">
        <v>1236</v>
      </c>
      <c r="L234" s="139">
        <f t="shared" si="10"/>
        <v>5.2</v>
      </c>
      <c r="M234" s="140">
        <f t="shared" si="9"/>
        <v>0.25</v>
      </c>
      <c r="N234" s="141">
        <f t="shared" si="11"/>
        <v>1.3</v>
      </c>
      <c r="O234" s="259" t="s">
        <v>1776</v>
      </c>
      <c r="P234" s="143" t="s">
        <v>1780</v>
      </c>
      <c r="Q234" s="264"/>
    </row>
    <row r="235" spans="2:17" s="144" customFormat="1">
      <c r="B235" s="127" t="s">
        <v>2192</v>
      </c>
      <c r="C235" s="147">
        <v>230</v>
      </c>
      <c r="D235" s="185" t="s">
        <v>2304</v>
      </c>
      <c r="E235" s="186" t="s">
        <v>2519</v>
      </c>
      <c r="F235" s="186" t="s">
        <v>3486</v>
      </c>
      <c r="G235" s="186" t="s">
        <v>2520</v>
      </c>
      <c r="H235" s="186" t="s">
        <v>2525</v>
      </c>
      <c r="I235" s="187" t="s">
        <v>2526</v>
      </c>
      <c r="J235" s="137"/>
      <c r="K235" s="191" t="s">
        <v>1226</v>
      </c>
      <c r="L235" s="139">
        <f t="shared" si="10"/>
        <v>3.9</v>
      </c>
      <c r="M235" s="140">
        <f t="shared" si="9"/>
        <v>0.25</v>
      </c>
      <c r="N235" s="141">
        <f t="shared" si="11"/>
        <v>0.97499999999999998</v>
      </c>
      <c r="O235" s="259" t="s">
        <v>1776</v>
      </c>
      <c r="P235" s="143" t="s">
        <v>1780</v>
      </c>
      <c r="Q235" s="264"/>
    </row>
    <row r="236" spans="2:17" s="144" customFormat="1" ht="27">
      <c r="B236" s="127" t="s">
        <v>2192</v>
      </c>
      <c r="C236" s="147">
        <v>231</v>
      </c>
      <c r="D236" s="185" t="s">
        <v>2304</v>
      </c>
      <c r="E236" s="186" t="s">
        <v>2519</v>
      </c>
      <c r="F236" s="186" t="s">
        <v>3487</v>
      </c>
      <c r="G236" s="186" t="s">
        <v>2520</v>
      </c>
      <c r="H236" s="278" t="s">
        <v>2527</v>
      </c>
      <c r="I236" s="187" t="s">
        <v>2528</v>
      </c>
      <c r="J236" s="137"/>
      <c r="K236" s="152" t="s">
        <v>1188</v>
      </c>
      <c r="L236" s="139">
        <f t="shared" si="10"/>
        <v>4</v>
      </c>
      <c r="M236" s="140">
        <f t="shared" si="9"/>
        <v>1</v>
      </c>
      <c r="N236" s="141">
        <f t="shared" si="11"/>
        <v>4</v>
      </c>
      <c r="O236" s="259" t="s">
        <v>1156</v>
      </c>
      <c r="P236" s="143" t="s">
        <v>1780</v>
      </c>
      <c r="Q236" s="264"/>
    </row>
    <row r="237" spans="2:17" s="144" customFormat="1">
      <c r="B237" s="127" t="s">
        <v>2192</v>
      </c>
      <c r="C237" s="147">
        <v>232</v>
      </c>
      <c r="D237" s="185" t="s">
        <v>2304</v>
      </c>
      <c r="E237" s="186" t="s">
        <v>2519</v>
      </c>
      <c r="F237" s="186" t="s">
        <v>3488</v>
      </c>
      <c r="G237" s="186" t="s">
        <v>2520</v>
      </c>
      <c r="H237" s="186" t="s">
        <v>2529</v>
      </c>
      <c r="I237" s="187" t="s">
        <v>2530</v>
      </c>
      <c r="J237" s="137"/>
      <c r="K237" s="152" t="s">
        <v>1226</v>
      </c>
      <c r="L237" s="139">
        <f t="shared" si="10"/>
        <v>3.9</v>
      </c>
      <c r="M237" s="140">
        <f t="shared" si="9"/>
        <v>1</v>
      </c>
      <c r="N237" s="141">
        <f t="shared" si="11"/>
        <v>3.9</v>
      </c>
      <c r="O237" s="259" t="s">
        <v>1156</v>
      </c>
      <c r="P237" s="143" t="s">
        <v>1780</v>
      </c>
      <c r="Q237" s="264"/>
    </row>
    <row r="238" spans="2:17" s="144" customFormat="1">
      <c r="B238" s="127" t="s">
        <v>2192</v>
      </c>
      <c r="C238" s="147">
        <v>233</v>
      </c>
      <c r="D238" s="185" t="s">
        <v>2304</v>
      </c>
      <c r="E238" s="186" t="s">
        <v>2519</v>
      </c>
      <c r="F238" s="186" t="s">
        <v>3489</v>
      </c>
      <c r="G238" s="186" t="s">
        <v>2520</v>
      </c>
      <c r="H238" s="186" t="s">
        <v>2531</v>
      </c>
      <c r="I238" s="187" t="s">
        <v>2532</v>
      </c>
      <c r="J238" s="137"/>
      <c r="K238" s="152" t="s">
        <v>1236</v>
      </c>
      <c r="L238" s="139">
        <f t="shared" si="10"/>
        <v>5.2</v>
      </c>
      <c r="M238" s="140">
        <f t="shared" si="9"/>
        <v>1</v>
      </c>
      <c r="N238" s="141">
        <f t="shared" si="11"/>
        <v>5.2</v>
      </c>
      <c r="O238" s="259" t="s">
        <v>1156</v>
      </c>
      <c r="P238" s="143" t="s">
        <v>1780</v>
      </c>
      <c r="Q238" s="264"/>
    </row>
    <row r="239" spans="2:17" s="144" customFormat="1">
      <c r="B239" s="127" t="s">
        <v>2192</v>
      </c>
      <c r="C239" s="147">
        <v>234</v>
      </c>
      <c r="D239" s="185" t="s">
        <v>2304</v>
      </c>
      <c r="E239" s="186" t="s">
        <v>2519</v>
      </c>
      <c r="F239" s="186" t="s">
        <v>3490</v>
      </c>
      <c r="G239" s="186" t="s">
        <v>2520</v>
      </c>
      <c r="H239" s="186" t="s">
        <v>2533</v>
      </c>
      <c r="I239" s="187" t="s">
        <v>2534</v>
      </c>
      <c r="J239" s="137"/>
      <c r="K239" s="152" t="s">
        <v>1236</v>
      </c>
      <c r="L239" s="139">
        <f t="shared" si="10"/>
        <v>5.2</v>
      </c>
      <c r="M239" s="140">
        <f t="shared" si="9"/>
        <v>1</v>
      </c>
      <c r="N239" s="141">
        <f t="shared" si="11"/>
        <v>5.2</v>
      </c>
      <c r="O239" s="259" t="s">
        <v>1156</v>
      </c>
      <c r="P239" s="143" t="s">
        <v>1780</v>
      </c>
      <c r="Q239" s="264"/>
    </row>
    <row r="240" spans="2:17" s="144" customFormat="1">
      <c r="B240" s="127" t="s">
        <v>2192</v>
      </c>
      <c r="C240" s="147">
        <v>235</v>
      </c>
      <c r="D240" s="185" t="s">
        <v>2304</v>
      </c>
      <c r="E240" s="186" t="s">
        <v>2519</v>
      </c>
      <c r="F240" s="186" t="s">
        <v>3491</v>
      </c>
      <c r="G240" s="186" t="s">
        <v>2520</v>
      </c>
      <c r="H240" s="186" t="s">
        <v>2535</v>
      </c>
      <c r="I240" s="187" t="s">
        <v>2536</v>
      </c>
      <c r="J240" s="137"/>
      <c r="K240" s="152" t="s">
        <v>1236</v>
      </c>
      <c r="L240" s="139">
        <f t="shared" si="10"/>
        <v>5.2</v>
      </c>
      <c r="M240" s="140">
        <f t="shared" si="9"/>
        <v>1</v>
      </c>
      <c r="N240" s="141">
        <f t="shared" si="11"/>
        <v>5.2</v>
      </c>
      <c r="O240" s="259" t="s">
        <v>1156</v>
      </c>
      <c r="P240" s="143" t="s">
        <v>1780</v>
      </c>
      <c r="Q240" s="264"/>
    </row>
    <row r="241" spans="2:17" s="144" customFormat="1">
      <c r="B241" s="127" t="s">
        <v>2192</v>
      </c>
      <c r="C241" s="147">
        <v>236</v>
      </c>
      <c r="D241" s="185" t="s">
        <v>2304</v>
      </c>
      <c r="E241" s="186" t="s">
        <v>2519</v>
      </c>
      <c r="F241" s="186" t="s">
        <v>3492</v>
      </c>
      <c r="G241" s="186" t="s">
        <v>2520</v>
      </c>
      <c r="H241" s="186" t="s">
        <v>2537</v>
      </c>
      <c r="I241" s="187" t="s">
        <v>2538</v>
      </c>
      <c r="J241" s="137"/>
      <c r="K241" s="152" t="s">
        <v>1236</v>
      </c>
      <c r="L241" s="139">
        <f t="shared" si="10"/>
        <v>5.2</v>
      </c>
      <c r="M241" s="140">
        <f t="shared" si="9"/>
        <v>1</v>
      </c>
      <c r="N241" s="141">
        <f t="shared" si="11"/>
        <v>5.2</v>
      </c>
      <c r="O241" s="259" t="s">
        <v>1156</v>
      </c>
      <c r="P241" s="143" t="s">
        <v>1780</v>
      </c>
      <c r="Q241" s="264"/>
    </row>
    <row r="242" spans="2:17" s="144" customFormat="1">
      <c r="B242" s="127" t="s">
        <v>2192</v>
      </c>
      <c r="C242" s="147">
        <v>237</v>
      </c>
      <c r="D242" s="185" t="s">
        <v>2304</v>
      </c>
      <c r="E242" s="186" t="s">
        <v>2519</v>
      </c>
      <c r="F242" s="186" t="s">
        <v>3493</v>
      </c>
      <c r="G242" s="186" t="s">
        <v>2520</v>
      </c>
      <c r="H242" s="186" t="s">
        <v>2539</v>
      </c>
      <c r="I242" s="187" t="s">
        <v>2540</v>
      </c>
      <c r="J242" s="137"/>
      <c r="K242" s="152" t="s">
        <v>1236</v>
      </c>
      <c r="L242" s="139">
        <f t="shared" si="10"/>
        <v>5.2</v>
      </c>
      <c r="M242" s="140">
        <f t="shared" si="9"/>
        <v>1</v>
      </c>
      <c r="N242" s="141">
        <f t="shared" si="11"/>
        <v>5.2</v>
      </c>
      <c r="O242" s="259" t="s">
        <v>1156</v>
      </c>
      <c r="P242" s="143" t="s">
        <v>1780</v>
      </c>
      <c r="Q242" s="264"/>
    </row>
    <row r="243" spans="2:17" s="144" customFormat="1">
      <c r="B243" s="127" t="s">
        <v>2192</v>
      </c>
      <c r="C243" s="267">
        <v>238</v>
      </c>
      <c r="D243" s="276" t="s">
        <v>2304</v>
      </c>
      <c r="E243" s="269" t="s">
        <v>2519</v>
      </c>
      <c r="F243" s="269" t="s">
        <v>3494</v>
      </c>
      <c r="G243" s="269" t="s">
        <v>2541</v>
      </c>
      <c r="H243" s="269" t="s">
        <v>2542</v>
      </c>
      <c r="I243" s="277" t="s">
        <v>2543</v>
      </c>
      <c r="J243" s="137"/>
      <c r="K243" s="138" t="s">
        <v>1155</v>
      </c>
      <c r="L243" s="139">
        <f t="shared" si="10"/>
        <v>7.5</v>
      </c>
      <c r="M243" s="140">
        <f t="shared" si="9"/>
        <v>0.25</v>
      </c>
      <c r="N243" s="141">
        <f t="shared" si="11"/>
        <v>1.875</v>
      </c>
      <c r="O243" s="259" t="s">
        <v>1776</v>
      </c>
      <c r="P243" s="143" t="s">
        <v>1780</v>
      </c>
      <c r="Q243" s="264"/>
    </row>
    <row r="244" spans="2:17" s="144" customFormat="1">
      <c r="B244" s="127" t="s">
        <v>2192</v>
      </c>
      <c r="C244" s="267">
        <v>239</v>
      </c>
      <c r="D244" s="276" t="s">
        <v>2304</v>
      </c>
      <c r="E244" s="269" t="s">
        <v>2519</v>
      </c>
      <c r="F244" s="269" t="s">
        <v>3495</v>
      </c>
      <c r="G244" s="269" t="s">
        <v>2541</v>
      </c>
      <c r="H244" s="269" t="s">
        <v>2544</v>
      </c>
      <c r="I244" s="277" t="s">
        <v>2545</v>
      </c>
      <c r="J244" s="137"/>
      <c r="K244" s="191" t="s">
        <v>1416</v>
      </c>
      <c r="L244" s="139">
        <f t="shared" si="10"/>
        <v>5.4</v>
      </c>
      <c r="M244" s="140">
        <f t="shared" si="9"/>
        <v>0.25</v>
      </c>
      <c r="N244" s="141">
        <f t="shared" si="11"/>
        <v>1.35</v>
      </c>
      <c r="O244" s="259" t="s">
        <v>1776</v>
      </c>
      <c r="P244" s="143" t="s">
        <v>1780</v>
      </c>
      <c r="Q244" s="264"/>
    </row>
    <row r="245" spans="2:17" s="144" customFormat="1">
      <c r="B245" s="127" t="s">
        <v>2192</v>
      </c>
      <c r="C245" s="267">
        <v>240</v>
      </c>
      <c r="D245" s="276" t="s">
        <v>2304</v>
      </c>
      <c r="E245" s="269" t="s">
        <v>2519</v>
      </c>
      <c r="F245" s="269" t="s">
        <v>3496</v>
      </c>
      <c r="G245" s="269" t="s">
        <v>2541</v>
      </c>
      <c r="H245" s="269" t="s">
        <v>2546</v>
      </c>
      <c r="I245" s="277" t="s">
        <v>2547</v>
      </c>
      <c r="J245" s="137"/>
      <c r="K245" s="152" t="s">
        <v>1226</v>
      </c>
      <c r="L245" s="139">
        <f t="shared" si="10"/>
        <v>3.9</v>
      </c>
      <c r="M245" s="140">
        <f t="shared" si="9"/>
        <v>1</v>
      </c>
      <c r="N245" s="141">
        <f t="shared" si="11"/>
        <v>3.9</v>
      </c>
      <c r="O245" s="259" t="s">
        <v>1156</v>
      </c>
      <c r="P245" s="143" t="s">
        <v>1780</v>
      </c>
      <c r="Q245" s="264"/>
    </row>
    <row r="246" spans="2:17" s="144" customFormat="1">
      <c r="B246" s="127" t="s">
        <v>2192</v>
      </c>
      <c r="C246" s="267">
        <v>241</v>
      </c>
      <c r="D246" s="276" t="s">
        <v>2304</v>
      </c>
      <c r="E246" s="269" t="s">
        <v>2519</v>
      </c>
      <c r="F246" s="269" t="s">
        <v>3497</v>
      </c>
      <c r="G246" s="269" t="s">
        <v>2541</v>
      </c>
      <c r="H246" s="269" t="s">
        <v>2548</v>
      </c>
      <c r="I246" s="277" t="s">
        <v>2549</v>
      </c>
      <c r="J246" s="137"/>
      <c r="K246" s="152" t="s">
        <v>1188</v>
      </c>
      <c r="L246" s="139">
        <f t="shared" si="10"/>
        <v>4</v>
      </c>
      <c r="M246" s="140">
        <f t="shared" si="9"/>
        <v>1</v>
      </c>
      <c r="N246" s="141">
        <f t="shared" si="11"/>
        <v>4</v>
      </c>
      <c r="O246" s="259" t="s">
        <v>1156</v>
      </c>
      <c r="P246" s="143" t="s">
        <v>1780</v>
      </c>
      <c r="Q246" s="264"/>
    </row>
    <row r="247" spans="2:17" s="144" customFormat="1">
      <c r="B247" s="127" t="s">
        <v>2192</v>
      </c>
      <c r="C247" s="267">
        <v>242</v>
      </c>
      <c r="D247" s="276" t="s">
        <v>2304</v>
      </c>
      <c r="E247" s="269" t="s">
        <v>2519</v>
      </c>
      <c r="F247" s="269" t="s">
        <v>3498</v>
      </c>
      <c r="G247" s="269" t="s">
        <v>2541</v>
      </c>
      <c r="H247" s="269" t="s">
        <v>2550</v>
      </c>
      <c r="I247" s="277" t="s">
        <v>2551</v>
      </c>
      <c r="J247" s="137"/>
      <c r="K247" s="191" t="s">
        <v>1226</v>
      </c>
      <c r="L247" s="139">
        <f t="shared" si="10"/>
        <v>3.9</v>
      </c>
      <c r="M247" s="140">
        <f t="shared" si="9"/>
        <v>0.25</v>
      </c>
      <c r="N247" s="141">
        <f t="shared" si="11"/>
        <v>0.97499999999999998</v>
      </c>
      <c r="O247" s="259" t="s">
        <v>1776</v>
      </c>
      <c r="P247" s="143" t="s">
        <v>1780</v>
      </c>
      <c r="Q247" s="264"/>
    </row>
    <row r="248" spans="2:17" s="144" customFormat="1">
      <c r="B248" s="127" t="s">
        <v>2192</v>
      </c>
      <c r="C248" s="267">
        <v>243</v>
      </c>
      <c r="D248" s="276" t="s">
        <v>2304</v>
      </c>
      <c r="E248" s="269" t="s">
        <v>2519</v>
      </c>
      <c r="F248" s="269" t="s">
        <v>3499</v>
      </c>
      <c r="G248" s="269" t="s">
        <v>2541</v>
      </c>
      <c r="H248" s="269" t="s">
        <v>2552</v>
      </c>
      <c r="I248" s="277" t="s">
        <v>2553</v>
      </c>
      <c r="J248" s="137"/>
      <c r="K248" s="191" t="s">
        <v>1188</v>
      </c>
      <c r="L248" s="139">
        <f t="shared" si="10"/>
        <v>4</v>
      </c>
      <c r="M248" s="140">
        <f t="shared" si="9"/>
        <v>0.25</v>
      </c>
      <c r="N248" s="141">
        <f t="shared" si="11"/>
        <v>1</v>
      </c>
      <c r="O248" s="259" t="s">
        <v>1776</v>
      </c>
      <c r="P248" s="143" t="s">
        <v>1780</v>
      </c>
      <c r="Q248" s="264"/>
    </row>
    <row r="249" spans="2:17" s="144" customFormat="1" ht="27">
      <c r="B249" s="127" t="s">
        <v>2192</v>
      </c>
      <c r="C249" s="267">
        <v>244</v>
      </c>
      <c r="D249" s="276" t="s">
        <v>2304</v>
      </c>
      <c r="E249" s="269" t="s">
        <v>2519</v>
      </c>
      <c r="F249" s="269" t="s">
        <v>3500</v>
      </c>
      <c r="G249" s="269" t="s">
        <v>2541</v>
      </c>
      <c r="H249" s="269" t="s">
        <v>2554</v>
      </c>
      <c r="I249" s="277" t="s">
        <v>2555</v>
      </c>
      <c r="J249" s="137"/>
      <c r="K249" s="152" t="s">
        <v>1236</v>
      </c>
      <c r="L249" s="139">
        <f t="shared" si="10"/>
        <v>5.2</v>
      </c>
      <c r="M249" s="140">
        <f t="shared" si="9"/>
        <v>1</v>
      </c>
      <c r="N249" s="141">
        <f t="shared" si="11"/>
        <v>5.2</v>
      </c>
      <c r="O249" s="259" t="s">
        <v>1156</v>
      </c>
      <c r="P249" s="143" t="s">
        <v>1780</v>
      </c>
      <c r="Q249" s="264"/>
    </row>
    <row r="250" spans="2:17" s="144" customFormat="1" ht="27">
      <c r="B250" s="127" t="s">
        <v>2192</v>
      </c>
      <c r="C250" s="267">
        <v>245</v>
      </c>
      <c r="D250" s="276" t="s">
        <v>2304</v>
      </c>
      <c r="E250" s="269" t="s">
        <v>2519</v>
      </c>
      <c r="F250" s="269" t="s">
        <v>3501</v>
      </c>
      <c r="G250" s="269" t="s">
        <v>2541</v>
      </c>
      <c r="H250" s="269" t="s">
        <v>2556</v>
      </c>
      <c r="I250" s="277" t="s">
        <v>2557</v>
      </c>
      <c r="J250" s="137"/>
      <c r="K250" s="152" t="s">
        <v>1188</v>
      </c>
      <c r="L250" s="139">
        <f t="shared" si="10"/>
        <v>4</v>
      </c>
      <c r="M250" s="140">
        <f t="shared" si="9"/>
        <v>1</v>
      </c>
      <c r="N250" s="141">
        <f t="shared" si="11"/>
        <v>4</v>
      </c>
      <c r="O250" s="259" t="s">
        <v>1156</v>
      </c>
      <c r="P250" s="143" t="s">
        <v>1780</v>
      </c>
      <c r="Q250" s="264"/>
    </row>
    <row r="251" spans="2:17" s="144" customFormat="1">
      <c r="B251" s="127" t="s">
        <v>2192</v>
      </c>
      <c r="C251" s="267">
        <v>246</v>
      </c>
      <c r="D251" s="276" t="s">
        <v>2304</v>
      </c>
      <c r="E251" s="269" t="s">
        <v>2519</v>
      </c>
      <c r="F251" s="269" t="s">
        <v>3502</v>
      </c>
      <c r="G251" s="269" t="s">
        <v>2541</v>
      </c>
      <c r="H251" s="269" t="s">
        <v>2558</v>
      </c>
      <c r="I251" s="277" t="s">
        <v>2559</v>
      </c>
      <c r="J251" s="137"/>
      <c r="K251" s="152" t="s">
        <v>1188</v>
      </c>
      <c r="L251" s="139">
        <f t="shared" si="10"/>
        <v>4</v>
      </c>
      <c r="M251" s="140">
        <f t="shared" si="9"/>
        <v>1</v>
      </c>
      <c r="N251" s="141">
        <f t="shared" si="11"/>
        <v>4</v>
      </c>
      <c r="O251" s="259" t="s">
        <v>1156</v>
      </c>
      <c r="P251" s="143" t="s">
        <v>1780</v>
      </c>
      <c r="Q251" s="264"/>
    </row>
    <row r="252" spans="2:17" s="144" customFormat="1">
      <c r="B252" s="127" t="s">
        <v>2192</v>
      </c>
      <c r="C252" s="267">
        <v>247</v>
      </c>
      <c r="D252" s="276" t="s">
        <v>2304</v>
      </c>
      <c r="E252" s="269" t="s">
        <v>2519</v>
      </c>
      <c r="F252" s="269" t="s">
        <v>3503</v>
      </c>
      <c r="G252" s="269" t="s">
        <v>2541</v>
      </c>
      <c r="H252" s="269" t="s">
        <v>2560</v>
      </c>
      <c r="I252" s="277" t="s">
        <v>2561</v>
      </c>
      <c r="J252" s="137"/>
      <c r="K252" s="152" t="s">
        <v>1226</v>
      </c>
      <c r="L252" s="139">
        <f t="shared" si="10"/>
        <v>3.9</v>
      </c>
      <c r="M252" s="140">
        <f t="shared" si="9"/>
        <v>1</v>
      </c>
      <c r="N252" s="141">
        <f t="shared" si="11"/>
        <v>3.9</v>
      </c>
      <c r="O252" s="259" t="s">
        <v>1156</v>
      </c>
      <c r="P252" s="143" t="s">
        <v>1780</v>
      </c>
      <c r="Q252" s="264"/>
    </row>
    <row r="253" spans="2:17" s="144" customFormat="1">
      <c r="B253" s="127" t="s">
        <v>2192</v>
      </c>
      <c r="C253" s="267">
        <v>248</v>
      </c>
      <c r="D253" s="276" t="s">
        <v>2304</v>
      </c>
      <c r="E253" s="269" t="s">
        <v>2519</v>
      </c>
      <c r="F253" s="269" t="s">
        <v>3504</v>
      </c>
      <c r="G253" s="269" t="s">
        <v>2541</v>
      </c>
      <c r="H253" s="269" t="s">
        <v>2562</v>
      </c>
      <c r="I253" s="277" t="s">
        <v>2563</v>
      </c>
      <c r="J253" s="137"/>
      <c r="K253" s="152" t="s">
        <v>1236</v>
      </c>
      <c r="L253" s="139">
        <f t="shared" si="10"/>
        <v>5.2</v>
      </c>
      <c r="M253" s="140">
        <f t="shared" si="9"/>
        <v>1</v>
      </c>
      <c r="N253" s="141">
        <f t="shared" si="11"/>
        <v>5.2</v>
      </c>
      <c r="O253" s="259" t="s">
        <v>1156</v>
      </c>
      <c r="P253" s="143" t="s">
        <v>1780</v>
      </c>
      <c r="Q253" s="264"/>
    </row>
    <row r="254" spans="2:17" s="144" customFormat="1" ht="27">
      <c r="B254" s="127" t="s">
        <v>2192</v>
      </c>
      <c r="C254" s="267">
        <v>249</v>
      </c>
      <c r="D254" s="276" t="s">
        <v>2304</v>
      </c>
      <c r="E254" s="269" t="s">
        <v>2519</v>
      </c>
      <c r="F254" s="269" t="s">
        <v>3505</v>
      </c>
      <c r="G254" s="269" t="s">
        <v>2541</v>
      </c>
      <c r="H254" s="269" t="s">
        <v>2564</v>
      </c>
      <c r="I254" s="277" t="s">
        <v>2565</v>
      </c>
      <c r="J254" s="137"/>
      <c r="K254" s="152" t="s">
        <v>1188</v>
      </c>
      <c r="L254" s="139">
        <f t="shared" si="10"/>
        <v>4</v>
      </c>
      <c r="M254" s="140">
        <f t="shared" si="9"/>
        <v>1</v>
      </c>
      <c r="N254" s="141">
        <f t="shared" si="11"/>
        <v>4</v>
      </c>
      <c r="O254" s="259" t="s">
        <v>1156</v>
      </c>
      <c r="P254" s="143" t="s">
        <v>1780</v>
      </c>
      <c r="Q254" s="264"/>
    </row>
    <row r="255" spans="2:17" s="144" customFormat="1" ht="27">
      <c r="B255" s="127" t="s">
        <v>2192</v>
      </c>
      <c r="C255" s="267">
        <v>250</v>
      </c>
      <c r="D255" s="276" t="s">
        <v>2304</v>
      </c>
      <c r="E255" s="269" t="s">
        <v>2519</v>
      </c>
      <c r="F255" s="269" t="s">
        <v>3506</v>
      </c>
      <c r="G255" s="269" t="s">
        <v>2541</v>
      </c>
      <c r="H255" s="269" t="s">
        <v>2566</v>
      </c>
      <c r="I255" s="277" t="s">
        <v>2567</v>
      </c>
      <c r="J255" s="137"/>
      <c r="K255" s="152" t="s">
        <v>1188</v>
      </c>
      <c r="L255" s="139">
        <f t="shared" si="10"/>
        <v>4</v>
      </c>
      <c r="M255" s="140">
        <f t="shared" si="9"/>
        <v>1</v>
      </c>
      <c r="N255" s="141">
        <f t="shared" si="11"/>
        <v>4</v>
      </c>
      <c r="O255" s="259" t="s">
        <v>1156</v>
      </c>
      <c r="P255" s="143" t="s">
        <v>1780</v>
      </c>
      <c r="Q255" s="264"/>
    </row>
    <row r="256" spans="2:17" s="144" customFormat="1">
      <c r="B256" s="127" t="s">
        <v>2192</v>
      </c>
      <c r="C256" s="267">
        <v>251</v>
      </c>
      <c r="D256" s="276" t="s">
        <v>2304</v>
      </c>
      <c r="E256" s="269" t="s">
        <v>2519</v>
      </c>
      <c r="F256" s="269" t="s">
        <v>3507</v>
      </c>
      <c r="G256" s="269" t="s">
        <v>2541</v>
      </c>
      <c r="H256" s="269" t="s">
        <v>2568</v>
      </c>
      <c r="I256" s="277" t="s">
        <v>2569</v>
      </c>
      <c r="J256" s="137"/>
      <c r="K256" s="152" t="s">
        <v>1236</v>
      </c>
      <c r="L256" s="139">
        <f t="shared" si="10"/>
        <v>5.2</v>
      </c>
      <c r="M256" s="140">
        <f t="shared" si="9"/>
        <v>1</v>
      </c>
      <c r="N256" s="141">
        <f t="shared" si="11"/>
        <v>5.2</v>
      </c>
      <c r="O256" s="259" t="s">
        <v>1156</v>
      </c>
      <c r="P256" s="143" t="s">
        <v>1780</v>
      </c>
      <c r="Q256" s="264"/>
    </row>
    <row r="257" spans="2:17" s="144" customFormat="1" ht="27">
      <c r="B257" s="127" t="s">
        <v>2192</v>
      </c>
      <c r="C257" s="267">
        <v>252</v>
      </c>
      <c r="D257" s="276" t="s">
        <v>2304</v>
      </c>
      <c r="E257" s="269" t="s">
        <v>2519</v>
      </c>
      <c r="F257" s="269" t="s">
        <v>3508</v>
      </c>
      <c r="G257" s="269" t="s">
        <v>2541</v>
      </c>
      <c r="H257" s="269" t="s">
        <v>2570</v>
      </c>
      <c r="I257" s="277" t="s">
        <v>2571</v>
      </c>
      <c r="J257" s="137"/>
      <c r="K257" s="152" t="s">
        <v>1226</v>
      </c>
      <c r="L257" s="139">
        <f t="shared" si="10"/>
        <v>3.9</v>
      </c>
      <c r="M257" s="140">
        <f t="shared" si="9"/>
        <v>1</v>
      </c>
      <c r="N257" s="141">
        <f t="shared" si="11"/>
        <v>3.9</v>
      </c>
      <c r="O257" s="259" t="s">
        <v>1156</v>
      </c>
      <c r="P257" s="143" t="s">
        <v>1780</v>
      </c>
      <c r="Q257" s="264"/>
    </row>
    <row r="258" spans="2:17" s="144" customFormat="1">
      <c r="B258" s="127" t="s">
        <v>2192</v>
      </c>
      <c r="C258" s="267">
        <v>253</v>
      </c>
      <c r="D258" s="276" t="s">
        <v>2304</v>
      </c>
      <c r="E258" s="269" t="s">
        <v>2519</v>
      </c>
      <c r="F258" s="269" t="s">
        <v>3509</v>
      </c>
      <c r="G258" s="269" t="s">
        <v>2541</v>
      </c>
      <c r="H258" s="269" t="s">
        <v>2572</v>
      </c>
      <c r="I258" s="277" t="s">
        <v>2573</v>
      </c>
      <c r="J258" s="137"/>
      <c r="K258" s="152" t="s">
        <v>1188</v>
      </c>
      <c r="L258" s="139">
        <f t="shared" si="10"/>
        <v>4</v>
      </c>
      <c r="M258" s="140">
        <f t="shared" si="9"/>
        <v>1</v>
      </c>
      <c r="N258" s="141">
        <f t="shared" si="11"/>
        <v>4</v>
      </c>
      <c r="O258" s="259" t="s">
        <v>1156</v>
      </c>
      <c r="P258" s="143" t="s">
        <v>1780</v>
      </c>
      <c r="Q258" s="264"/>
    </row>
    <row r="259" spans="2:17" s="144" customFormat="1">
      <c r="B259" s="127" t="s">
        <v>2192</v>
      </c>
      <c r="C259" s="267">
        <v>254</v>
      </c>
      <c r="D259" s="276" t="s">
        <v>2304</v>
      </c>
      <c r="E259" s="269" t="s">
        <v>2519</v>
      </c>
      <c r="F259" s="269" t="s">
        <v>3510</v>
      </c>
      <c r="G259" s="269" t="s">
        <v>2541</v>
      </c>
      <c r="H259" s="279" t="s">
        <v>2574</v>
      </c>
      <c r="I259" s="277" t="s">
        <v>2575</v>
      </c>
      <c r="J259" s="137"/>
      <c r="K259" s="152" t="s">
        <v>1188</v>
      </c>
      <c r="L259" s="139">
        <f t="shared" si="10"/>
        <v>4</v>
      </c>
      <c r="M259" s="140">
        <f t="shared" si="9"/>
        <v>1</v>
      </c>
      <c r="N259" s="141">
        <f t="shared" si="11"/>
        <v>4</v>
      </c>
      <c r="O259" s="259" t="s">
        <v>1156</v>
      </c>
      <c r="P259" s="143" t="s">
        <v>1780</v>
      </c>
      <c r="Q259" s="264"/>
    </row>
    <row r="260" spans="2:17" s="144" customFormat="1">
      <c r="B260" s="127" t="s">
        <v>2192</v>
      </c>
      <c r="C260" s="133">
        <v>255</v>
      </c>
      <c r="D260" s="180" t="s">
        <v>2304</v>
      </c>
      <c r="E260" s="181" t="s">
        <v>2576</v>
      </c>
      <c r="F260" s="181" t="s">
        <v>3511</v>
      </c>
      <c r="G260" s="181" t="s">
        <v>2577</v>
      </c>
      <c r="H260" s="181" t="s">
        <v>2578</v>
      </c>
      <c r="I260" s="182" t="s">
        <v>2579</v>
      </c>
      <c r="J260" s="137"/>
      <c r="K260" s="152" t="s">
        <v>1160</v>
      </c>
      <c r="L260" s="139">
        <f t="shared" si="10"/>
        <v>3.9</v>
      </c>
      <c r="M260" s="140">
        <f t="shared" si="9"/>
        <v>1</v>
      </c>
      <c r="N260" s="141">
        <f t="shared" si="11"/>
        <v>3.9</v>
      </c>
      <c r="O260" s="259" t="s">
        <v>1156</v>
      </c>
      <c r="P260" s="143" t="s">
        <v>1780</v>
      </c>
      <c r="Q260" s="264"/>
    </row>
    <row r="261" spans="2:17" s="144" customFormat="1">
      <c r="B261" s="127" t="s">
        <v>2192</v>
      </c>
      <c r="C261" s="133">
        <v>256</v>
      </c>
      <c r="D261" s="180" t="s">
        <v>2304</v>
      </c>
      <c r="E261" s="181" t="s">
        <v>2576</v>
      </c>
      <c r="F261" s="181" t="s">
        <v>3512</v>
      </c>
      <c r="G261" s="181" t="s">
        <v>2577</v>
      </c>
      <c r="H261" s="181" t="s">
        <v>2580</v>
      </c>
      <c r="I261" s="182" t="s">
        <v>2581</v>
      </c>
      <c r="J261" s="137"/>
      <c r="K261" s="152" t="s">
        <v>1163</v>
      </c>
      <c r="L261" s="139">
        <f t="shared" si="10"/>
        <v>4</v>
      </c>
      <c r="M261" s="140">
        <f t="shared" si="9"/>
        <v>1</v>
      </c>
      <c r="N261" s="141">
        <f t="shared" si="11"/>
        <v>4</v>
      </c>
      <c r="O261" s="259" t="s">
        <v>1156</v>
      </c>
      <c r="P261" s="143" t="s">
        <v>1780</v>
      </c>
      <c r="Q261" s="264"/>
    </row>
    <row r="262" spans="2:17" s="144" customFormat="1">
      <c r="B262" s="127" t="s">
        <v>2192</v>
      </c>
      <c r="C262" s="133">
        <v>257</v>
      </c>
      <c r="D262" s="180" t="s">
        <v>2304</v>
      </c>
      <c r="E262" s="181" t="s">
        <v>2576</v>
      </c>
      <c r="F262" s="181" t="s">
        <v>3513</v>
      </c>
      <c r="G262" s="181" t="s">
        <v>2577</v>
      </c>
      <c r="H262" s="181" t="s">
        <v>2582</v>
      </c>
      <c r="I262" s="182" t="s">
        <v>2583</v>
      </c>
      <c r="J262" s="137"/>
      <c r="K262" s="152" t="s">
        <v>1163</v>
      </c>
      <c r="L262" s="139">
        <f t="shared" si="10"/>
        <v>4</v>
      </c>
      <c r="M262" s="140">
        <f t="shared" ref="M262:M325" si="12">IF(O262="","",IF(O262="신규",1,IF(O262="고도화",1.04,IF(O262="재사용",0.25))))</f>
        <v>1</v>
      </c>
      <c r="N262" s="141">
        <f t="shared" si="11"/>
        <v>4</v>
      </c>
      <c r="O262" s="259" t="s">
        <v>1156</v>
      </c>
      <c r="P262" s="143" t="s">
        <v>1780</v>
      </c>
      <c r="Q262" s="264"/>
    </row>
    <row r="263" spans="2:17" s="144" customFormat="1">
      <c r="B263" s="127" t="s">
        <v>2192</v>
      </c>
      <c r="C263" s="133">
        <v>258</v>
      </c>
      <c r="D263" s="180" t="s">
        <v>2304</v>
      </c>
      <c r="E263" s="181" t="s">
        <v>2576</v>
      </c>
      <c r="F263" s="181" t="s">
        <v>3514</v>
      </c>
      <c r="G263" s="181" t="s">
        <v>2577</v>
      </c>
      <c r="H263" s="181" t="s">
        <v>2584</v>
      </c>
      <c r="I263" s="182" t="s">
        <v>2585</v>
      </c>
      <c r="J263" s="137"/>
      <c r="K263" s="152" t="s">
        <v>1163</v>
      </c>
      <c r="L263" s="139">
        <f t="shared" ref="L263:L326" si="13">IF(K263="","",IF(K263="EI",4,IF(K263="EO",5.2,IF(K263="EQ",3.9,IF(K263="ILF",7.5,IF(K263="EIF",5.4))))))</f>
        <v>4</v>
      </c>
      <c r="M263" s="140">
        <f t="shared" si="12"/>
        <v>1</v>
      </c>
      <c r="N263" s="141">
        <f t="shared" ref="N263:N326" si="14">L263*M263</f>
        <v>4</v>
      </c>
      <c r="O263" s="259" t="s">
        <v>1156</v>
      </c>
      <c r="P263" s="143" t="s">
        <v>1780</v>
      </c>
      <c r="Q263" s="264"/>
    </row>
    <row r="264" spans="2:17" s="144" customFormat="1">
      <c r="B264" s="127" t="s">
        <v>2192</v>
      </c>
      <c r="C264" s="133">
        <v>259</v>
      </c>
      <c r="D264" s="180" t="s">
        <v>2304</v>
      </c>
      <c r="E264" s="181" t="s">
        <v>2576</v>
      </c>
      <c r="F264" s="181" t="s">
        <v>3515</v>
      </c>
      <c r="G264" s="181" t="s">
        <v>2577</v>
      </c>
      <c r="H264" s="181" t="s">
        <v>2586</v>
      </c>
      <c r="I264" s="182" t="s">
        <v>2586</v>
      </c>
      <c r="J264" s="137"/>
      <c r="K264" s="191" t="s">
        <v>1416</v>
      </c>
      <c r="L264" s="139">
        <f t="shared" si="13"/>
        <v>5.4</v>
      </c>
      <c r="M264" s="140">
        <f t="shared" si="12"/>
        <v>1</v>
      </c>
      <c r="N264" s="141">
        <f t="shared" si="14"/>
        <v>5.4</v>
      </c>
      <c r="O264" s="259" t="s">
        <v>1156</v>
      </c>
      <c r="P264" s="143" t="s">
        <v>1780</v>
      </c>
      <c r="Q264" s="264"/>
    </row>
    <row r="265" spans="2:17" s="144" customFormat="1">
      <c r="B265" s="127" t="s">
        <v>2192</v>
      </c>
      <c r="C265" s="133">
        <v>260</v>
      </c>
      <c r="D265" s="180" t="s">
        <v>2304</v>
      </c>
      <c r="E265" s="181" t="s">
        <v>2576</v>
      </c>
      <c r="F265" s="181" t="s">
        <v>3516</v>
      </c>
      <c r="G265" s="181" t="s">
        <v>2577</v>
      </c>
      <c r="H265" s="181" t="s">
        <v>2587</v>
      </c>
      <c r="I265" s="182" t="s">
        <v>2587</v>
      </c>
      <c r="J265" s="137"/>
      <c r="K265" s="152" t="s">
        <v>1163</v>
      </c>
      <c r="L265" s="139">
        <f t="shared" si="13"/>
        <v>4</v>
      </c>
      <c r="M265" s="140">
        <f t="shared" si="12"/>
        <v>1</v>
      </c>
      <c r="N265" s="141">
        <f t="shared" si="14"/>
        <v>4</v>
      </c>
      <c r="O265" s="259" t="s">
        <v>1156</v>
      </c>
      <c r="P265" s="143" t="s">
        <v>1780</v>
      </c>
      <c r="Q265" s="264"/>
    </row>
    <row r="266" spans="2:17" s="144" customFormat="1">
      <c r="B266" s="127" t="s">
        <v>2192</v>
      </c>
      <c r="C266" s="133">
        <v>261</v>
      </c>
      <c r="D266" s="180" t="s">
        <v>2304</v>
      </c>
      <c r="E266" s="181" t="s">
        <v>2576</v>
      </c>
      <c r="F266" s="181" t="s">
        <v>3517</v>
      </c>
      <c r="G266" s="181" t="s">
        <v>2577</v>
      </c>
      <c r="H266" s="181" t="s">
        <v>2588</v>
      </c>
      <c r="I266" s="182" t="s">
        <v>2588</v>
      </c>
      <c r="J266" s="137"/>
      <c r="K266" s="152" t="s">
        <v>1160</v>
      </c>
      <c r="L266" s="139">
        <f t="shared" si="13"/>
        <v>3.9</v>
      </c>
      <c r="M266" s="140">
        <f t="shared" si="12"/>
        <v>1</v>
      </c>
      <c r="N266" s="141">
        <f t="shared" si="14"/>
        <v>3.9</v>
      </c>
      <c r="O266" s="259" t="s">
        <v>1156</v>
      </c>
      <c r="P266" s="143" t="s">
        <v>1780</v>
      </c>
      <c r="Q266" s="264"/>
    </row>
    <row r="267" spans="2:17" s="144" customFormat="1" ht="27">
      <c r="B267" s="127" t="s">
        <v>2192</v>
      </c>
      <c r="C267" s="133">
        <v>262</v>
      </c>
      <c r="D267" s="180" t="s">
        <v>2304</v>
      </c>
      <c r="E267" s="181" t="s">
        <v>2576</v>
      </c>
      <c r="F267" s="181" t="s">
        <v>3518</v>
      </c>
      <c r="G267" s="181" t="s">
        <v>2589</v>
      </c>
      <c r="H267" s="181" t="s">
        <v>2590</v>
      </c>
      <c r="I267" s="182" t="s">
        <v>2591</v>
      </c>
      <c r="J267" s="137"/>
      <c r="K267" s="191" t="s">
        <v>1236</v>
      </c>
      <c r="L267" s="139">
        <f t="shared" si="13"/>
        <v>5.2</v>
      </c>
      <c r="M267" s="140">
        <f t="shared" si="12"/>
        <v>1</v>
      </c>
      <c r="N267" s="141">
        <f t="shared" si="14"/>
        <v>5.2</v>
      </c>
      <c r="O267" s="259" t="s">
        <v>1156</v>
      </c>
      <c r="P267" s="143" t="s">
        <v>1780</v>
      </c>
      <c r="Q267" s="264"/>
    </row>
    <row r="268" spans="2:17" s="144" customFormat="1">
      <c r="B268" s="127" t="s">
        <v>2192</v>
      </c>
      <c r="C268" s="133">
        <v>263</v>
      </c>
      <c r="D268" s="180" t="s">
        <v>2304</v>
      </c>
      <c r="E268" s="181" t="s">
        <v>2576</v>
      </c>
      <c r="F268" s="181" t="s">
        <v>3519</v>
      </c>
      <c r="G268" s="181" t="s">
        <v>2589</v>
      </c>
      <c r="H268" s="181" t="s">
        <v>2592</v>
      </c>
      <c r="I268" s="182" t="s">
        <v>2593</v>
      </c>
      <c r="J268" s="137"/>
      <c r="K268" s="191" t="s">
        <v>1236</v>
      </c>
      <c r="L268" s="139">
        <f t="shared" si="13"/>
        <v>5.2</v>
      </c>
      <c r="M268" s="140">
        <f t="shared" si="12"/>
        <v>1</v>
      </c>
      <c r="N268" s="141">
        <f t="shared" si="14"/>
        <v>5.2</v>
      </c>
      <c r="O268" s="259" t="s">
        <v>1156</v>
      </c>
      <c r="P268" s="143" t="s">
        <v>1780</v>
      </c>
      <c r="Q268" s="264"/>
    </row>
    <row r="269" spans="2:17" s="144" customFormat="1">
      <c r="B269" s="127" t="s">
        <v>2192</v>
      </c>
      <c r="C269" s="133">
        <v>264</v>
      </c>
      <c r="D269" s="180" t="s">
        <v>2304</v>
      </c>
      <c r="E269" s="181" t="s">
        <v>2576</v>
      </c>
      <c r="F269" s="181" t="s">
        <v>3520</v>
      </c>
      <c r="G269" s="181" t="s">
        <v>2589</v>
      </c>
      <c r="H269" s="181" t="s">
        <v>2594</v>
      </c>
      <c r="I269" s="182" t="s">
        <v>2595</v>
      </c>
      <c r="J269" s="137"/>
      <c r="K269" s="191" t="s">
        <v>1416</v>
      </c>
      <c r="L269" s="139">
        <f t="shared" si="13"/>
        <v>5.4</v>
      </c>
      <c r="M269" s="140">
        <f t="shared" si="12"/>
        <v>1</v>
      </c>
      <c r="N269" s="141">
        <f t="shared" si="14"/>
        <v>5.4</v>
      </c>
      <c r="O269" s="259" t="s">
        <v>1156</v>
      </c>
      <c r="P269" s="143" t="s">
        <v>1780</v>
      </c>
      <c r="Q269" s="264"/>
    </row>
    <row r="270" spans="2:17" s="144" customFormat="1">
      <c r="B270" s="127" t="s">
        <v>2192</v>
      </c>
      <c r="C270" s="133">
        <v>265</v>
      </c>
      <c r="D270" s="180" t="s">
        <v>2304</v>
      </c>
      <c r="E270" s="181" t="s">
        <v>2576</v>
      </c>
      <c r="F270" s="181" t="s">
        <v>3521</v>
      </c>
      <c r="G270" s="181" t="s">
        <v>2589</v>
      </c>
      <c r="H270" s="181" t="s">
        <v>2596</v>
      </c>
      <c r="I270" s="182" t="s">
        <v>2596</v>
      </c>
      <c r="J270" s="137"/>
      <c r="K270" s="191" t="s">
        <v>1236</v>
      </c>
      <c r="L270" s="139">
        <f t="shared" si="13"/>
        <v>5.2</v>
      </c>
      <c r="M270" s="140">
        <f t="shared" si="12"/>
        <v>1</v>
      </c>
      <c r="N270" s="141">
        <f t="shared" si="14"/>
        <v>5.2</v>
      </c>
      <c r="O270" s="259" t="s">
        <v>1156</v>
      </c>
      <c r="P270" s="143" t="s">
        <v>1780</v>
      </c>
      <c r="Q270" s="264"/>
    </row>
    <row r="271" spans="2:17" s="144" customFormat="1">
      <c r="B271" s="127" t="s">
        <v>2192</v>
      </c>
      <c r="C271" s="133">
        <v>266</v>
      </c>
      <c r="D271" s="180" t="s">
        <v>2304</v>
      </c>
      <c r="E271" s="181" t="s">
        <v>2576</v>
      </c>
      <c r="F271" s="181" t="s">
        <v>3522</v>
      </c>
      <c r="G271" s="181" t="s">
        <v>2589</v>
      </c>
      <c r="H271" s="181" t="s">
        <v>2597</v>
      </c>
      <c r="I271" s="182" t="s">
        <v>2597</v>
      </c>
      <c r="J271" s="137"/>
      <c r="K271" s="191" t="s">
        <v>1236</v>
      </c>
      <c r="L271" s="139">
        <f t="shared" si="13"/>
        <v>5.2</v>
      </c>
      <c r="M271" s="140">
        <f t="shared" si="12"/>
        <v>1</v>
      </c>
      <c r="N271" s="141">
        <f t="shared" si="14"/>
        <v>5.2</v>
      </c>
      <c r="O271" s="259" t="s">
        <v>1156</v>
      </c>
      <c r="P271" s="143" t="s">
        <v>1780</v>
      </c>
      <c r="Q271" s="264"/>
    </row>
    <row r="272" spans="2:17" s="144" customFormat="1">
      <c r="B272" s="127" t="s">
        <v>2192</v>
      </c>
      <c r="C272" s="133">
        <v>267</v>
      </c>
      <c r="D272" s="180" t="s">
        <v>2304</v>
      </c>
      <c r="E272" s="181" t="s">
        <v>2576</v>
      </c>
      <c r="F272" s="181" t="s">
        <v>3523</v>
      </c>
      <c r="G272" s="181" t="s">
        <v>2589</v>
      </c>
      <c r="H272" s="181" t="s">
        <v>2598</v>
      </c>
      <c r="I272" s="182" t="s">
        <v>2598</v>
      </c>
      <c r="J272" s="137"/>
      <c r="K272" s="191" t="s">
        <v>1236</v>
      </c>
      <c r="L272" s="139">
        <f t="shared" si="13"/>
        <v>5.2</v>
      </c>
      <c r="M272" s="140">
        <f t="shared" si="12"/>
        <v>1</v>
      </c>
      <c r="N272" s="141">
        <f t="shared" si="14"/>
        <v>5.2</v>
      </c>
      <c r="O272" s="259" t="s">
        <v>1156</v>
      </c>
      <c r="P272" s="143" t="s">
        <v>1780</v>
      </c>
      <c r="Q272" s="264"/>
    </row>
    <row r="273" spans="2:17" s="144" customFormat="1">
      <c r="B273" s="127" t="s">
        <v>2192</v>
      </c>
      <c r="C273" s="133">
        <v>268</v>
      </c>
      <c r="D273" s="180" t="s">
        <v>2304</v>
      </c>
      <c r="E273" s="181" t="s">
        <v>2576</v>
      </c>
      <c r="F273" s="181" t="s">
        <v>3524</v>
      </c>
      <c r="G273" s="181" t="s">
        <v>2589</v>
      </c>
      <c r="H273" s="181" t="s">
        <v>2599</v>
      </c>
      <c r="I273" s="182" t="s">
        <v>2599</v>
      </c>
      <c r="J273" s="137"/>
      <c r="K273" s="191" t="s">
        <v>1236</v>
      </c>
      <c r="L273" s="139">
        <f t="shared" si="13"/>
        <v>5.2</v>
      </c>
      <c r="M273" s="140">
        <f t="shared" si="12"/>
        <v>1</v>
      </c>
      <c r="N273" s="141">
        <f t="shared" si="14"/>
        <v>5.2</v>
      </c>
      <c r="O273" s="259" t="s">
        <v>1156</v>
      </c>
      <c r="P273" s="143" t="s">
        <v>1780</v>
      </c>
      <c r="Q273" s="264"/>
    </row>
    <row r="274" spans="2:17" s="144" customFormat="1">
      <c r="B274" s="127" t="s">
        <v>2192</v>
      </c>
      <c r="C274" s="133">
        <v>269</v>
      </c>
      <c r="D274" s="180" t="s">
        <v>2304</v>
      </c>
      <c r="E274" s="181" t="s">
        <v>2576</v>
      </c>
      <c r="F274" s="181" t="s">
        <v>3525</v>
      </c>
      <c r="G274" s="181" t="s">
        <v>2589</v>
      </c>
      <c r="H274" s="181" t="s">
        <v>2600</v>
      </c>
      <c r="I274" s="182" t="s">
        <v>2600</v>
      </c>
      <c r="J274" s="137"/>
      <c r="K274" s="191" t="s">
        <v>1236</v>
      </c>
      <c r="L274" s="139">
        <f t="shared" si="13"/>
        <v>5.2</v>
      </c>
      <c r="M274" s="140">
        <f t="shared" si="12"/>
        <v>1</v>
      </c>
      <c r="N274" s="141">
        <f t="shared" si="14"/>
        <v>5.2</v>
      </c>
      <c r="O274" s="259" t="s">
        <v>1156</v>
      </c>
      <c r="P274" s="143" t="s">
        <v>1780</v>
      </c>
      <c r="Q274" s="264"/>
    </row>
    <row r="275" spans="2:17" s="144" customFormat="1">
      <c r="B275" s="127" t="s">
        <v>2192</v>
      </c>
      <c r="C275" s="133">
        <v>270</v>
      </c>
      <c r="D275" s="180" t="s">
        <v>2304</v>
      </c>
      <c r="E275" s="181" t="s">
        <v>2576</v>
      </c>
      <c r="F275" s="181" t="s">
        <v>3526</v>
      </c>
      <c r="G275" s="181" t="s">
        <v>2589</v>
      </c>
      <c r="H275" s="181" t="s">
        <v>2601</v>
      </c>
      <c r="I275" s="182" t="s">
        <v>2602</v>
      </c>
      <c r="J275" s="137"/>
      <c r="K275" s="191" t="s">
        <v>1416</v>
      </c>
      <c r="L275" s="139">
        <f t="shared" si="13"/>
        <v>5.4</v>
      </c>
      <c r="M275" s="140">
        <f t="shared" si="12"/>
        <v>1</v>
      </c>
      <c r="N275" s="141">
        <f t="shared" si="14"/>
        <v>5.4</v>
      </c>
      <c r="O275" s="259" t="s">
        <v>1156</v>
      </c>
      <c r="P275" s="143" t="s">
        <v>1780</v>
      </c>
      <c r="Q275" s="264"/>
    </row>
    <row r="276" spans="2:17" s="144" customFormat="1">
      <c r="B276" s="127" t="s">
        <v>2192</v>
      </c>
      <c r="C276" s="133">
        <v>271</v>
      </c>
      <c r="D276" s="180" t="s">
        <v>2304</v>
      </c>
      <c r="E276" s="181" t="s">
        <v>2576</v>
      </c>
      <c r="F276" s="181" t="s">
        <v>3527</v>
      </c>
      <c r="G276" s="181" t="s">
        <v>2589</v>
      </c>
      <c r="H276" s="181" t="s">
        <v>2603</v>
      </c>
      <c r="I276" s="182" t="s">
        <v>2603</v>
      </c>
      <c r="J276" s="137"/>
      <c r="K276" s="191" t="s">
        <v>1236</v>
      </c>
      <c r="L276" s="139">
        <f t="shared" si="13"/>
        <v>5.2</v>
      </c>
      <c r="M276" s="140">
        <f t="shared" si="12"/>
        <v>1</v>
      </c>
      <c r="N276" s="141">
        <f t="shared" si="14"/>
        <v>5.2</v>
      </c>
      <c r="O276" s="259" t="s">
        <v>1156</v>
      </c>
      <c r="P276" s="143" t="s">
        <v>1780</v>
      </c>
      <c r="Q276" s="264"/>
    </row>
    <row r="277" spans="2:17" s="144" customFormat="1">
      <c r="B277" s="127" t="s">
        <v>2192</v>
      </c>
      <c r="C277" s="133">
        <v>272</v>
      </c>
      <c r="D277" s="180" t="s">
        <v>2304</v>
      </c>
      <c r="E277" s="181" t="s">
        <v>2576</v>
      </c>
      <c r="F277" s="181" t="s">
        <v>3528</v>
      </c>
      <c r="G277" s="181" t="s">
        <v>2589</v>
      </c>
      <c r="H277" s="181" t="s">
        <v>2604</v>
      </c>
      <c r="I277" s="182" t="s">
        <v>2604</v>
      </c>
      <c r="J277" s="137"/>
      <c r="K277" s="152" t="s">
        <v>1160</v>
      </c>
      <c r="L277" s="139">
        <f t="shared" si="13"/>
        <v>3.9</v>
      </c>
      <c r="M277" s="140">
        <f t="shared" si="12"/>
        <v>1</v>
      </c>
      <c r="N277" s="141">
        <f t="shared" si="14"/>
        <v>3.9</v>
      </c>
      <c r="O277" s="259" t="s">
        <v>1156</v>
      </c>
      <c r="P277" s="143" t="s">
        <v>1780</v>
      </c>
      <c r="Q277" s="264"/>
    </row>
    <row r="278" spans="2:17" s="144" customFormat="1">
      <c r="B278" s="127" t="s">
        <v>2192</v>
      </c>
      <c r="C278" s="133">
        <v>273</v>
      </c>
      <c r="D278" s="180" t="s">
        <v>2304</v>
      </c>
      <c r="E278" s="181" t="s">
        <v>2576</v>
      </c>
      <c r="F278" s="181" t="s">
        <v>3529</v>
      </c>
      <c r="G278" s="181" t="s">
        <v>2589</v>
      </c>
      <c r="H278" s="181" t="s">
        <v>2605</v>
      </c>
      <c r="I278" s="182" t="s">
        <v>2605</v>
      </c>
      <c r="J278" s="137"/>
      <c r="K278" s="152" t="s">
        <v>1163</v>
      </c>
      <c r="L278" s="139">
        <f t="shared" si="13"/>
        <v>4</v>
      </c>
      <c r="M278" s="140">
        <f t="shared" si="12"/>
        <v>1</v>
      </c>
      <c r="N278" s="141">
        <f t="shared" si="14"/>
        <v>4</v>
      </c>
      <c r="O278" s="259" t="s">
        <v>1156</v>
      </c>
      <c r="P278" s="143" t="s">
        <v>1780</v>
      </c>
      <c r="Q278" s="264"/>
    </row>
    <row r="279" spans="2:17" s="144" customFormat="1">
      <c r="B279" s="127" t="s">
        <v>2192</v>
      </c>
      <c r="C279" s="133">
        <v>274</v>
      </c>
      <c r="D279" s="180" t="s">
        <v>2304</v>
      </c>
      <c r="E279" s="181" t="s">
        <v>2576</v>
      </c>
      <c r="F279" s="181" t="s">
        <v>3530</v>
      </c>
      <c r="G279" s="181" t="s">
        <v>2589</v>
      </c>
      <c r="H279" s="181" t="s">
        <v>2606</v>
      </c>
      <c r="I279" s="182" t="s">
        <v>2606</v>
      </c>
      <c r="J279" s="137"/>
      <c r="K279" s="191" t="s">
        <v>1236</v>
      </c>
      <c r="L279" s="139">
        <f t="shared" si="13"/>
        <v>5.2</v>
      </c>
      <c r="M279" s="140">
        <f t="shared" si="12"/>
        <v>1</v>
      </c>
      <c r="N279" s="141">
        <f t="shared" si="14"/>
        <v>5.2</v>
      </c>
      <c r="O279" s="259" t="s">
        <v>1156</v>
      </c>
      <c r="P279" s="143" t="s">
        <v>1780</v>
      </c>
      <c r="Q279" s="264"/>
    </row>
    <row r="280" spans="2:17" s="144" customFormat="1">
      <c r="B280" s="127" t="s">
        <v>2192</v>
      </c>
      <c r="C280" s="133">
        <v>275</v>
      </c>
      <c r="D280" s="180" t="s">
        <v>2304</v>
      </c>
      <c r="E280" s="181" t="s">
        <v>2576</v>
      </c>
      <c r="F280" s="181" t="s">
        <v>3531</v>
      </c>
      <c r="G280" s="181" t="s">
        <v>2589</v>
      </c>
      <c r="H280" s="181" t="s">
        <v>2607</v>
      </c>
      <c r="I280" s="182" t="s">
        <v>2607</v>
      </c>
      <c r="J280" s="137"/>
      <c r="K280" s="191" t="s">
        <v>1416</v>
      </c>
      <c r="L280" s="139">
        <f t="shared" si="13"/>
        <v>5.4</v>
      </c>
      <c r="M280" s="140">
        <f t="shared" si="12"/>
        <v>1</v>
      </c>
      <c r="N280" s="141">
        <f t="shared" si="14"/>
        <v>5.4</v>
      </c>
      <c r="O280" s="259" t="s">
        <v>1156</v>
      </c>
      <c r="P280" s="143" t="s">
        <v>1780</v>
      </c>
      <c r="Q280" s="264"/>
    </row>
    <row r="281" spans="2:17" s="144" customFormat="1">
      <c r="B281" s="127" t="s">
        <v>2192</v>
      </c>
      <c r="C281" s="133">
        <v>276</v>
      </c>
      <c r="D281" s="180" t="s">
        <v>2304</v>
      </c>
      <c r="E281" s="181" t="s">
        <v>2576</v>
      </c>
      <c r="F281" s="181" t="s">
        <v>3532</v>
      </c>
      <c r="G281" s="181" t="s">
        <v>2589</v>
      </c>
      <c r="H281" s="181" t="s">
        <v>2608</v>
      </c>
      <c r="I281" s="182" t="s">
        <v>2609</v>
      </c>
      <c r="J281" s="137"/>
      <c r="K281" s="152" t="s">
        <v>1163</v>
      </c>
      <c r="L281" s="139">
        <f t="shared" si="13"/>
        <v>4</v>
      </c>
      <c r="M281" s="140">
        <f t="shared" si="12"/>
        <v>1</v>
      </c>
      <c r="N281" s="141">
        <f t="shared" si="14"/>
        <v>4</v>
      </c>
      <c r="O281" s="259" t="s">
        <v>1156</v>
      </c>
      <c r="P281" s="143" t="s">
        <v>1780</v>
      </c>
      <c r="Q281" s="264"/>
    </row>
    <row r="282" spans="2:17" s="144" customFormat="1">
      <c r="B282" s="127" t="s">
        <v>2192</v>
      </c>
      <c r="C282" s="133">
        <v>277</v>
      </c>
      <c r="D282" s="180" t="s">
        <v>2304</v>
      </c>
      <c r="E282" s="181" t="s">
        <v>2576</v>
      </c>
      <c r="F282" s="181" t="s">
        <v>3533</v>
      </c>
      <c r="G282" s="181" t="s">
        <v>2589</v>
      </c>
      <c r="H282" s="181" t="s">
        <v>2610</v>
      </c>
      <c r="I282" s="182" t="s">
        <v>2611</v>
      </c>
      <c r="J282" s="137"/>
      <c r="K282" s="152" t="s">
        <v>1163</v>
      </c>
      <c r="L282" s="139">
        <f t="shared" si="13"/>
        <v>4</v>
      </c>
      <c r="M282" s="140">
        <f t="shared" si="12"/>
        <v>1</v>
      </c>
      <c r="N282" s="141">
        <f t="shared" si="14"/>
        <v>4</v>
      </c>
      <c r="O282" s="259" t="s">
        <v>1156</v>
      </c>
      <c r="P282" s="143" t="s">
        <v>1780</v>
      </c>
      <c r="Q282" s="264"/>
    </row>
    <row r="283" spans="2:17" s="144" customFormat="1">
      <c r="B283" s="127" t="s">
        <v>2192</v>
      </c>
      <c r="C283" s="133">
        <v>278</v>
      </c>
      <c r="D283" s="180" t="s">
        <v>2304</v>
      </c>
      <c r="E283" s="181" t="s">
        <v>2576</v>
      </c>
      <c r="F283" s="181" t="s">
        <v>3534</v>
      </c>
      <c r="G283" s="181" t="s">
        <v>2589</v>
      </c>
      <c r="H283" s="181" t="s">
        <v>2612</v>
      </c>
      <c r="I283" s="182" t="s">
        <v>2613</v>
      </c>
      <c r="J283" s="137"/>
      <c r="K283" s="152" t="s">
        <v>1163</v>
      </c>
      <c r="L283" s="139">
        <f t="shared" si="13"/>
        <v>4</v>
      </c>
      <c r="M283" s="140">
        <f t="shared" si="12"/>
        <v>1</v>
      </c>
      <c r="N283" s="141">
        <f t="shared" si="14"/>
        <v>4</v>
      </c>
      <c r="O283" s="259" t="s">
        <v>1156</v>
      </c>
      <c r="P283" s="143" t="s">
        <v>1780</v>
      </c>
      <c r="Q283" s="264"/>
    </row>
    <row r="284" spans="2:17" s="144" customFormat="1">
      <c r="B284" s="127" t="s">
        <v>2192</v>
      </c>
      <c r="C284" s="133">
        <v>279</v>
      </c>
      <c r="D284" s="180" t="s">
        <v>2304</v>
      </c>
      <c r="E284" s="181" t="s">
        <v>2576</v>
      </c>
      <c r="F284" s="181" t="s">
        <v>3535</v>
      </c>
      <c r="G284" s="181" t="s">
        <v>2589</v>
      </c>
      <c r="H284" s="181" t="s">
        <v>2614</v>
      </c>
      <c r="I284" s="182" t="s">
        <v>2615</v>
      </c>
      <c r="J284" s="137"/>
      <c r="K284" s="152" t="s">
        <v>1163</v>
      </c>
      <c r="L284" s="139">
        <f t="shared" si="13"/>
        <v>4</v>
      </c>
      <c r="M284" s="140">
        <f t="shared" si="12"/>
        <v>1</v>
      </c>
      <c r="N284" s="141">
        <f t="shared" si="14"/>
        <v>4</v>
      </c>
      <c r="O284" s="259" t="s">
        <v>1156</v>
      </c>
      <c r="P284" s="143" t="s">
        <v>1780</v>
      </c>
      <c r="Q284" s="264"/>
    </row>
    <row r="285" spans="2:17" s="144" customFormat="1">
      <c r="B285" s="127" t="s">
        <v>2192</v>
      </c>
      <c r="C285" s="133">
        <v>280</v>
      </c>
      <c r="D285" s="180" t="s">
        <v>2304</v>
      </c>
      <c r="E285" s="181" t="s">
        <v>2576</v>
      </c>
      <c r="F285" s="181" t="s">
        <v>3536</v>
      </c>
      <c r="G285" s="181" t="s">
        <v>2589</v>
      </c>
      <c r="H285" s="181" t="s">
        <v>2616</v>
      </c>
      <c r="I285" s="182" t="s">
        <v>2617</v>
      </c>
      <c r="J285" s="137"/>
      <c r="K285" s="191" t="s">
        <v>1236</v>
      </c>
      <c r="L285" s="139">
        <f t="shared" si="13"/>
        <v>5.2</v>
      </c>
      <c r="M285" s="140">
        <f t="shared" si="12"/>
        <v>1</v>
      </c>
      <c r="N285" s="141">
        <f t="shared" si="14"/>
        <v>5.2</v>
      </c>
      <c r="O285" s="259" t="s">
        <v>1156</v>
      </c>
      <c r="P285" s="143" t="s">
        <v>1780</v>
      </c>
      <c r="Q285" s="264"/>
    </row>
    <row r="286" spans="2:17" s="144" customFormat="1">
      <c r="B286" s="127" t="s">
        <v>2192</v>
      </c>
      <c r="C286" s="133">
        <v>281</v>
      </c>
      <c r="D286" s="180" t="s">
        <v>2304</v>
      </c>
      <c r="E286" s="181" t="s">
        <v>2576</v>
      </c>
      <c r="F286" s="181" t="s">
        <v>3537</v>
      </c>
      <c r="G286" s="181" t="s">
        <v>2589</v>
      </c>
      <c r="H286" s="181" t="s">
        <v>2618</v>
      </c>
      <c r="I286" s="182" t="s">
        <v>2619</v>
      </c>
      <c r="J286" s="137"/>
      <c r="K286" s="191" t="s">
        <v>1236</v>
      </c>
      <c r="L286" s="139">
        <f t="shared" si="13"/>
        <v>5.2</v>
      </c>
      <c r="M286" s="140">
        <f t="shared" si="12"/>
        <v>1</v>
      </c>
      <c r="N286" s="141">
        <f t="shared" si="14"/>
        <v>5.2</v>
      </c>
      <c r="O286" s="259" t="s">
        <v>1156</v>
      </c>
      <c r="P286" s="143" t="s">
        <v>1780</v>
      </c>
      <c r="Q286" s="264"/>
    </row>
    <row r="287" spans="2:17" s="144" customFormat="1">
      <c r="B287" s="127" t="s">
        <v>2192</v>
      </c>
      <c r="C287" s="133">
        <v>282</v>
      </c>
      <c r="D287" s="180" t="s">
        <v>2304</v>
      </c>
      <c r="E287" s="181" t="s">
        <v>2576</v>
      </c>
      <c r="F287" s="181" t="s">
        <v>3538</v>
      </c>
      <c r="G287" s="181" t="s">
        <v>2589</v>
      </c>
      <c r="H287" s="181" t="s">
        <v>2620</v>
      </c>
      <c r="I287" s="182" t="s">
        <v>2620</v>
      </c>
      <c r="J287" s="137"/>
      <c r="K287" s="191" t="s">
        <v>1416</v>
      </c>
      <c r="L287" s="139">
        <f t="shared" si="13"/>
        <v>5.4</v>
      </c>
      <c r="M287" s="140">
        <f t="shared" si="12"/>
        <v>1</v>
      </c>
      <c r="N287" s="141">
        <f t="shared" si="14"/>
        <v>5.4</v>
      </c>
      <c r="O287" s="259" t="s">
        <v>1156</v>
      </c>
      <c r="P287" s="143" t="s">
        <v>1780</v>
      </c>
      <c r="Q287" s="264"/>
    </row>
    <row r="288" spans="2:17" s="144" customFormat="1" ht="26.45" customHeight="1">
      <c r="B288" s="127" t="s">
        <v>2192</v>
      </c>
      <c r="C288" s="267">
        <v>283</v>
      </c>
      <c r="D288" s="276" t="s">
        <v>2304</v>
      </c>
      <c r="E288" s="269" t="s">
        <v>2576</v>
      </c>
      <c r="F288" s="269" t="s">
        <v>3539</v>
      </c>
      <c r="G288" s="269" t="s">
        <v>2589</v>
      </c>
      <c r="H288" s="269" t="s">
        <v>2621</v>
      </c>
      <c r="I288" s="277" t="s">
        <v>2622</v>
      </c>
      <c r="J288" s="137"/>
      <c r="K288" s="191" t="s">
        <v>1236</v>
      </c>
      <c r="L288" s="139">
        <f t="shared" si="13"/>
        <v>5.2</v>
      </c>
      <c r="M288" s="140">
        <f t="shared" si="12"/>
        <v>1</v>
      </c>
      <c r="N288" s="141">
        <f t="shared" si="14"/>
        <v>5.2</v>
      </c>
      <c r="O288" s="259" t="s">
        <v>1156</v>
      </c>
      <c r="P288" s="143" t="s">
        <v>1780</v>
      </c>
      <c r="Q288" s="264"/>
    </row>
    <row r="289" spans="2:17" s="144" customFormat="1">
      <c r="B289" s="127" t="s">
        <v>2192</v>
      </c>
      <c r="C289" s="267">
        <v>284</v>
      </c>
      <c r="D289" s="276" t="s">
        <v>2304</v>
      </c>
      <c r="E289" s="269" t="s">
        <v>2576</v>
      </c>
      <c r="F289" s="269" t="s">
        <v>3540</v>
      </c>
      <c r="G289" s="269" t="s">
        <v>2589</v>
      </c>
      <c r="H289" s="269" t="s">
        <v>2623</v>
      </c>
      <c r="I289" s="277" t="s">
        <v>2624</v>
      </c>
      <c r="J289" s="137"/>
      <c r="K289" s="191" t="s">
        <v>1236</v>
      </c>
      <c r="L289" s="139">
        <f t="shared" si="13"/>
        <v>5.2</v>
      </c>
      <c r="M289" s="140">
        <f t="shared" si="12"/>
        <v>1</v>
      </c>
      <c r="N289" s="141">
        <f t="shared" si="14"/>
        <v>5.2</v>
      </c>
      <c r="O289" s="259" t="s">
        <v>1156</v>
      </c>
      <c r="P289" s="143" t="s">
        <v>1780</v>
      </c>
      <c r="Q289" s="264"/>
    </row>
    <row r="290" spans="2:17" s="144" customFormat="1">
      <c r="B290" s="127" t="s">
        <v>2192</v>
      </c>
      <c r="C290" s="267">
        <v>285</v>
      </c>
      <c r="D290" s="276" t="s">
        <v>2304</v>
      </c>
      <c r="E290" s="269" t="s">
        <v>2576</v>
      </c>
      <c r="F290" s="269" t="s">
        <v>3541</v>
      </c>
      <c r="G290" s="269" t="s">
        <v>2589</v>
      </c>
      <c r="H290" s="269" t="s">
        <v>2625</v>
      </c>
      <c r="I290" s="277" t="s">
        <v>2626</v>
      </c>
      <c r="J290" s="137"/>
      <c r="K290" s="191" t="s">
        <v>1416</v>
      </c>
      <c r="L290" s="139">
        <f t="shared" si="13"/>
        <v>5.4</v>
      </c>
      <c r="M290" s="140">
        <f t="shared" si="12"/>
        <v>1</v>
      </c>
      <c r="N290" s="141">
        <f t="shared" si="14"/>
        <v>5.4</v>
      </c>
      <c r="O290" s="259" t="s">
        <v>1156</v>
      </c>
      <c r="P290" s="143" t="s">
        <v>1780</v>
      </c>
      <c r="Q290" s="264"/>
    </row>
    <row r="291" spans="2:17" s="144" customFormat="1">
      <c r="B291" s="127" t="s">
        <v>2192</v>
      </c>
      <c r="C291" s="267">
        <v>286</v>
      </c>
      <c r="D291" s="276" t="s">
        <v>2304</v>
      </c>
      <c r="E291" s="269" t="s">
        <v>2576</v>
      </c>
      <c r="F291" s="269" t="s">
        <v>3542</v>
      </c>
      <c r="G291" s="269" t="s">
        <v>2589</v>
      </c>
      <c r="H291" s="269" t="s">
        <v>2627</v>
      </c>
      <c r="I291" s="277" t="s">
        <v>2627</v>
      </c>
      <c r="J291" s="137"/>
      <c r="K291" s="191" t="s">
        <v>1416</v>
      </c>
      <c r="L291" s="139">
        <f t="shared" si="13"/>
        <v>5.4</v>
      </c>
      <c r="M291" s="140">
        <f t="shared" si="12"/>
        <v>1</v>
      </c>
      <c r="N291" s="141">
        <f t="shared" si="14"/>
        <v>5.4</v>
      </c>
      <c r="O291" s="259" t="s">
        <v>1156</v>
      </c>
      <c r="P291" s="143" t="s">
        <v>1780</v>
      </c>
      <c r="Q291" s="264"/>
    </row>
    <row r="292" spans="2:17" s="144" customFormat="1" ht="27">
      <c r="B292" s="127" t="s">
        <v>2192</v>
      </c>
      <c r="C292" s="267">
        <v>287</v>
      </c>
      <c r="D292" s="276" t="s">
        <v>2304</v>
      </c>
      <c r="E292" s="269" t="s">
        <v>2576</v>
      </c>
      <c r="F292" s="269" t="s">
        <v>3543</v>
      </c>
      <c r="G292" s="269" t="s">
        <v>2628</v>
      </c>
      <c r="H292" s="269" t="s">
        <v>2629</v>
      </c>
      <c r="I292" s="277" t="s">
        <v>2629</v>
      </c>
      <c r="J292" s="137"/>
      <c r="K292" s="152" t="s">
        <v>1163</v>
      </c>
      <c r="L292" s="139">
        <f t="shared" si="13"/>
        <v>4</v>
      </c>
      <c r="M292" s="140">
        <f t="shared" si="12"/>
        <v>1</v>
      </c>
      <c r="N292" s="141">
        <f t="shared" si="14"/>
        <v>4</v>
      </c>
      <c r="O292" s="259" t="s">
        <v>1156</v>
      </c>
      <c r="P292" s="143" t="s">
        <v>1780</v>
      </c>
      <c r="Q292" s="264"/>
    </row>
    <row r="293" spans="2:17" s="144" customFormat="1" ht="27">
      <c r="B293" s="127" t="s">
        <v>2192</v>
      </c>
      <c r="C293" s="267">
        <v>288</v>
      </c>
      <c r="D293" s="276" t="s">
        <v>2304</v>
      </c>
      <c r="E293" s="269" t="s">
        <v>2576</v>
      </c>
      <c r="F293" s="269" t="s">
        <v>3544</v>
      </c>
      <c r="G293" s="269" t="s">
        <v>2628</v>
      </c>
      <c r="H293" s="269" t="s">
        <v>2630</v>
      </c>
      <c r="I293" s="277" t="s">
        <v>2631</v>
      </c>
      <c r="J293" s="137"/>
      <c r="K293" s="152" t="s">
        <v>1160</v>
      </c>
      <c r="L293" s="139">
        <f t="shared" si="13"/>
        <v>3.9</v>
      </c>
      <c r="M293" s="140">
        <f t="shared" si="12"/>
        <v>1</v>
      </c>
      <c r="N293" s="141">
        <f t="shared" si="14"/>
        <v>3.9</v>
      </c>
      <c r="O293" s="259" t="s">
        <v>1156</v>
      </c>
      <c r="P293" s="143" t="s">
        <v>1780</v>
      </c>
      <c r="Q293" s="264"/>
    </row>
    <row r="294" spans="2:17" s="144" customFormat="1" ht="27">
      <c r="B294" s="127" t="s">
        <v>2192</v>
      </c>
      <c r="C294" s="267">
        <v>289</v>
      </c>
      <c r="D294" s="276" t="s">
        <v>2304</v>
      </c>
      <c r="E294" s="269" t="s">
        <v>2576</v>
      </c>
      <c r="F294" s="269" t="s">
        <v>3545</v>
      </c>
      <c r="G294" s="269" t="s">
        <v>2628</v>
      </c>
      <c r="H294" s="269" t="s">
        <v>2632</v>
      </c>
      <c r="I294" s="277" t="s">
        <v>2633</v>
      </c>
      <c r="J294" s="137"/>
      <c r="K294" s="191" t="s">
        <v>1236</v>
      </c>
      <c r="L294" s="139">
        <f t="shared" si="13"/>
        <v>5.2</v>
      </c>
      <c r="M294" s="140">
        <f t="shared" si="12"/>
        <v>1</v>
      </c>
      <c r="N294" s="141">
        <f t="shared" si="14"/>
        <v>5.2</v>
      </c>
      <c r="O294" s="259" t="s">
        <v>1156</v>
      </c>
      <c r="P294" s="143" t="s">
        <v>1780</v>
      </c>
      <c r="Q294" s="264"/>
    </row>
    <row r="295" spans="2:17" s="144" customFormat="1" ht="27">
      <c r="B295" s="127" t="s">
        <v>2192</v>
      </c>
      <c r="C295" s="267">
        <v>290</v>
      </c>
      <c r="D295" s="276" t="s">
        <v>2304</v>
      </c>
      <c r="E295" s="269" t="s">
        <v>2576</v>
      </c>
      <c r="F295" s="269" t="s">
        <v>3546</v>
      </c>
      <c r="G295" s="269" t="s">
        <v>2628</v>
      </c>
      <c r="H295" s="269" t="s">
        <v>2634</v>
      </c>
      <c r="I295" s="277" t="s">
        <v>2635</v>
      </c>
      <c r="J295" s="137"/>
      <c r="K295" s="191" t="s">
        <v>1236</v>
      </c>
      <c r="L295" s="139">
        <f t="shared" si="13"/>
        <v>5.2</v>
      </c>
      <c r="M295" s="140">
        <f t="shared" si="12"/>
        <v>1</v>
      </c>
      <c r="N295" s="141">
        <f t="shared" si="14"/>
        <v>5.2</v>
      </c>
      <c r="O295" s="259" t="s">
        <v>1156</v>
      </c>
      <c r="P295" s="143" t="s">
        <v>1780</v>
      </c>
      <c r="Q295" s="264"/>
    </row>
    <row r="296" spans="2:17" s="144" customFormat="1" ht="27">
      <c r="B296" s="127" t="s">
        <v>2192</v>
      </c>
      <c r="C296" s="267">
        <v>291</v>
      </c>
      <c r="D296" s="276" t="s">
        <v>2304</v>
      </c>
      <c r="E296" s="269" t="s">
        <v>2576</v>
      </c>
      <c r="F296" s="269" t="s">
        <v>3547</v>
      </c>
      <c r="G296" s="269" t="s">
        <v>2628</v>
      </c>
      <c r="H296" s="269" t="s">
        <v>2636</v>
      </c>
      <c r="I296" s="277" t="s">
        <v>2636</v>
      </c>
      <c r="J296" s="137"/>
      <c r="K296" s="191" t="s">
        <v>1236</v>
      </c>
      <c r="L296" s="139">
        <f t="shared" si="13"/>
        <v>5.2</v>
      </c>
      <c r="M296" s="140">
        <f t="shared" si="12"/>
        <v>1</v>
      </c>
      <c r="N296" s="141">
        <f t="shared" si="14"/>
        <v>5.2</v>
      </c>
      <c r="O296" s="259" t="s">
        <v>1156</v>
      </c>
      <c r="P296" s="143" t="s">
        <v>1780</v>
      </c>
      <c r="Q296" s="264"/>
    </row>
    <row r="297" spans="2:17" s="144" customFormat="1">
      <c r="B297" s="127" t="s">
        <v>2192</v>
      </c>
      <c r="C297" s="267">
        <v>292</v>
      </c>
      <c r="D297" s="276" t="s">
        <v>2304</v>
      </c>
      <c r="E297" s="269" t="s">
        <v>2576</v>
      </c>
      <c r="F297" s="269" t="s">
        <v>3548</v>
      </c>
      <c r="G297" s="269" t="s">
        <v>2628</v>
      </c>
      <c r="H297" s="269" t="s">
        <v>2637</v>
      </c>
      <c r="I297" s="277" t="s">
        <v>2638</v>
      </c>
      <c r="J297" s="137"/>
      <c r="K297" s="152" t="s">
        <v>1160</v>
      </c>
      <c r="L297" s="139">
        <f t="shared" si="13"/>
        <v>3.9</v>
      </c>
      <c r="M297" s="140">
        <f t="shared" si="12"/>
        <v>1</v>
      </c>
      <c r="N297" s="141">
        <f t="shared" si="14"/>
        <v>3.9</v>
      </c>
      <c r="O297" s="259" t="s">
        <v>1156</v>
      </c>
      <c r="P297" s="143" t="s">
        <v>1780</v>
      </c>
      <c r="Q297" s="264"/>
    </row>
    <row r="298" spans="2:17" s="144" customFormat="1">
      <c r="B298" s="127" t="s">
        <v>2192</v>
      </c>
      <c r="C298" s="267">
        <v>293</v>
      </c>
      <c r="D298" s="276" t="s">
        <v>2304</v>
      </c>
      <c r="E298" s="269" t="s">
        <v>2576</v>
      </c>
      <c r="F298" s="269" t="s">
        <v>3549</v>
      </c>
      <c r="G298" s="269" t="s">
        <v>2628</v>
      </c>
      <c r="H298" s="269" t="s">
        <v>2639</v>
      </c>
      <c r="I298" s="277" t="s">
        <v>2638</v>
      </c>
      <c r="J298" s="137"/>
      <c r="K298" s="152" t="s">
        <v>1163</v>
      </c>
      <c r="L298" s="139">
        <f t="shared" si="13"/>
        <v>4</v>
      </c>
      <c r="M298" s="140">
        <f t="shared" si="12"/>
        <v>1</v>
      </c>
      <c r="N298" s="141">
        <f t="shared" si="14"/>
        <v>4</v>
      </c>
      <c r="O298" s="259" t="s">
        <v>1156</v>
      </c>
      <c r="P298" s="143" t="s">
        <v>1780</v>
      </c>
      <c r="Q298" s="264"/>
    </row>
    <row r="299" spans="2:17" s="144" customFormat="1">
      <c r="B299" s="127" t="s">
        <v>2192</v>
      </c>
      <c r="C299" s="267">
        <v>294</v>
      </c>
      <c r="D299" s="276" t="s">
        <v>2304</v>
      </c>
      <c r="E299" s="269" t="s">
        <v>2576</v>
      </c>
      <c r="F299" s="269" t="s">
        <v>3550</v>
      </c>
      <c r="G299" s="269" t="s">
        <v>2628</v>
      </c>
      <c r="H299" s="269" t="s">
        <v>2640</v>
      </c>
      <c r="I299" s="277" t="s">
        <v>2641</v>
      </c>
      <c r="J299" s="137"/>
      <c r="K299" s="152" t="s">
        <v>1163</v>
      </c>
      <c r="L299" s="139">
        <f t="shared" si="13"/>
        <v>4</v>
      </c>
      <c r="M299" s="140">
        <f t="shared" si="12"/>
        <v>1</v>
      </c>
      <c r="N299" s="141">
        <f t="shared" si="14"/>
        <v>4</v>
      </c>
      <c r="O299" s="259" t="s">
        <v>1156</v>
      </c>
      <c r="P299" s="143" t="s">
        <v>1780</v>
      </c>
      <c r="Q299" s="264"/>
    </row>
    <row r="300" spans="2:17" s="144" customFormat="1">
      <c r="B300" s="127" t="s">
        <v>2192</v>
      </c>
      <c r="C300" s="267">
        <v>295</v>
      </c>
      <c r="D300" s="276" t="s">
        <v>2304</v>
      </c>
      <c r="E300" s="269" t="s">
        <v>2576</v>
      </c>
      <c r="F300" s="269" t="s">
        <v>3551</v>
      </c>
      <c r="G300" s="269" t="s">
        <v>2628</v>
      </c>
      <c r="H300" s="269" t="s">
        <v>2642</v>
      </c>
      <c r="I300" s="277" t="s">
        <v>2643</v>
      </c>
      <c r="J300" s="137"/>
      <c r="K300" s="152" t="s">
        <v>1163</v>
      </c>
      <c r="L300" s="139">
        <f t="shared" si="13"/>
        <v>4</v>
      </c>
      <c r="M300" s="140">
        <f t="shared" si="12"/>
        <v>1</v>
      </c>
      <c r="N300" s="141">
        <f t="shared" si="14"/>
        <v>4</v>
      </c>
      <c r="O300" s="259" t="s">
        <v>1156</v>
      </c>
      <c r="P300" s="143" t="s">
        <v>1780</v>
      </c>
      <c r="Q300" s="264"/>
    </row>
    <row r="301" spans="2:17" s="144" customFormat="1" ht="18.600000000000001" customHeight="1">
      <c r="B301" s="127" t="s">
        <v>2192</v>
      </c>
      <c r="C301" s="147">
        <v>296</v>
      </c>
      <c r="D301" s="180" t="s">
        <v>2304</v>
      </c>
      <c r="E301" s="181" t="s">
        <v>2644</v>
      </c>
      <c r="F301" s="181" t="s">
        <v>3552</v>
      </c>
      <c r="G301" s="181" t="s">
        <v>2645</v>
      </c>
      <c r="H301" s="181" t="s">
        <v>2646</v>
      </c>
      <c r="I301" s="182" t="s">
        <v>2646</v>
      </c>
      <c r="J301" s="137"/>
      <c r="K301" s="153" t="s">
        <v>1155</v>
      </c>
      <c r="L301" s="139">
        <f t="shared" si="13"/>
        <v>7.5</v>
      </c>
      <c r="M301" s="140">
        <f t="shared" si="12"/>
        <v>0.25</v>
      </c>
      <c r="N301" s="141">
        <f t="shared" si="14"/>
        <v>1.875</v>
      </c>
      <c r="O301" s="259" t="s">
        <v>1776</v>
      </c>
      <c r="P301" s="143" t="s">
        <v>1532</v>
      </c>
      <c r="Q301" s="264"/>
    </row>
    <row r="302" spans="2:17" s="144" customFormat="1" ht="18.600000000000001" customHeight="1">
      <c r="B302" s="127" t="s">
        <v>2192</v>
      </c>
      <c r="C302" s="147">
        <v>297</v>
      </c>
      <c r="D302" s="180" t="s">
        <v>2304</v>
      </c>
      <c r="E302" s="181" t="s">
        <v>2644</v>
      </c>
      <c r="F302" s="181" t="s">
        <v>3553</v>
      </c>
      <c r="G302" s="181" t="s">
        <v>2645</v>
      </c>
      <c r="H302" s="181" t="s">
        <v>2647</v>
      </c>
      <c r="I302" s="182" t="s">
        <v>2647</v>
      </c>
      <c r="J302" s="137"/>
      <c r="K302" s="153" t="s">
        <v>1155</v>
      </c>
      <c r="L302" s="139">
        <f t="shared" si="13"/>
        <v>7.5</v>
      </c>
      <c r="M302" s="140">
        <f t="shared" si="12"/>
        <v>0.25</v>
      </c>
      <c r="N302" s="141">
        <f t="shared" si="14"/>
        <v>1.875</v>
      </c>
      <c r="O302" s="259" t="s">
        <v>1776</v>
      </c>
      <c r="P302" s="143" t="s">
        <v>1532</v>
      </c>
      <c r="Q302" s="264"/>
    </row>
    <row r="303" spans="2:17" s="144" customFormat="1" ht="18.600000000000001" customHeight="1">
      <c r="B303" s="127" t="s">
        <v>2192</v>
      </c>
      <c r="C303" s="147">
        <v>298</v>
      </c>
      <c r="D303" s="180" t="s">
        <v>2304</v>
      </c>
      <c r="E303" s="181" t="s">
        <v>2644</v>
      </c>
      <c r="F303" s="181" t="s">
        <v>3554</v>
      </c>
      <c r="G303" s="181" t="s">
        <v>2645</v>
      </c>
      <c r="H303" s="181" t="s">
        <v>2648</v>
      </c>
      <c r="I303" s="182" t="s">
        <v>2648</v>
      </c>
      <c r="J303" s="137"/>
      <c r="K303" s="191" t="s">
        <v>1236</v>
      </c>
      <c r="L303" s="139">
        <f t="shared" si="13"/>
        <v>5.2</v>
      </c>
      <c r="M303" s="140">
        <f t="shared" si="12"/>
        <v>0.25</v>
      </c>
      <c r="N303" s="141">
        <f t="shared" si="14"/>
        <v>1.3</v>
      </c>
      <c r="O303" s="259" t="s">
        <v>1776</v>
      </c>
      <c r="P303" s="143" t="s">
        <v>1532</v>
      </c>
      <c r="Q303" s="264"/>
    </row>
    <row r="304" spans="2:17" s="144" customFormat="1" ht="18.600000000000001" customHeight="1">
      <c r="B304" s="127" t="s">
        <v>2192</v>
      </c>
      <c r="C304" s="147">
        <v>299</v>
      </c>
      <c r="D304" s="180" t="s">
        <v>2304</v>
      </c>
      <c r="E304" s="181" t="s">
        <v>2644</v>
      </c>
      <c r="F304" s="181" t="s">
        <v>3555</v>
      </c>
      <c r="G304" s="181" t="s">
        <v>2645</v>
      </c>
      <c r="H304" s="181" t="s">
        <v>2649</v>
      </c>
      <c r="I304" s="182" t="s">
        <v>2649</v>
      </c>
      <c r="J304" s="137"/>
      <c r="K304" s="191" t="s">
        <v>1236</v>
      </c>
      <c r="L304" s="139">
        <f t="shared" si="13"/>
        <v>5.2</v>
      </c>
      <c r="M304" s="140">
        <f t="shared" si="12"/>
        <v>0.25</v>
      </c>
      <c r="N304" s="141">
        <f t="shared" si="14"/>
        <v>1.3</v>
      </c>
      <c r="O304" s="259" t="s">
        <v>1776</v>
      </c>
      <c r="P304" s="143" t="s">
        <v>1532</v>
      </c>
      <c r="Q304" s="264"/>
    </row>
    <row r="305" spans="2:17" s="144" customFormat="1" ht="18.600000000000001" customHeight="1">
      <c r="B305" s="127" t="s">
        <v>2192</v>
      </c>
      <c r="C305" s="147">
        <v>300</v>
      </c>
      <c r="D305" s="180" t="s">
        <v>2304</v>
      </c>
      <c r="E305" s="181" t="s">
        <v>2644</v>
      </c>
      <c r="F305" s="181" t="s">
        <v>3556</v>
      </c>
      <c r="G305" s="181" t="s">
        <v>2645</v>
      </c>
      <c r="H305" s="181" t="s">
        <v>2650</v>
      </c>
      <c r="I305" s="182" t="s">
        <v>2650</v>
      </c>
      <c r="J305" s="137"/>
      <c r="K305" s="152" t="s">
        <v>1163</v>
      </c>
      <c r="L305" s="139">
        <f t="shared" si="13"/>
        <v>4</v>
      </c>
      <c r="M305" s="140">
        <f t="shared" si="12"/>
        <v>0.25</v>
      </c>
      <c r="N305" s="141">
        <f t="shared" si="14"/>
        <v>1</v>
      </c>
      <c r="O305" s="259" t="s">
        <v>1776</v>
      </c>
      <c r="P305" s="143" t="s">
        <v>1532</v>
      </c>
      <c r="Q305" s="264"/>
    </row>
    <row r="306" spans="2:17" s="144" customFormat="1" ht="18.600000000000001" customHeight="1">
      <c r="B306" s="127" t="s">
        <v>2192</v>
      </c>
      <c r="C306" s="147">
        <v>301</v>
      </c>
      <c r="D306" s="180" t="s">
        <v>2304</v>
      </c>
      <c r="E306" s="181" t="s">
        <v>2644</v>
      </c>
      <c r="F306" s="181" t="s">
        <v>3557</v>
      </c>
      <c r="G306" s="181" t="s">
        <v>2645</v>
      </c>
      <c r="H306" s="181" t="s">
        <v>2651</v>
      </c>
      <c r="I306" s="182" t="s">
        <v>2651</v>
      </c>
      <c r="J306" s="137"/>
      <c r="K306" s="152" t="s">
        <v>1163</v>
      </c>
      <c r="L306" s="139">
        <f t="shared" si="13"/>
        <v>4</v>
      </c>
      <c r="M306" s="140">
        <f t="shared" si="12"/>
        <v>0.25</v>
      </c>
      <c r="N306" s="141">
        <f t="shared" si="14"/>
        <v>1</v>
      </c>
      <c r="O306" s="259" t="s">
        <v>1776</v>
      </c>
      <c r="P306" s="143" t="s">
        <v>1532</v>
      </c>
      <c r="Q306" s="264"/>
    </row>
    <row r="307" spans="2:17" s="144" customFormat="1" ht="18.600000000000001" customHeight="1">
      <c r="B307" s="127" t="s">
        <v>2192</v>
      </c>
      <c r="C307" s="147">
        <v>302</v>
      </c>
      <c r="D307" s="180" t="s">
        <v>2304</v>
      </c>
      <c r="E307" s="181" t="s">
        <v>2644</v>
      </c>
      <c r="F307" s="181" t="s">
        <v>3558</v>
      </c>
      <c r="G307" s="181" t="s">
        <v>2645</v>
      </c>
      <c r="H307" s="181" t="s">
        <v>2652</v>
      </c>
      <c r="I307" s="182" t="s">
        <v>2652</v>
      </c>
      <c r="J307" s="137"/>
      <c r="K307" s="152" t="s">
        <v>1163</v>
      </c>
      <c r="L307" s="139">
        <f t="shared" si="13"/>
        <v>4</v>
      </c>
      <c r="M307" s="140">
        <f t="shared" si="12"/>
        <v>0.25</v>
      </c>
      <c r="N307" s="141">
        <f t="shared" si="14"/>
        <v>1</v>
      </c>
      <c r="O307" s="259" t="s">
        <v>1776</v>
      </c>
      <c r="P307" s="143" t="s">
        <v>1532</v>
      </c>
      <c r="Q307" s="264"/>
    </row>
    <row r="308" spans="2:17" s="144" customFormat="1" ht="18.600000000000001" customHeight="1">
      <c r="B308" s="127" t="s">
        <v>2192</v>
      </c>
      <c r="C308" s="147">
        <v>303</v>
      </c>
      <c r="D308" s="180" t="s">
        <v>2304</v>
      </c>
      <c r="E308" s="181" t="s">
        <v>2644</v>
      </c>
      <c r="F308" s="181" t="s">
        <v>3559</v>
      </c>
      <c r="G308" s="181" t="s">
        <v>2645</v>
      </c>
      <c r="H308" s="181" t="s">
        <v>2653</v>
      </c>
      <c r="I308" s="182" t="s">
        <v>2653</v>
      </c>
      <c r="J308" s="137"/>
      <c r="K308" s="191" t="s">
        <v>1236</v>
      </c>
      <c r="L308" s="139">
        <f t="shared" si="13"/>
        <v>5.2</v>
      </c>
      <c r="M308" s="140">
        <f t="shared" si="12"/>
        <v>0.25</v>
      </c>
      <c r="N308" s="141">
        <f t="shared" si="14"/>
        <v>1.3</v>
      </c>
      <c r="O308" s="259" t="s">
        <v>1776</v>
      </c>
      <c r="P308" s="143" t="s">
        <v>1532</v>
      </c>
      <c r="Q308" s="264"/>
    </row>
    <row r="309" spans="2:17" s="144" customFormat="1" ht="18.600000000000001" customHeight="1">
      <c r="B309" s="127" t="s">
        <v>2192</v>
      </c>
      <c r="C309" s="147">
        <v>304</v>
      </c>
      <c r="D309" s="180" t="s">
        <v>2304</v>
      </c>
      <c r="E309" s="181" t="s">
        <v>2644</v>
      </c>
      <c r="F309" s="181" t="s">
        <v>3560</v>
      </c>
      <c r="G309" s="181" t="s">
        <v>2645</v>
      </c>
      <c r="H309" s="181" t="s">
        <v>2654</v>
      </c>
      <c r="I309" s="182" t="s">
        <v>2654</v>
      </c>
      <c r="J309" s="137"/>
      <c r="K309" s="191" t="s">
        <v>1236</v>
      </c>
      <c r="L309" s="139">
        <f t="shared" si="13"/>
        <v>5.2</v>
      </c>
      <c r="M309" s="140">
        <f t="shared" si="12"/>
        <v>0.25</v>
      </c>
      <c r="N309" s="141">
        <f t="shared" si="14"/>
        <v>1.3</v>
      </c>
      <c r="O309" s="259" t="s">
        <v>1776</v>
      </c>
      <c r="P309" s="143" t="s">
        <v>1532</v>
      </c>
      <c r="Q309" s="264"/>
    </row>
    <row r="310" spans="2:17" s="144" customFormat="1" ht="18.600000000000001" customHeight="1">
      <c r="B310" s="127" t="s">
        <v>2192</v>
      </c>
      <c r="C310" s="147">
        <v>305</v>
      </c>
      <c r="D310" s="180" t="s">
        <v>2304</v>
      </c>
      <c r="E310" s="181" t="s">
        <v>2644</v>
      </c>
      <c r="F310" s="181" t="s">
        <v>3561</v>
      </c>
      <c r="G310" s="181" t="s">
        <v>2645</v>
      </c>
      <c r="H310" s="181" t="s">
        <v>2655</v>
      </c>
      <c r="I310" s="182" t="s">
        <v>2655</v>
      </c>
      <c r="J310" s="137"/>
      <c r="K310" s="191" t="s">
        <v>1236</v>
      </c>
      <c r="L310" s="139">
        <f t="shared" si="13"/>
        <v>5.2</v>
      </c>
      <c r="M310" s="140">
        <f t="shared" si="12"/>
        <v>0.25</v>
      </c>
      <c r="N310" s="141">
        <f t="shared" si="14"/>
        <v>1.3</v>
      </c>
      <c r="O310" s="259" t="s">
        <v>1776</v>
      </c>
      <c r="P310" s="143" t="s">
        <v>1532</v>
      </c>
      <c r="Q310" s="264"/>
    </row>
    <row r="311" spans="2:17" s="144" customFormat="1" ht="18.600000000000001" customHeight="1">
      <c r="B311" s="127" t="s">
        <v>2192</v>
      </c>
      <c r="C311" s="147">
        <v>306</v>
      </c>
      <c r="D311" s="180" t="s">
        <v>2304</v>
      </c>
      <c r="E311" s="181" t="s">
        <v>2644</v>
      </c>
      <c r="F311" s="181" t="s">
        <v>3562</v>
      </c>
      <c r="G311" s="181" t="s">
        <v>2645</v>
      </c>
      <c r="H311" s="181" t="s">
        <v>2656</v>
      </c>
      <c r="I311" s="182" t="s">
        <v>2656</v>
      </c>
      <c r="J311" s="137"/>
      <c r="K311" s="191" t="s">
        <v>1236</v>
      </c>
      <c r="L311" s="139">
        <f t="shared" si="13"/>
        <v>5.2</v>
      </c>
      <c r="M311" s="140">
        <f t="shared" si="12"/>
        <v>0.25</v>
      </c>
      <c r="N311" s="141">
        <f t="shared" si="14"/>
        <v>1.3</v>
      </c>
      <c r="O311" s="259" t="s">
        <v>1776</v>
      </c>
      <c r="P311" s="143" t="s">
        <v>1532</v>
      </c>
      <c r="Q311" s="264"/>
    </row>
    <row r="312" spans="2:17" s="144" customFormat="1" ht="18.600000000000001" customHeight="1">
      <c r="B312" s="127" t="s">
        <v>2192</v>
      </c>
      <c r="C312" s="147">
        <v>307</v>
      </c>
      <c r="D312" s="180" t="s">
        <v>2304</v>
      </c>
      <c r="E312" s="181" t="s">
        <v>2644</v>
      </c>
      <c r="F312" s="181" t="s">
        <v>3563</v>
      </c>
      <c r="G312" s="181" t="s">
        <v>2645</v>
      </c>
      <c r="H312" s="181" t="s">
        <v>2657</v>
      </c>
      <c r="I312" s="182" t="s">
        <v>2657</v>
      </c>
      <c r="J312" s="137"/>
      <c r="K312" s="191" t="s">
        <v>1416</v>
      </c>
      <c r="L312" s="139">
        <f t="shared" si="13"/>
        <v>5.4</v>
      </c>
      <c r="M312" s="140">
        <f t="shared" si="12"/>
        <v>0.25</v>
      </c>
      <c r="N312" s="141">
        <f t="shared" si="14"/>
        <v>1.35</v>
      </c>
      <c r="O312" s="259" t="s">
        <v>1776</v>
      </c>
      <c r="P312" s="143" t="s">
        <v>1532</v>
      </c>
      <c r="Q312" s="280"/>
    </row>
    <row r="313" spans="2:17" s="144" customFormat="1" ht="19.5" customHeight="1">
      <c r="B313" s="127" t="s">
        <v>2192</v>
      </c>
      <c r="C313" s="147">
        <v>308</v>
      </c>
      <c r="D313" s="180" t="s">
        <v>2304</v>
      </c>
      <c r="E313" s="181" t="s">
        <v>2644</v>
      </c>
      <c r="F313" s="181" t="s">
        <v>3564</v>
      </c>
      <c r="G313" s="181" t="s">
        <v>2658</v>
      </c>
      <c r="H313" s="181" t="s">
        <v>2659</v>
      </c>
      <c r="I313" s="182" t="s">
        <v>2659</v>
      </c>
      <c r="J313" s="137"/>
      <c r="K313" s="152" t="s">
        <v>1163</v>
      </c>
      <c r="L313" s="139">
        <f t="shared" si="13"/>
        <v>4</v>
      </c>
      <c r="M313" s="140">
        <f t="shared" si="12"/>
        <v>1</v>
      </c>
      <c r="N313" s="141">
        <f t="shared" si="14"/>
        <v>4</v>
      </c>
      <c r="O313" s="259" t="s">
        <v>1156</v>
      </c>
      <c r="P313" s="143" t="s">
        <v>1532</v>
      </c>
      <c r="Q313" s="280"/>
    </row>
    <row r="314" spans="2:17" s="144" customFormat="1" ht="19.5" customHeight="1">
      <c r="B314" s="127" t="s">
        <v>2192</v>
      </c>
      <c r="C314" s="147">
        <v>309</v>
      </c>
      <c r="D314" s="180" t="s">
        <v>2304</v>
      </c>
      <c r="E314" s="181" t="s">
        <v>2644</v>
      </c>
      <c r="F314" s="181" t="s">
        <v>3565</v>
      </c>
      <c r="G314" s="181" t="s">
        <v>2658</v>
      </c>
      <c r="H314" s="181" t="s">
        <v>2660</v>
      </c>
      <c r="I314" s="182" t="s">
        <v>2660</v>
      </c>
      <c r="J314" s="137"/>
      <c r="K314" s="191" t="s">
        <v>1236</v>
      </c>
      <c r="L314" s="139">
        <f t="shared" si="13"/>
        <v>5.2</v>
      </c>
      <c r="M314" s="140">
        <f t="shared" si="12"/>
        <v>1</v>
      </c>
      <c r="N314" s="141">
        <f t="shared" si="14"/>
        <v>5.2</v>
      </c>
      <c r="O314" s="259" t="s">
        <v>1156</v>
      </c>
      <c r="P314" s="143" t="s">
        <v>1532</v>
      </c>
      <c r="Q314" s="264"/>
    </row>
    <row r="315" spans="2:17" s="144" customFormat="1" ht="19.5" customHeight="1">
      <c r="B315" s="127" t="s">
        <v>2192</v>
      </c>
      <c r="C315" s="147">
        <v>310</v>
      </c>
      <c r="D315" s="180" t="s">
        <v>2304</v>
      </c>
      <c r="E315" s="181" t="s">
        <v>2644</v>
      </c>
      <c r="F315" s="181" t="s">
        <v>3566</v>
      </c>
      <c r="G315" s="181" t="s">
        <v>2661</v>
      </c>
      <c r="H315" s="181" t="s">
        <v>2662</v>
      </c>
      <c r="I315" s="182" t="s">
        <v>2662</v>
      </c>
      <c r="J315" s="137"/>
      <c r="K315" s="152" t="s">
        <v>1163</v>
      </c>
      <c r="L315" s="139">
        <f t="shared" si="13"/>
        <v>4</v>
      </c>
      <c r="M315" s="140">
        <f t="shared" si="12"/>
        <v>1</v>
      </c>
      <c r="N315" s="141">
        <f t="shared" si="14"/>
        <v>4</v>
      </c>
      <c r="O315" s="259" t="s">
        <v>1156</v>
      </c>
      <c r="P315" s="143" t="s">
        <v>1532</v>
      </c>
      <c r="Q315" s="264"/>
    </row>
    <row r="316" spans="2:17" s="144" customFormat="1" ht="19.5" customHeight="1">
      <c r="B316" s="127" t="s">
        <v>2192</v>
      </c>
      <c r="C316" s="147">
        <v>311</v>
      </c>
      <c r="D316" s="180" t="s">
        <v>2304</v>
      </c>
      <c r="E316" s="181" t="s">
        <v>2644</v>
      </c>
      <c r="F316" s="181" t="s">
        <v>3567</v>
      </c>
      <c r="G316" s="181" t="s">
        <v>2661</v>
      </c>
      <c r="H316" s="181" t="s">
        <v>2663</v>
      </c>
      <c r="I316" s="182" t="s">
        <v>2663</v>
      </c>
      <c r="J316" s="137"/>
      <c r="K316" s="191" t="s">
        <v>1236</v>
      </c>
      <c r="L316" s="139">
        <f t="shared" si="13"/>
        <v>5.2</v>
      </c>
      <c r="M316" s="140">
        <f t="shared" si="12"/>
        <v>1</v>
      </c>
      <c r="N316" s="141">
        <f t="shared" si="14"/>
        <v>5.2</v>
      </c>
      <c r="O316" s="259" t="s">
        <v>1156</v>
      </c>
      <c r="P316" s="143" t="s">
        <v>1532</v>
      </c>
      <c r="Q316" s="264"/>
    </row>
    <row r="317" spans="2:17" s="144" customFormat="1" ht="19.5" customHeight="1">
      <c r="B317" s="127" t="s">
        <v>2192</v>
      </c>
      <c r="C317" s="147">
        <v>312</v>
      </c>
      <c r="D317" s="180" t="s">
        <v>2304</v>
      </c>
      <c r="E317" s="181" t="s">
        <v>2644</v>
      </c>
      <c r="F317" s="181" t="s">
        <v>3568</v>
      </c>
      <c r="G317" s="181" t="s">
        <v>2661</v>
      </c>
      <c r="H317" s="181" t="s">
        <v>2664</v>
      </c>
      <c r="I317" s="182" t="s">
        <v>2664</v>
      </c>
      <c r="J317" s="137"/>
      <c r="K317" s="191" t="s">
        <v>1236</v>
      </c>
      <c r="L317" s="139">
        <f t="shared" si="13"/>
        <v>5.2</v>
      </c>
      <c r="M317" s="140">
        <f t="shared" si="12"/>
        <v>1</v>
      </c>
      <c r="N317" s="141">
        <f t="shared" si="14"/>
        <v>5.2</v>
      </c>
      <c r="O317" s="259" t="s">
        <v>1156</v>
      </c>
      <c r="P317" s="143" t="s">
        <v>1532</v>
      </c>
      <c r="Q317" s="264"/>
    </row>
    <row r="318" spans="2:17" s="144" customFormat="1" ht="19.5" customHeight="1">
      <c r="B318" s="127" t="s">
        <v>2192</v>
      </c>
      <c r="C318" s="147">
        <v>313</v>
      </c>
      <c r="D318" s="180" t="s">
        <v>2304</v>
      </c>
      <c r="E318" s="181" t="s">
        <v>2644</v>
      </c>
      <c r="F318" s="181" t="s">
        <v>3569</v>
      </c>
      <c r="G318" s="181" t="s">
        <v>2665</v>
      </c>
      <c r="H318" s="181" t="s">
        <v>2666</v>
      </c>
      <c r="I318" s="182" t="s">
        <v>2666</v>
      </c>
      <c r="J318" s="137"/>
      <c r="K318" s="153" t="s">
        <v>1155</v>
      </c>
      <c r="L318" s="139">
        <f t="shared" si="13"/>
        <v>7.5</v>
      </c>
      <c r="M318" s="140">
        <f t="shared" si="12"/>
        <v>1</v>
      </c>
      <c r="N318" s="141">
        <f t="shared" si="14"/>
        <v>7.5</v>
      </c>
      <c r="O318" s="259" t="s">
        <v>1156</v>
      </c>
      <c r="P318" s="143" t="s">
        <v>1532</v>
      </c>
      <c r="Q318" s="264"/>
    </row>
    <row r="319" spans="2:17" s="144" customFormat="1" ht="19.5" customHeight="1">
      <c r="B319" s="127" t="s">
        <v>2192</v>
      </c>
      <c r="C319" s="147">
        <v>314</v>
      </c>
      <c r="D319" s="180" t="s">
        <v>2304</v>
      </c>
      <c r="E319" s="181" t="s">
        <v>2644</v>
      </c>
      <c r="F319" s="181" t="s">
        <v>3570</v>
      </c>
      <c r="G319" s="181" t="s">
        <v>2665</v>
      </c>
      <c r="H319" s="181" t="s">
        <v>2667</v>
      </c>
      <c r="I319" s="182" t="s">
        <v>2667</v>
      </c>
      <c r="J319" s="137"/>
      <c r="K319" s="152" t="s">
        <v>1163</v>
      </c>
      <c r="L319" s="139">
        <f t="shared" si="13"/>
        <v>4</v>
      </c>
      <c r="M319" s="140">
        <f t="shared" si="12"/>
        <v>1</v>
      </c>
      <c r="N319" s="141">
        <f t="shared" si="14"/>
        <v>4</v>
      </c>
      <c r="O319" s="259" t="s">
        <v>1156</v>
      </c>
      <c r="P319" s="143" t="s">
        <v>1532</v>
      </c>
      <c r="Q319" s="264"/>
    </row>
    <row r="320" spans="2:17" s="144" customFormat="1" ht="19.5" customHeight="1">
      <c r="B320" s="127" t="s">
        <v>2192</v>
      </c>
      <c r="C320" s="147">
        <v>315</v>
      </c>
      <c r="D320" s="180" t="s">
        <v>2304</v>
      </c>
      <c r="E320" s="181" t="s">
        <v>2644</v>
      </c>
      <c r="F320" s="181" t="s">
        <v>3571</v>
      </c>
      <c r="G320" s="181" t="s">
        <v>2665</v>
      </c>
      <c r="H320" s="181" t="s">
        <v>2668</v>
      </c>
      <c r="I320" s="182" t="s">
        <v>2668</v>
      </c>
      <c r="J320" s="137"/>
      <c r="K320" s="191" t="s">
        <v>1236</v>
      </c>
      <c r="L320" s="139">
        <f t="shared" si="13"/>
        <v>5.2</v>
      </c>
      <c r="M320" s="140">
        <f t="shared" si="12"/>
        <v>1</v>
      </c>
      <c r="N320" s="141">
        <f t="shared" si="14"/>
        <v>5.2</v>
      </c>
      <c r="O320" s="259" t="s">
        <v>1156</v>
      </c>
      <c r="P320" s="143" t="s">
        <v>1532</v>
      </c>
      <c r="Q320" s="264"/>
    </row>
    <row r="321" spans="2:17" s="144" customFormat="1" ht="19.5" customHeight="1">
      <c r="B321" s="127" t="s">
        <v>2192</v>
      </c>
      <c r="C321" s="147">
        <v>316</v>
      </c>
      <c r="D321" s="180" t="s">
        <v>2304</v>
      </c>
      <c r="E321" s="181" t="s">
        <v>2644</v>
      </c>
      <c r="F321" s="181" t="s">
        <v>3572</v>
      </c>
      <c r="G321" s="181" t="s">
        <v>2665</v>
      </c>
      <c r="H321" s="181" t="s">
        <v>2669</v>
      </c>
      <c r="I321" s="182" t="s">
        <v>2669</v>
      </c>
      <c r="J321" s="137"/>
      <c r="K321" s="152" t="s">
        <v>1163</v>
      </c>
      <c r="L321" s="139">
        <f t="shared" si="13"/>
        <v>4</v>
      </c>
      <c r="M321" s="140">
        <f t="shared" si="12"/>
        <v>1</v>
      </c>
      <c r="N321" s="141">
        <f t="shared" si="14"/>
        <v>4</v>
      </c>
      <c r="O321" s="259" t="s">
        <v>1156</v>
      </c>
      <c r="P321" s="143" t="s">
        <v>1532</v>
      </c>
      <c r="Q321" s="264"/>
    </row>
    <row r="322" spans="2:17" s="144" customFormat="1" ht="19.5" customHeight="1">
      <c r="B322" s="127" t="s">
        <v>2192</v>
      </c>
      <c r="C322" s="147">
        <v>317</v>
      </c>
      <c r="D322" s="180" t="s">
        <v>2304</v>
      </c>
      <c r="E322" s="181" t="s">
        <v>2644</v>
      </c>
      <c r="F322" s="181" t="s">
        <v>3573</v>
      </c>
      <c r="G322" s="181" t="s">
        <v>2665</v>
      </c>
      <c r="H322" s="181" t="s">
        <v>2670</v>
      </c>
      <c r="I322" s="182" t="s">
        <v>2670</v>
      </c>
      <c r="J322" s="137"/>
      <c r="K322" s="191" t="s">
        <v>1236</v>
      </c>
      <c r="L322" s="139">
        <f t="shared" si="13"/>
        <v>5.2</v>
      </c>
      <c r="M322" s="140">
        <f t="shared" si="12"/>
        <v>1</v>
      </c>
      <c r="N322" s="141">
        <f t="shared" si="14"/>
        <v>5.2</v>
      </c>
      <c r="O322" s="259" t="s">
        <v>1156</v>
      </c>
      <c r="P322" s="143" t="s">
        <v>1532</v>
      </c>
      <c r="Q322" s="264"/>
    </row>
    <row r="323" spans="2:17" s="144" customFormat="1" ht="19.5" customHeight="1">
      <c r="B323" s="127" t="s">
        <v>2192</v>
      </c>
      <c r="C323" s="147">
        <v>318</v>
      </c>
      <c r="D323" s="180" t="s">
        <v>2304</v>
      </c>
      <c r="E323" s="181" t="s">
        <v>2644</v>
      </c>
      <c r="F323" s="181" t="s">
        <v>3574</v>
      </c>
      <c r="G323" s="181" t="s">
        <v>2665</v>
      </c>
      <c r="H323" s="181" t="s">
        <v>2671</v>
      </c>
      <c r="I323" s="182" t="s">
        <v>2671</v>
      </c>
      <c r="J323" s="137"/>
      <c r="K323" s="153" t="s">
        <v>1155</v>
      </c>
      <c r="L323" s="139">
        <f t="shared" si="13"/>
        <v>7.5</v>
      </c>
      <c r="M323" s="140">
        <f t="shared" si="12"/>
        <v>1</v>
      </c>
      <c r="N323" s="141">
        <f t="shared" si="14"/>
        <v>7.5</v>
      </c>
      <c r="O323" s="259" t="s">
        <v>1156</v>
      </c>
      <c r="P323" s="143" t="s">
        <v>1532</v>
      </c>
      <c r="Q323" s="264"/>
    </row>
    <row r="324" spans="2:17" s="144" customFormat="1" ht="19.5" customHeight="1">
      <c r="B324" s="127" t="s">
        <v>2192</v>
      </c>
      <c r="C324" s="147">
        <v>319</v>
      </c>
      <c r="D324" s="180" t="s">
        <v>2304</v>
      </c>
      <c r="E324" s="181" t="s">
        <v>2644</v>
      </c>
      <c r="F324" s="181" t="s">
        <v>3575</v>
      </c>
      <c r="G324" s="181" t="s">
        <v>2665</v>
      </c>
      <c r="H324" s="181" t="s">
        <v>2672</v>
      </c>
      <c r="I324" s="182" t="s">
        <v>2672</v>
      </c>
      <c r="J324" s="137"/>
      <c r="K324" s="152" t="s">
        <v>1163</v>
      </c>
      <c r="L324" s="139">
        <f t="shared" si="13"/>
        <v>4</v>
      </c>
      <c r="M324" s="140">
        <f t="shared" si="12"/>
        <v>1</v>
      </c>
      <c r="N324" s="141">
        <f t="shared" si="14"/>
        <v>4</v>
      </c>
      <c r="O324" s="259" t="s">
        <v>1156</v>
      </c>
      <c r="P324" s="143" t="s">
        <v>1532</v>
      </c>
      <c r="Q324" s="264"/>
    </row>
    <row r="325" spans="2:17" s="144" customFormat="1" ht="19.5" customHeight="1">
      <c r="B325" s="127" t="s">
        <v>2192</v>
      </c>
      <c r="C325" s="147">
        <v>320</v>
      </c>
      <c r="D325" s="180" t="s">
        <v>2304</v>
      </c>
      <c r="E325" s="181" t="s">
        <v>2644</v>
      </c>
      <c r="F325" s="181" t="s">
        <v>3576</v>
      </c>
      <c r="G325" s="181" t="s">
        <v>2665</v>
      </c>
      <c r="H325" s="181" t="s">
        <v>2673</v>
      </c>
      <c r="I325" s="182" t="s">
        <v>2673</v>
      </c>
      <c r="J325" s="137"/>
      <c r="K325" s="191" t="s">
        <v>1236</v>
      </c>
      <c r="L325" s="139">
        <f t="shared" si="13"/>
        <v>5.2</v>
      </c>
      <c r="M325" s="140">
        <f t="shared" si="12"/>
        <v>1</v>
      </c>
      <c r="N325" s="141">
        <f t="shared" si="14"/>
        <v>5.2</v>
      </c>
      <c r="O325" s="259" t="s">
        <v>1156</v>
      </c>
      <c r="P325" s="143" t="s">
        <v>1532</v>
      </c>
      <c r="Q325" s="264"/>
    </row>
    <row r="326" spans="2:17" s="144" customFormat="1" ht="19.5" customHeight="1">
      <c r="B326" s="127" t="s">
        <v>2192</v>
      </c>
      <c r="C326" s="147">
        <v>321</v>
      </c>
      <c r="D326" s="180" t="s">
        <v>2304</v>
      </c>
      <c r="E326" s="181" t="s">
        <v>2644</v>
      </c>
      <c r="F326" s="181" t="s">
        <v>3577</v>
      </c>
      <c r="G326" s="181" t="s">
        <v>2665</v>
      </c>
      <c r="H326" s="181" t="s">
        <v>2674</v>
      </c>
      <c r="I326" s="182" t="s">
        <v>2674</v>
      </c>
      <c r="J326" s="137"/>
      <c r="K326" s="152" t="s">
        <v>1163</v>
      </c>
      <c r="L326" s="139">
        <f t="shared" si="13"/>
        <v>4</v>
      </c>
      <c r="M326" s="140">
        <f t="shared" ref="M326:M389" si="15">IF(O326="","",IF(O326="신규",1,IF(O326="고도화",1.04,IF(O326="재사용",0.25))))</f>
        <v>1</v>
      </c>
      <c r="N326" s="141">
        <f t="shared" si="14"/>
        <v>4</v>
      </c>
      <c r="O326" s="259" t="s">
        <v>1156</v>
      </c>
      <c r="P326" s="143" t="s">
        <v>1532</v>
      </c>
      <c r="Q326" s="264"/>
    </row>
    <row r="327" spans="2:17" s="144" customFormat="1" ht="19.5" customHeight="1">
      <c r="B327" s="127" t="s">
        <v>2192</v>
      </c>
      <c r="C327" s="147">
        <v>322</v>
      </c>
      <c r="D327" s="180" t="s">
        <v>2304</v>
      </c>
      <c r="E327" s="181" t="s">
        <v>2644</v>
      </c>
      <c r="F327" s="181" t="s">
        <v>3578</v>
      </c>
      <c r="G327" s="181" t="s">
        <v>2665</v>
      </c>
      <c r="H327" s="181" t="s">
        <v>2675</v>
      </c>
      <c r="I327" s="182" t="s">
        <v>2675</v>
      </c>
      <c r="J327" s="137"/>
      <c r="K327" s="191" t="s">
        <v>1236</v>
      </c>
      <c r="L327" s="139">
        <f t="shared" ref="L327:L390" si="16">IF(K327="","",IF(K327="EI",4,IF(K327="EO",5.2,IF(K327="EQ",3.9,IF(K327="ILF",7.5,IF(K327="EIF",5.4))))))</f>
        <v>5.2</v>
      </c>
      <c r="M327" s="140">
        <f t="shared" si="15"/>
        <v>1</v>
      </c>
      <c r="N327" s="141">
        <f t="shared" ref="N327:N390" si="17">L327*M327</f>
        <v>5.2</v>
      </c>
      <c r="O327" s="259" t="s">
        <v>1156</v>
      </c>
      <c r="P327" s="143" t="s">
        <v>1532</v>
      </c>
      <c r="Q327" s="264"/>
    </row>
    <row r="328" spans="2:17" s="144" customFormat="1" ht="27">
      <c r="B328" s="127" t="s">
        <v>2192</v>
      </c>
      <c r="C328" s="147">
        <v>323</v>
      </c>
      <c r="D328" s="180" t="s">
        <v>2304</v>
      </c>
      <c r="E328" s="181" t="s">
        <v>2644</v>
      </c>
      <c r="F328" s="181" t="s">
        <v>3579</v>
      </c>
      <c r="G328" s="181" t="s">
        <v>2676</v>
      </c>
      <c r="H328" s="181" t="s">
        <v>2677</v>
      </c>
      <c r="I328" s="182" t="s">
        <v>2677</v>
      </c>
      <c r="J328" s="137"/>
      <c r="K328" s="191" t="s">
        <v>1226</v>
      </c>
      <c r="L328" s="139">
        <f t="shared" si="16"/>
        <v>3.9</v>
      </c>
      <c r="M328" s="140">
        <f t="shared" si="15"/>
        <v>0.25</v>
      </c>
      <c r="N328" s="141">
        <f t="shared" si="17"/>
        <v>0.97499999999999998</v>
      </c>
      <c r="O328" s="259" t="s">
        <v>1776</v>
      </c>
      <c r="P328" s="143" t="s">
        <v>1532</v>
      </c>
      <c r="Q328" s="264"/>
    </row>
    <row r="329" spans="2:17" s="144" customFormat="1" ht="27">
      <c r="B329" s="127" t="s">
        <v>2192</v>
      </c>
      <c r="C329" s="147">
        <v>324</v>
      </c>
      <c r="D329" s="180" t="s">
        <v>2304</v>
      </c>
      <c r="E329" s="181" t="s">
        <v>2644</v>
      </c>
      <c r="F329" s="181" t="s">
        <v>3580</v>
      </c>
      <c r="G329" s="181" t="s">
        <v>2676</v>
      </c>
      <c r="H329" s="181" t="s">
        <v>2678</v>
      </c>
      <c r="I329" s="182" t="s">
        <v>2678</v>
      </c>
      <c r="J329" s="137"/>
      <c r="K329" s="191" t="s">
        <v>1226</v>
      </c>
      <c r="L329" s="139">
        <f t="shared" si="16"/>
        <v>3.9</v>
      </c>
      <c r="M329" s="140">
        <f t="shared" si="15"/>
        <v>0.25</v>
      </c>
      <c r="N329" s="141">
        <f t="shared" si="17"/>
        <v>0.97499999999999998</v>
      </c>
      <c r="O329" s="259" t="s">
        <v>1776</v>
      </c>
      <c r="P329" s="143" t="s">
        <v>1532</v>
      </c>
      <c r="Q329" s="264"/>
    </row>
    <row r="330" spans="2:17" s="144" customFormat="1" ht="27">
      <c r="B330" s="127" t="s">
        <v>2192</v>
      </c>
      <c r="C330" s="147">
        <v>325</v>
      </c>
      <c r="D330" s="180" t="s">
        <v>2304</v>
      </c>
      <c r="E330" s="181" t="s">
        <v>2644</v>
      </c>
      <c r="F330" s="181" t="s">
        <v>3581</v>
      </c>
      <c r="G330" s="181" t="s">
        <v>2676</v>
      </c>
      <c r="H330" s="181" t="s">
        <v>2679</v>
      </c>
      <c r="I330" s="182" t="s">
        <v>2679</v>
      </c>
      <c r="J330" s="137"/>
      <c r="K330" s="191" t="s">
        <v>1226</v>
      </c>
      <c r="L330" s="139">
        <f t="shared" si="16"/>
        <v>3.9</v>
      </c>
      <c r="M330" s="140">
        <f t="shared" si="15"/>
        <v>0.25</v>
      </c>
      <c r="N330" s="141">
        <f t="shared" si="17"/>
        <v>0.97499999999999998</v>
      </c>
      <c r="O330" s="259" t="s">
        <v>1776</v>
      </c>
      <c r="P330" s="143" t="s">
        <v>1532</v>
      </c>
      <c r="Q330" s="264"/>
    </row>
    <row r="331" spans="2:17" s="144" customFormat="1" ht="27">
      <c r="B331" s="127" t="s">
        <v>2192</v>
      </c>
      <c r="C331" s="147">
        <v>326</v>
      </c>
      <c r="D331" s="180" t="s">
        <v>2304</v>
      </c>
      <c r="E331" s="181" t="s">
        <v>2644</v>
      </c>
      <c r="F331" s="181" t="s">
        <v>3582</v>
      </c>
      <c r="G331" s="181" t="s">
        <v>2676</v>
      </c>
      <c r="H331" s="181" t="s">
        <v>2680</v>
      </c>
      <c r="I331" s="182" t="s">
        <v>2680</v>
      </c>
      <c r="J331" s="137"/>
      <c r="K331" s="281" t="s">
        <v>1226</v>
      </c>
      <c r="L331" s="139">
        <f t="shared" si="16"/>
        <v>3.9</v>
      </c>
      <c r="M331" s="140">
        <f t="shared" si="15"/>
        <v>0.25</v>
      </c>
      <c r="N331" s="141">
        <f t="shared" si="17"/>
        <v>0.97499999999999998</v>
      </c>
      <c r="O331" s="259" t="s">
        <v>1776</v>
      </c>
      <c r="P331" s="143" t="s">
        <v>1532</v>
      </c>
      <c r="Q331" s="282"/>
    </row>
    <row r="332" spans="2:17" s="144" customFormat="1">
      <c r="C332" s="267">
        <v>327</v>
      </c>
      <c r="D332" s="268" t="s">
        <v>2164</v>
      </c>
      <c r="E332" s="283" t="s">
        <v>2681</v>
      </c>
      <c r="F332" s="269" t="s">
        <v>3583</v>
      </c>
      <c r="G332" s="283" t="s">
        <v>2682</v>
      </c>
      <c r="H332" s="283" t="s">
        <v>2683</v>
      </c>
      <c r="I332" s="284" t="s">
        <v>2684</v>
      </c>
      <c r="J332" s="137"/>
      <c r="K332" s="153" t="s">
        <v>1155</v>
      </c>
      <c r="L332" s="139">
        <f t="shared" si="16"/>
        <v>7.5</v>
      </c>
      <c r="M332" s="140">
        <f t="shared" si="15"/>
        <v>1</v>
      </c>
      <c r="N332" s="141">
        <f t="shared" si="17"/>
        <v>7.5</v>
      </c>
      <c r="O332" s="259" t="s">
        <v>1156</v>
      </c>
      <c r="P332" s="143" t="s">
        <v>1532</v>
      </c>
    </row>
    <row r="333" spans="2:17" s="144" customFormat="1">
      <c r="C333" s="267">
        <v>328</v>
      </c>
      <c r="D333" s="268" t="s">
        <v>2164</v>
      </c>
      <c r="E333" s="283" t="s">
        <v>2681</v>
      </c>
      <c r="F333" s="269" t="s">
        <v>3584</v>
      </c>
      <c r="G333" s="283" t="s">
        <v>2682</v>
      </c>
      <c r="H333" s="283" t="s">
        <v>2685</v>
      </c>
      <c r="I333" s="284" t="s">
        <v>2686</v>
      </c>
      <c r="J333" s="137"/>
      <c r="K333" s="153" t="s">
        <v>1155</v>
      </c>
      <c r="L333" s="139">
        <f t="shared" si="16"/>
        <v>7.5</v>
      </c>
      <c r="M333" s="140">
        <f t="shared" si="15"/>
        <v>1</v>
      </c>
      <c r="N333" s="141">
        <f t="shared" si="17"/>
        <v>7.5</v>
      </c>
      <c r="O333" s="259" t="s">
        <v>1156</v>
      </c>
      <c r="P333" s="143" t="s">
        <v>1780</v>
      </c>
    </row>
    <row r="334" spans="2:17" s="144" customFormat="1">
      <c r="C334" s="267">
        <v>329</v>
      </c>
      <c r="D334" s="268" t="s">
        <v>2164</v>
      </c>
      <c r="E334" s="283" t="s">
        <v>2681</v>
      </c>
      <c r="F334" s="269" t="s">
        <v>3585</v>
      </c>
      <c r="G334" s="283" t="s">
        <v>2682</v>
      </c>
      <c r="H334" s="283" t="s">
        <v>2687</v>
      </c>
      <c r="I334" s="284" t="s">
        <v>2688</v>
      </c>
      <c r="J334" s="137"/>
      <c r="K334" s="191" t="s">
        <v>1416</v>
      </c>
      <c r="L334" s="139">
        <f t="shared" si="16"/>
        <v>5.4</v>
      </c>
      <c r="M334" s="140">
        <f t="shared" si="15"/>
        <v>1</v>
      </c>
      <c r="N334" s="141">
        <f t="shared" si="17"/>
        <v>5.4</v>
      </c>
      <c r="O334" s="259" t="s">
        <v>1156</v>
      </c>
      <c r="P334" s="143" t="s">
        <v>1780</v>
      </c>
    </row>
    <row r="335" spans="2:17" s="144" customFormat="1">
      <c r="C335" s="267">
        <v>330</v>
      </c>
      <c r="D335" s="268" t="s">
        <v>2164</v>
      </c>
      <c r="E335" s="283" t="s">
        <v>2681</v>
      </c>
      <c r="F335" s="269" t="s">
        <v>3586</v>
      </c>
      <c r="G335" s="283" t="s">
        <v>2682</v>
      </c>
      <c r="H335" s="283" t="s">
        <v>2689</v>
      </c>
      <c r="I335" s="284" t="s">
        <v>2690</v>
      </c>
      <c r="J335" s="137"/>
      <c r="K335" s="191" t="s">
        <v>1236</v>
      </c>
      <c r="L335" s="139">
        <f t="shared" si="16"/>
        <v>5.2</v>
      </c>
      <c r="M335" s="140">
        <f t="shared" si="15"/>
        <v>1</v>
      </c>
      <c r="N335" s="141">
        <f t="shared" si="17"/>
        <v>5.2</v>
      </c>
      <c r="O335" s="259" t="s">
        <v>1156</v>
      </c>
      <c r="P335" s="143" t="s">
        <v>1780</v>
      </c>
    </row>
    <row r="336" spans="2:17" s="144" customFormat="1" ht="27">
      <c r="C336" s="147">
        <v>331</v>
      </c>
      <c r="D336" s="134" t="s">
        <v>2164</v>
      </c>
      <c r="E336" s="228" t="s">
        <v>2681</v>
      </c>
      <c r="F336" s="181" t="s">
        <v>3587</v>
      </c>
      <c r="G336" s="228" t="s">
        <v>2691</v>
      </c>
      <c r="H336" s="228" t="s">
        <v>2692</v>
      </c>
      <c r="I336" s="230" t="s">
        <v>2693</v>
      </c>
      <c r="J336" s="137"/>
      <c r="K336" s="191" t="s">
        <v>1236</v>
      </c>
      <c r="L336" s="139">
        <f t="shared" si="16"/>
        <v>5.2</v>
      </c>
      <c r="M336" s="140">
        <f t="shared" si="15"/>
        <v>1</v>
      </c>
      <c r="N336" s="141">
        <f t="shared" si="17"/>
        <v>5.2</v>
      </c>
      <c r="O336" s="259" t="s">
        <v>1156</v>
      </c>
      <c r="P336" s="143" t="s">
        <v>1780</v>
      </c>
    </row>
    <row r="337" spans="3:16" s="144" customFormat="1" ht="27">
      <c r="C337" s="147">
        <v>332</v>
      </c>
      <c r="D337" s="134" t="s">
        <v>2164</v>
      </c>
      <c r="E337" s="228" t="s">
        <v>2681</v>
      </c>
      <c r="F337" s="181" t="s">
        <v>3588</v>
      </c>
      <c r="G337" s="228" t="s">
        <v>2691</v>
      </c>
      <c r="H337" s="228" t="s">
        <v>2694</v>
      </c>
      <c r="I337" s="230" t="s">
        <v>2693</v>
      </c>
      <c r="J337" s="137"/>
      <c r="K337" s="191" t="s">
        <v>1236</v>
      </c>
      <c r="L337" s="139">
        <f t="shared" si="16"/>
        <v>5.2</v>
      </c>
      <c r="M337" s="140">
        <f t="shared" si="15"/>
        <v>1</v>
      </c>
      <c r="N337" s="141">
        <f t="shared" si="17"/>
        <v>5.2</v>
      </c>
      <c r="O337" s="259" t="s">
        <v>1156</v>
      </c>
      <c r="P337" s="143" t="s">
        <v>1780</v>
      </c>
    </row>
    <row r="338" spans="3:16" s="144" customFormat="1" ht="27">
      <c r="C338" s="147">
        <v>333</v>
      </c>
      <c r="D338" s="134" t="s">
        <v>2164</v>
      </c>
      <c r="E338" s="228" t="s">
        <v>2681</v>
      </c>
      <c r="F338" s="181" t="s">
        <v>3589</v>
      </c>
      <c r="G338" s="228" t="s">
        <v>2691</v>
      </c>
      <c r="H338" s="228" t="s">
        <v>2695</v>
      </c>
      <c r="I338" s="230" t="s">
        <v>2693</v>
      </c>
      <c r="J338" s="137"/>
      <c r="K338" s="191" t="s">
        <v>1236</v>
      </c>
      <c r="L338" s="139">
        <f t="shared" si="16"/>
        <v>5.2</v>
      </c>
      <c r="M338" s="140">
        <f t="shared" si="15"/>
        <v>1</v>
      </c>
      <c r="N338" s="141">
        <f t="shared" si="17"/>
        <v>5.2</v>
      </c>
      <c r="O338" s="259" t="s">
        <v>1156</v>
      </c>
      <c r="P338" s="143" t="s">
        <v>1780</v>
      </c>
    </row>
    <row r="339" spans="3:16" s="144" customFormat="1" ht="27">
      <c r="C339" s="147">
        <v>334</v>
      </c>
      <c r="D339" s="134" t="s">
        <v>2164</v>
      </c>
      <c r="E339" s="228" t="s">
        <v>2681</v>
      </c>
      <c r="F339" s="181" t="s">
        <v>3590</v>
      </c>
      <c r="G339" s="228" t="s">
        <v>2691</v>
      </c>
      <c r="H339" s="228" t="s">
        <v>2696</v>
      </c>
      <c r="I339" s="230" t="s">
        <v>2693</v>
      </c>
      <c r="J339" s="137"/>
      <c r="K339" s="191" t="s">
        <v>1236</v>
      </c>
      <c r="L339" s="139">
        <f t="shared" si="16"/>
        <v>5.2</v>
      </c>
      <c r="M339" s="140">
        <f t="shared" si="15"/>
        <v>1</v>
      </c>
      <c r="N339" s="141">
        <f t="shared" si="17"/>
        <v>5.2</v>
      </c>
      <c r="O339" s="259" t="s">
        <v>1156</v>
      </c>
      <c r="P339" s="143" t="s">
        <v>1780</v>
      </c>
    </row>
    <row r="340" spans="3:16" s="144" customFormat="1" ht="27">
      <c r="C340" s="147">
        <v>335</v>
      </c>
      <c r="D340" s="134" t="s">
        <v>2164</v>
      </c>
      <c r="E340" s="228" t="s">
        <v>2681</v>
      </c>
      <c r="F340" s="181" t="s">
        <v>3591</v>
      </c>
      <c r="G340" s="228" t="s">
        <v>2691</v>
      </c>
      <c r="H340" s="228" t="s">
        <v>2697</v>
      </c>
      <c r="I340" s="230" t="s">
        <v>2693</v>
      </c>
      <c r="J340" s="137"/>
      <c r="K340" s="191" t="s">
        <v>1236</v>
      </c>
      <c r="L340" s="139">
        <f t="shared" si="16"/>
        <v>5.2</v>
      </c>
      <c r="M340" s="140">
        <f t="shared" si="15"/>
        <v>1</v>
      </c>
      <c r="N340" s="141">
        <f t="shared" si="17"/>
        <v>5.2</v>
      </c>
      <c r="O340" s="259" t="s">
        <v>1156</v>
      </c>
      <c r="P340" s="143" t="s">
        <v>1780</v>
      </c>
    </row>
    <row r="341" spans="3:16" s="144" customFormat="1" ht="27">
      <c r="C341" s="147">
        <v>336</v>
      </c>
      <c r="D341" s="134" t="s">
        <v>2164</v>
      </c>
      <c r="E341" s="228" t="s">
        <v>2681</v>
      </c>
      <c r="F341" s="181" t="s">
        <v>3592</v>
      </c>
      <c r="G341" s="228" t="s">
        <v>2691</v>
      </c>
      <c r="H341" s="228" t="s">
        <v>2698</v>
      </c>
      <c r="I341" s="230" t="s">
        <v>2693</v>
      </c>
      <c r="J341" s="137"/>
      <c r="K341" s="191" t="s">
        <v>1236</v>
      </c>
      <c r="L341" s="139">
        <f t="shared" si="16"/>
        <v>5.2</v>
      </c>
      <c r="M341" s="140">
        <f t="shared" si="15"/>
        <v>1</v>
      </c>
      <c r="N341" s="141">
        <f t="shared" si="17"/>
        <v>5.2</v>
      </c>
      <c r="O341" s="259" t="s">
        <v>1156</v>
      </c>
      <c r="P341" s="143" t="s">
        <v>1780</v>
      </c>
    </row>
    <row r="342" spans="3:16" s="144" customFormat="1" ht="27">
      <c r="C342" s="147">
        <v>337</v>
      </c>
      <c r="D342" s="134" t="s">
        <v>2164</v>
      </c>
      <c r="E342" s="228" t="s">
        <v>2681</v>
      </c>
      <c r="F342" s="181" t="s">
        <v>3593</v>
      </c>
      <c r="G342" s="228" t="s">
        <v>2691</v>
      </c>
      <c r="H342" s="228" t="s">
        <v>2699</v>
      </c>
      <c r="I342" s="230" t="s">
        <v>2693</v>
      </c>
      <c r="J342" s="137"/>
      <c r="K342" s="191" t="s">
        <v>1236</v>
      </c>
      <c r="L342" s="139">
        <f t="shared" si="16"/>
        <v>5.2</v>
      </c>
      <c r="M342" s="140">
        <f t="shared" si="15"/>
        <v>1</v>
      </c>
      <c r="N342" s="141">
        <f t="shared" si="17"/>
        <v>5.2</v>
      </c>
      <c r="O342" s="259" t="s">
        <v>1156</v>
      </c>
      <c r="P342" s="143" t="s">
        <v>1780</v>
      </c>
    </row>
    <row r="343" spans="3:16" s="144" customFormat="1" ht="27">
      <c r="C343" s="147">
        <v>338</v>
      </c>
      <c r="D343" s="134" t="s">
        <v>2164</v>
      </c>
      <c r="E343" s="228" t="s">
        <v>2681</v>
      </c>
      <c r="F343" s="181" t="s">
        <v>3594</v>
      </c>
      <c r="G343" s="228" t="s">
        <v>2691</v>
      </c>
      <c r="H343" s="228" t="s">
        <v>2700</v>
      </c>
      <c r="I343" s="230" t="s">
        <v>2693</v>
      </c>
      <c r="J343" s="137"/>
      <c r="K343" s="191" t="s">
        <v>1236</v>
      </c>
      <c r="L343" s="139">
        <f t="shared" si="16"/>
        <v>5.2</v>
      </c>
      <c r="M343" s="140">
        <f t="shared" si="15"/>
        <v>1</v>
      </c>
      <c r="N343" s="141">
        <f t="shared" si="17"/>
        <v>5.2</v>
      </c>
      <c r="O343" s="259" t="s">
        <v>1156</v>
      </c>
      <c r="P343" s="143" t="s">
        <v>1780</v>
      </c>
    </row>
    <row r="344" spans="3:16" s="144" customFormat="1">
      <c r="C344" s="147">
        <v>339</v>
      </c>
      <c r="D344" s="134" t="s">
        <v>2164</v>
      </c>
      <c r="E344" s="228" t="s">
        <v>2681</v>
      </c>
      <c r="F344" s="181" t="s">
        <v>3595</v>
      </c>
      <c r="G344" s="228" t="s">
        <v>2701</v>
      </c>
      <c r="H344" s="228" t="s">
        <v>2702</v>
      </c>
      <c r="I344" s="230" t="s">
        <v>2703</v>
      </c>
      <c r="J344" s="137"/>
      <c r="K344" s="191" t="s">
        <v>1236</v>
      </c>
      <c r="L344" s="139">
        <f t="shared" si="16"/>
        <v>5.2</v>
      </c>
      <c r="M344" s="140">
        <f t="shared" si="15"/>
        <v>1</v>
      </c>
      <c r="N344" s="141">
        <f t="shared" si="17"/>
        <v>5.2</v>
      </c>
      <c r="O344" s="259" t="s">
        <v>1156</v>
      </c>
      <c r="P344" s="143" t="s">
        <v>1780</v>
      </c>
    </row>
    <row r="345" spans="3:16" s="144" customFormat="1">
      <c r="C345" s="147">
        <v>340</v>
      </c>
      <c r="D345" s="134" t="s">
        <v>2164</v>
      </c>
      <c r="E345" s="228" t="s">
        <v>2681</v>
      </c>
      <c r="F345" s="181" t="s">
        <v>3596</v>
      </c>
      <c r="G345" s="228" t="s">
        <v>2701</v>
      </c>
      <c r="H345" s="228" t="s">
        <v>2704</v>
      </c>
      <c r="I345" s="230" t="s">
        <v>2703</v>
      </c>
      <c r="J345" s="137"/>
      <c r="K345" s="191" t="s">
        <v>1236</v>
      </c>
      <c r="L345" s="139">
        <f t="shared" si="16"/>
        <v>5.2</v>
      </c>
      <c r="M345" s="140">
        <f t="shared" si="15"/>
        <v>1</v>
      </c>
      <c r="N345" s="141">
        <f t="shared" si="17"/>
        <v>5.2</v>
      </c>
      <c r="O345" s="259" t="s">
        <v>1156</v>
      </c>
      <c r="P345" s="143" t="s">
        <v>1780</v>
      </c>
    </row>
    <row r="346" spans="3:16" s="144" customFormat="1">
      <c r="C346" s="147">
        <v>341</v>
      </c>
      <c r="D346" s="134" t="s">
        <v>2164</v>
      </c>
      <c r="E346" s="228" t="s">
        <v>2681</v>
      </c>
      <c r="F346" s="181" t="s">
        <v>3597</v>
      </c>
      <c r="G346" s="228" t="s">
        <v>2701</v>
      </c>
      <c r="H346" s="228" t="s">
        <v>2705</v>
      </c>
      <c r="I346" s="230" t="s">
        <v>2703</v>
      </c>
      <c r="J346" s="137"/>
      <c r="K346" s="191" t="s">
        <v>1236</v>
      </c>
      <c r="L346" s="139">
        <f t="shared" si="16"/>
        <v>5.2</v>
      </c>
      <c r="M346" s="140">
        <f t="shared" si="15"/>
        <v>1</v>
      </c>
      <c r="N346" s="141">
        <f t="shared" si="17"/>
        <v>5.2</v>
      </c>
      <c r="O346" s="259" t="s">
        <v>1156</v>
      </c>
      <c r="P346" s="143" t="s">
        <v>1780</v>
      </c>
    </row>
    <row r="347" spans="3:16" s="144" customFormat="1">
      <c r="C347" s="147">
        <v>342</v>
      </c>
      <c r="D347" s="134" t="s">
        <v>2164</v>
      </c>
      <c r="E347" s="228" t="s">
        <v>2681</v>
      </c>
      <c r="F347" s="181" t="s">
        <v>3598</v>
      </c>
      <c r="G347" s="228" t="s">
        <v>2701</v>
      </c>
      <c r="H347" s="228" t="s">
        <v>2706</v>
      </c>
      <c r="I347" s="230" t="s">
        <v>2703</v>
      </c>
      <c r="J347" s="137"/>
      <c r="K347" s="191" t="s">
        <v>1236</v>
      </c>
      <c r="L347" s="139">
        <f t="shared" si="16"/>
        <v>5.2</v>
      </c>
      <c r="M347" s="140">
        <f t="shared" si="15"/>
        <v>1</v>
      </c>
      <c r="N347" s="141">
        <f t="shared" si="17"/>
        <v>5.2</v>
      </c>
      <c r="O347" s="259" t="s">
        <v>1156</v>
      </c>
      <c r="P347" s="143" t="s">
        <v>1780</v>
      </c>
    </row>
    <row r="348" spans="3:16" s="144" customFormat="1">
      <c r="C348" s="147">
        <v>343</v>
      </c>
      <c r="D348" s="134" t="s">
        <v>2164</v>
      </c>
      <c r="E348" s="228" t="s">
        <v>2681</v>
      </c>
      <c r="F348" s="181" t="s">
        <v>3599</v>
      </c>
      <c r="G348" s="228" t="s">
        <v>2701</v>
      </c>
      <c r="H348" s="228" t="s">
        <v>2707</v>
      </c>
      <c r="I348" s="230" t="s">
        <v>2703</v>
      </c>
      <c r="J348" s="137"/>
      <c r="K348" s="191" t="s">
        <v>1236</v>
      </c>
      <c r="L348" s="139">
        <f t="shared" si="16"/>
        <v>5.2</v>
      </c>
      <c r="M348" s="140">
        <f t="shared" si="15"/>
        <v>1</v>
      </c>
      <c r="N348" s="141">
        <f t="shared" si="17"/>
        <v>5.2</v>
      </c>
      <c r="O348" s="259" t="s">
        <v>1156</v>
      </c>
      <c r="P348" s="143" t="s">
        <v>1780</v>
      </c>
    </row>
    <row r="349" spans="3:16" s="144" customFormat="1">
      <c r="C349" s="147">
        <v>344</v>
      </c>
      <c r="D349" s="134" t="s">
        <v>2164</v>
      </c>
      <c r="E349" s="228" t="s">
        <v>2681</v>
      </c>
      <c r="F349" s="181" t="s">
        <v>3600</v>
      </c>
      <c r="G349" s="228" t="s">
        <v>2701</v>
      </c>
      <c r="H349" s="228" t="s">
        <v>2708</v>
      </c>
      <c r="I349" s="230" t="s">
        <v>2703</v>
      </c>
      <c r="J349" s="137"/>
      <c r="K349" s="191" t="s">
        <v>1236</v>
      </c>
      <c r="L349" s="139">
        <f t="shared" si="16"/>
        <v>5.2</v>
      </c>
      <c r="M349" s="140">
        <f t="shared" si="15"/>
        <v>1</v>
      </c>
      <c r="N349" s="141">
        <f t="shared" si="17"/>
        <v>5.2</v>
      </c>
      <c r="O349" s="259" t="s">
        <v>1156</v>
      </c>
      <c r="P349" s="143" t="s">
        <v>1780</v>
      </c>
    </row>
    <row r="350" spans="3:16" s="144" customFormat="1">
      <c r="C350" s="147">
        <v>345</v>
      </c>
      <c r="D350" s="134" t="s">
        <v>2164</v>
      </c>
      <c r="E350" s="228" t="s">
        <v>2681</v>
      </c>
      <c r="F350" s="181" t="s">
        <v>3601</v>
      </c>
      <c r="G350" s="228" t="s">
        <v>2701</v>
      </c>
      <c r="H350" s="228" t="s">
        <v>2692</v>
      </c>
      <c r="I350" s="230" t="s">
        <v>2703</v>
      </c>
      <c r="J350" s="137"/>
      <c r="K350" s="191" t="s">
        <v>1236</v>
      </c>
      <c r="L350" s="139">
        <f t="shared" si="16"/>
        <v>5.2</v>
      </c>
      <c r="M350" s="140">
        <f t="shared" si="15"/>
        <v>1</v>
      </c>
      <c r="N350" s="141">
        <f t="shared" si="17"/>
        <v>5.2</v>
      </c>
      <c r="O350" s="259" t="s">
        <v>1156</v>
      </c>
      <c r="P350" s="143" t="s">
        <v>1780</v>
      </c>
    </row>
    <row r="351" spans="3:16" s="144" customFormat="1">
      <c r="C351" s="147">
        <v>346</v>
      </c>
      <c r="D351" s="134" t="s">
        <v>2164</v>
      </c>
      <c r="E351" s="228" t="s">
        <v>2681</v>
      </c>
      <c r="F351" s="181" t="s">
        <v>3602</v>
      </c>
      <c r="G351" s="228" t="s">
        <v>2701</v>
      </c>
      <c r="H351" s="228" t="s">
        <v>2709</v>
      </c>
      <c r="I351" s="230" t="s">
        <v>2703</v>
      </c>
      <c r="J351" s="137"/>
      <c r="K351" s="138" t="s">
        <v>1155</v>
      </c>
      <c r="L351" s="139">
        <f t="shared" si="16"/>
        <v>7.5</v>
      </c>
      <c r="M351" s="140">
        <f t="shared" si="15"/>
        <v>1</v>
      </c>
      <c r="N351" s="141">
        <f t="shared" si="17"/>
        <v>7.5</v>
      </c>
      <c r="O351" s="259" t="s">
        <v>1156</v>
      </c>
      <c r="P351" s="143" t="s">
        <v>1780</v>
      </c>
    </row>
    <row r="352" spans="3:16" s="144" customFormat="1">
      <c r="C352" s="147">
        <v>347</v>
      </c>
      <c r="D352" s="134" t="s">
        <v>2164</v>
      </c>
      <c r="E352" s="228" t="s">
        <v>2681</v>
      </c>
      <c r="F352" s="181" t="s">
        <v>3603</v>
      </c>
      <c r="G352" s="228" t="s">
        <v>2701</v>
      </c>
      <c r="H352" s="228" t="s">
        <v>2694</v>
      </c>
      <c r="I352" s="230" t="s">
        <v>2703</v>
      </c>
      <c r="J352" s="137"/>
      <c r="K352" s="191" t="s">
        <v>1236</v>
      </c>
      <c r="L352" s="139">
        <f t="shared" si="16"/>
        <v>5.2</v>
      </c>
      <c r="M352" s="140">
        <f t="shared" si="15"/>
        <v>1</v>
      </c>
      <c r="N352" s="141">
        <f t="shared" si="17"/>
        <v>5.2</v>
      </c>
      <c r="O352" s="259" t="s">
        <v>1156</v>
      </c>
      <c r="P352" s="143" t="s">
        <v>1780</v>
      </c>
    </row>
    <row r="353" spans="3:16" s="144" customFormat="1">
      <c r="C353" s="147">
        <v>348</v>
      </c>
      <c r="D353" s="134" t="s">
        <v>2164</v>
      </c>
      <c r="E353" s="228" t="s">
        <v>2681</v>
      </c>
      <c r="F353" s="181" t="s">
        <v>3604</v>
      </c>
      <c r="G353" s="228" t="s">
        <v>2701</v>
      </c>
      <c r="H353" s="228" t="s">
        <v>2710</v>
      </c>
      <c r="I353" s="230" t="s">
        <v>2703</v>
      </c>
      <c r="J353" s="137"/>
      <c r="K353" s="138" t="s">
        <v>1155</v>
      </c>
      <c r="L353" s="139">
        <f t="shared" si="16"/>
        <v>7.5</v>
      </c>
      <c r="M353" s="140">
        <f t="shared" si="15"/>
        <v>1</v>
      </c>
      <c r="N353" s="141">
        <f t="shared" si="17"/>
        <v>7.5</v>
      </c>
      <c r="O353" s="259" t="s">
        <v>1156</v>
      </c>
      <c r="P353" s="143" t="s">
        <v>1780</v>
      </c>
    </row>
    <row r="354" spans="3:16" s="144" customFormat="1">
      <c r="C354" s="147">
        <v>349</v>
      </c>
      <c r="D354" s="134" t="s">
        <v>2164</v>
      </c>
      <c r="E354" s="228" t="s">
        <v>2681</v>
      </c>
      <c r="F354" s="181" t="s">
        <v>3605</v>
      </c>
      <c r="G354" s="228" t="s">
        <v>2701</v>
      </c>
      <c r="H354" s="228" t="s">
        <v>2695</v>
      </c>
      <c r="I354" s="230" t="s">
        <v>2703</v>
      </c>
      <c r="J354" s="137"/>
      <c r="K354" s="191" t="s">
        <v>1236</v>
      </c>
      <c r="L354" s="139">
        <f t="shared" si="16"/>
        <v>5.2</v>
      </c>
      <c r="M354" s="140">
        <f t="shared" si="15"/>
        <v>1</v>
      </c>
      <c r="N354" s="141">
        <f t="shared" si="17"/>
        <v>5.2</v>
      </c>
      <c r="O354" s="259" t="s">
        <v>1156</v>
      </c>
      <c r="P354" s="143" t="s">
        <v>1780</v>
      </c>
    </row>
    <row r="355" spans="3:16" s="144" customFormat="1">
      <c r="C355" s="147">
        <v>350</v>
      </c>
      <c r="D355" s="134" t="s">
        <v>2164</v>
      </c>
      <c r="E355" s="228" t="s">
        <v>2681</v>
      </c>
      <c r="F355" s="181" t="s">
        <v>3606</v>
      </c>
      <c r="G355" s="228" t="s">
        <v>2701</v>
      </c>
      <c r="H355" s="228" t="s">
        <v>2711</v>
      </c>
      <c r="I355" s="230" t="s">
        <v>2703</v>
      </c>
      <c r="J355" s="137"/>
      <c r="K355" s="138" t="s">
        <v>1155</v>
      </c>
      <c r="L355" s="139">
        <f t="shared" si="16"/>
        <v>7.5</v>
      </c>
      <c r="M355" s="140">
        <f t="shared" si="15"/>
        <v>1</v>
      </c>
      <c r="N355" s="141">
        <f t="shared" si="17"/>
        <v>7.5</v>
      </c>
      <c r="O355" s="259" t="s">
        <v>1156</v>
      </c>
      <c r="P355" s="143" t="s">
        <v>1780</v>
      </c>
    </row>
    <row r="356" spans="3:16" s="144" customFormat="1">
      <c r="C356" s="147">
        <v>351</v>
      </c>
      <c r="D356" s="134" t="s">
        <v>2164</v>
      </c>
      <c r="E356" s="228" t="s">
        <v>2681</v>
      </c>
      <c r="F356" s="181" t="s">
        <v>3607</v>
      </c>
      <c r="G356" s="228" t="s">
        <v>2701</v>
      </c>
      <c r="H356" s="228" t="s">
        <v>2696</v>
      </c>
      <c r="I356" s="230" t="s">
        <v>2703</v>
      </c>
      <c r="J356" s="137"/>
      <c r="K356" s="191" t="s">
        <v>1236</v>
      </c>
      <c r="L356" s="139">
        <f t="shared" si="16"/>
        <v>5.2</v>
      </c>
      <c r="M356" s="140">
        <f t="shared" si="15"/>
        <v>1</v>
      </c>
      <c r="N356" s="141">
        <f t="shared" si="17"/>
        <v>5.2</v>
      </c>
      <c r="O356" s="259" t="s">
        <v>1156</v>
      </c>
      <c r="P356" s="143" t="s">
        <v>1780</v>
      </c>
    </row>
    <row r="357" spans="3:16" s="144" customFormat="1">
      <c r="C357" s="147">
        <v>352</v>
      </c>
      <c r="D357" s="134" t="s">
        <v>2164</v>
      </c>
      <c r="E357" s="228" t="s">
        <v>2681</v>
      </c>
      <c r="F357" s="181" t="s">
        <v>3608</v>
      </c>
      <c r="G357" s="228" t="s">
        <v>2701</v>
      </c>
      <c r="H357" s="228" t="s">
        <v>2712</v>
      </c>
      <c r="I357" s="230" t="s">
        <v>2703</v>
      </c>
      <c r="J357" s="137"/>
      <c r="K357" s="138" t="s">
        <v>1155</v>
      </c>
      <c r="L357" s="139">
        <f t="shared" si="16"/>
        <v>7.5</v>
      </c>
      <c r="M357" s="140">
        <f t="shared" si="15"/>
        <v>1</v>
      </c>
      <c r="N357" s="141">
        <f t="shared" si="17"/>
        <v>7.5</v>
      </c>
      <c r="O357" s="259" t="s">
        <v>1156</v>
      </c>
      <c r="P357" s="143" t="s">
        <v>1780</v>
      </c>
    </row>
    <row r="358" spans="3:16" s="144" customFormat="1">
      <c r="C358" s="147">
        <v>353</v>
      </c>
      <c r="D358" s="134" t="s">
        <v>2164</v>
      </c>
      <c r="E358" s="228" t="s">
        <v>2681</v>
      </c>
      <c r="F358" s="181" t="s">
        <v>3609</v>
      </c>
      <c r="G358" s="228" t="s">
        <v>2701</v>
      </c>
      <c r="H358" s="228" t="s">
        <v>2697</v>
      </c>
      <c r="I358" s="230" t="s">
        <v>2703</v>
      </c>
      <c r="J358" s="137"/>
      <c r="K358" s="191" t="s">
        <v>1236</v>
      </c>
      <c r="L358" s="139">
        <f t="shared" si="16"/>
        <v>5.2</v>
      </c>
      <c r="M358" s="140">
        <f t="shared" si="15"/>
        <v>1</v>
      </c>
      <c r="N358" s="141">
        <f t="shared" si="17"/>
        <v>5.2</v>
      </c>
      <c r="O358" s="259" t="s">
        <v>1156</v>
      </c>
      <c r="P358" s="143" t="s">
        <v>1780</v>
      </c>
    </row>
    <row r="359" spans="3:16" s="144" customFormat="1">
      <c r="C359" s="147">
        <v>354</v>
      </c>
      <c r="D359" s="134" t="s">
        <v>2164</v>
      </c>
      <c r="E359" s="228" t="s">
        <v>2681</v>
      </c>
      <c r="F359" s="181" t="s">
        <v>3610</v>
      </c>
      <c r="G359" s="228" t="s">
        <v>2701</v>
      </c>
      <c r="H359" s="228" t="s">
        <v>2713</v>
      </c>
      <c r="I359" s="230" t="s">
        <v>2703</v>
      </c>
      <c r="J359" s="137"/>
      <c r="K359" s="138" t="s">
        <v>1155</v>
      </c>
      <c r="L359" s="139">
        <f t="shared" si="16"/>
        <v>7.5</v>
      </c>
      <c r="M359" s="140">
        <f t="shared" si="15"/>
        <v>1</v>
      </c>
      <c r="N359" s="141">
        <f t="shared" si="17"/>
        <v>7.5</v>
      </c>
      <c r="O359" s="259" t="s">
        <v>1156</v>
      </c>
      <c r="P359" s="143" t="s">
        <v>1780</v>
      </c>
    </row>
    <row r="360" spans="3:16" s="144" customFormat="1">
      <c r="C360" s="147">
        <v>355</v>
      </c>
      <c r="D360" s="134" t="s">
        <v>2164</v>
      </c>
      <c r="E360" s="228" t="s">
        <v>2681</v>
      </c>
      <c r="F360" s="181" t="s">
        <v>3611</v>
      </c>
      <c r="G360" s="228" t="s">
        <v>2701</v>
      </c>
      <c r="H360" s="228" t="s">
        <v>2698</v>
      </c>
      <c r="I360" s="230" t="s">
        <v>2703</v>
      </c>
      <c r="J360" s="137"/>
      <c r="K360" s="191" t="s">
        <v>1236</v>
      </c>
      <c r="L360" s="139">
        <f t="shared" si="16"/>
        <v>5.2</v>
      </c>
      <c r="M360" s="140">
        <f t="shared" si="15"/>
        <v>1</v>
      </c>
      <c r="N360" s="141">
        <f t="shared" si="17"/>
        <v>5.2</v>
      </c>
      <c r="O360" s="259" t="s">
        <v>1156</v>
      </c>
      <c r="P360" s="143" t="s">
        <v>1780</v>
      </c>
    </row>
    <row r="361" spans="3:16" s="144" customFormat="1">
      <c r="C361" s="147">
        <v>356</v>
      </c>
      <c r="D361" s="134" t="s">
        <v>2164</v>
      </c>
      <c r="E361" s="228" t="s">
        <v>2681</v>
      </c>
      <c r="F361" s="181" t="s">
        <v>3612</v>
      </c>
      <c r="G361" s="228" t="s">
        <v>2701</v>
      </c>
      <c r="H361" s="228" t="s">
        <v>2714</v>
      </c>
      <c r="I361" s="230" t="s">
        <v>2703</v>
      </c>
      <c r="J361" s="137"/>
      <c r="K361" s="138" t="s">
        <v>1155</v>
      </c>
      <c r="L361" s="139">
        <f t="shared" si="16"/>
        <v>7.5</v>
      </c>
      <c r="M361" s="140">
        <f t="shared" si="15"/>
        <v>1</v>
      </c>
      <c r="N361" s="141">
        <f t="shared" si="17"/>
        <v>7.5</v>
      </c>
      <c r="O361" s="259" t="s">
        <v>1156</v>
      </c>
      <c r="P361" s="143" t="s">
        <v>1780</v>
      </c>
    </row>
    <row r="362" spans="3:16" s="144" customFormat="1">
      <c r="C362" s="147">
        <v>357</v>
      </c>
      <c r="D362" s="134" t="s">
        <v>2164</v>
      </c>
      <c r="E362" s="228" t="s">
        <v>2681</v>
      </c>
      <c r="F362" s="181" t="s">
        <v>3613</v>
      </c>
      <c r="G362" s="228" t="s">
        <v>2701</v>
      </c>
      <c r="H362" s="228" t="s">
        <v>2699</v>
      </c>
      <c r="I362" s="230" t="s">
        <v>2703</v>
      </c>
      <c r="J362" s="137"/>
      <c r="K362" s="191" t="s">
        <v>1236</v>
      </c>
      <c r="L362" s="139">
        <f t="shared" si="16"/>
        <v>5.2</v>
      </c>
      <c r="M362" s="140">
        <f t="shared" si="15"/>
        <v>1</v>
      </c>
      <c r="N362" s="141">
        <f t="shared" si="17"/>
        <v>5.2</v>
      </c>
      <c r="O362" s="259" t="s">
        <v>1156</v>
      </c>
      <c r="P362" s="143" t="s">
        <v>1780</v>
      </c>
    </row>
    <row r="363" spans="3:16" s="144" customFormat="1">
      <c r="C363" s="147">
        <v>358</v>
      </c>
      <c r="D363" s="134" t="s">
        <v>2164</v>
      </c>
      <c r="E363" s="228" t="s">
        <v>2681</v>
      </c>
      <c r="F363" s="181" t="s">
        <v>3614</v>
      </c>
      <c r="G363" s="228" t="s">
        <v>2701</v>
      </c>
      <c r="H363" s="228" t="s">
        <v>2715</v>
      </c>
      <c r="I363" s="230" t="s">
        <v>2703</v>
      </c>
      <c r="J363" s="137"/>
      <c r="K363" s="138" t="s">
        <v>1155</v>
      </c>
      <c r="L363" s="139">
        <f t="shared" si="16"/>
        <v>7.5</v>
      </c>
      <c r="M363" s="140">
        <f t="shared" si="15"/>
        <v>1</v>
      </c>
      <c r="N363" s="141">
        <f t="shared" si="17"/>
        <v>7.5</v>
      </c>
      <c r="O363" s="259" t="s">
        <v>1156</v>
      </c>
      <c r="P363" s="143" t="s">
        <v>1780</v>
      </c>
    </row>
    <row r="364" spans="3:16" s="144" customFormat="1">
      <c r="C364" s="147">
        <v>359</v>
      </c>
      <c r="D364" s="134" t="s">
        <v>2164</v>
      </c>
      <c r="E364" s="228" t="s">
        <v>2681</v>
      </c>
      <c r="F364" s="181" t="s">
        <v>3615</v>
      </c>
      <c r="G364" s="228" t="s">
        <v>2701</v>
      </c>
      <c r="H364" s="228" t="s">
        <v>2700</v>
      </c>
      <c r="I364" s="230" t="s">
        <v>2703</v>
      </c>
      <c r="J364" s="137"/>
      <c r="K364" s="191" t="s">
        <v>1236</v>
      </c>
      <c r="L364" s="139">
        <f t="shared" si="16"/>
        <v>5.2</v>
      </c>
      <c r="M364" s="140">
        <f t="shared" si="15"/>
        <v>1</v>
      </c>
      <c r="N364" s="141">
        <f t="shared" si="17"/>
        <v>5.2</v>
      </c>
      <c r="O364" s="259" t="s">
        <v>1156</v>
      </c>
      <c r="P364" s="143" t="s">
        <v>1780</v>
      </c>
    </row>
    <row r="365" spans="3:16" s="144" customFormat="1">
      <c r="C365" s="147">
        <v>360</v>
      </c>
      <c r="D365" s="134" t="s">
        <v>2164</v>
      </c>
      <c r="E365" s="228" t="s">
        <v>2681</v>
      </c>
      <c r="F365" s="181" t="s">
        <v>3616</v>
      </c>
      <c r="G365" s="228" t="s">
        <v>2701</v>
      </c>
      <c r="H365" s="228" t="s">
        <v>2716</v>
      </c>
      <c r="I365" s="230" t="s">
        <v>2703</v>
      </c>
      <c r="J365" s="137"/>
      <c r="K365" s="138" t="s">
        <v>1155</v>
      </c>
      <c r="L365" s="139">
        <f t="shared" si="16"/>
        <v>7.5</v>
      </c>
      <c r="M365" s="140">
        <f t="shared" si="15"/>
        <v>1</v>
      </c>
      <c r="N365" s="141">
        <f t="shared" si="17"/>
        <v>7.5</v>
      </c>
      <c r="O365" s="259" t="s">
        <v>1156</v>
      </c>
      <c r="P365" s="143" t="s">
        <v>1780</v>
      </c>
    </row>
    <row r="366" spans="3:16" s="144" customFormat="1">
      <c r="C366" s="147">
        <v>361</v>
      </c>
      <c r="D366" s="134" t="s">
        <v>2164</v>
      </c>
      <c r="E366" s="228" t="s">
        <v>2681</v>
      </c>
      <c r="F366" s="181" t="s">
        <v>3617</v>
      </c>
      <c r="G366" s="228" t="s">
        <v>2717</v>
      </c>
      <c r="H366" s="228" t="s">
        <v>2718</v>
      </c>
      <c r="I366" s="230" t="s">
        <v>2719</v>
      </c>
      <c r="J366" s="137"/>
      <c r="K366" s="138" t="s">
        <v>1160</v>
      </c>
      <c r="L366" s="139">
        <f t="shared" si="16"/>
        <v>3.9</v>
      </c>
      <c r="M366" s="140">
        <f t="shared" si="15"/>
        <v>1</v>
      </c>
      <c r="N366" s="141">
        <f t="shared" si="17"/>
        <v>3.9</v>
      </c>
      <c r="O366" s="259" t="s">
        <v>1156</v>
      </c>
      <c r="P366" s="143" t="s">
        <v>1780</v>
      </c>
    </row>
    <row r="367" spans="3:16" s="144" customFormat="1">
      <c r="C367" s="147">
        <v>362</v>
      </c>
      <c r="D367" s="134" t="s">
        <v>2164</v>
      </c>
      <c r="E367" s="228" t="s">
        <v>2681</v>
      </c>
      <c r="F367" s="181" t="s">
        <v>3618</v>
      </c>
      <c r="G367" s="228" t="s">
        <v>2717</v>
      </c>
      <c r="H367" s="228" t="s">
        <v>2720</v>
      </c>
      <c r="I367" s="230" t="s">
        <v>2719</v>
      </c>
      <c r="J367" s="137"/>
      <c r="K367" s="138" t="s">
        <v>1160</v>
      </c>
      <c r="L367" s="139">
        <f t="shared" si="16"/>
        <v>3.9</v>
      </c>
      <c r="M367" s="140">
        <f t="shared" si="15"/>
        <v>1</v>
      </c>
      <c r="N367" s="141">
        <f t="shared" si="17"/>
        <v>3.9</v>
      </c>
      <c r="O367" s="259" t="s">
        <v>1156</v>
      </c>
      <c r="P367" s="143" t="s">
        <v>1780</v>
      </c>
    </row>
    <row r="368" spans="3:16" s="144" customFormat="1">
      <c r="C368" s="147">
        <v>363</v>
      </c>
      <c r="D368" s="134" t="s">
        <v>2164</v>
      </c>
      <c r="E368" s="228" t="s">
        <v>2681</v>
      </c>
      <c r="F368" s="181" t="s">
        <v>3619</v>
      </c>
      <c r="G368" s="228" t="s">
        <v>2717</v>
      </c>
      <c r="H368" s="228" t="s">
        <v>2721</v>
      </c>
      <c r="I368" s="230" t="s">
        <v>2719</v>
      </c>
      <c r="J368" s="137"/>
      <c r="K368" s="138" t="s">
        <v>1160</v>
      </c>
      <c r="L368" s="139">
        <f t="shared" si="16"/>
        <v>3.9</v>
      </c>
      <c r="M368" s="140">
        <f t="shared" si="15"/>
        <v>1</v>
      </c>
      <c r="N368" s="141">
        <f t="shared" si="17"/>
        <v>3.9</v>
      </c>
      <c r="O368" s="259" t="s">
        <v>1156</v>
      </c>
      <c r="P368" s="143" t="s">
        <v>1780</v>
      </c>
    </row>
    <row r="369" spans="3:16" s="144" customFormat="1">
      <c r="C369" s="267">
        <v>364</v>
      </c>
      <c r="D369" s="268" t="s">
        <v>2164</v>
      </c>
      <c r="E369" s="283" t="s">
        <v>2681</v>
      </c>
      <c r="F369" s="269" t="s">
        <v>3620</v>
      </c>
      <c r="G369" s="283" t="s">
        <v>2722</v>
      </c>
      <c r="H369" s="283" t="s">
        <v>2723</v>
      </c>
      <c r="I369" s="284" t="s">
        <v>2724</v>
      </c>
      <c r="J369" s="137"/>
      <c r="K369" s="138" t="s">
        <v>1160</v>
      </c>
      <c r="L369" s="139">
        <f t="shared" si="16"/>
        <v>3.9</v>
      </c>
      <c r="M369" s="140">
        <f t="shared" si="15"/>
        <v>1</v>
      </c>
      <c r="N369" s="141">
        <f t="shared" si="17"/>
        <v>3.9</v>
      </c>
      <c r="O369" s="259" t="s">
        <v>1156</v>
      </c>
      <c r="P369" s="143" t="s">
        <v>1780</v>
      </c>
    </row>
    <row r="370" spans="3:16" s="144" customFormat="1">
      <c r="C370" s="267">
        <v>365</v>
      </c>
      <c r="D370" s="268" t="s">
        <v>2164</v>
      </c>
      <c r="E370" s="283" t="s">
        <v>2681</v>
      </c>
      <c r="F370" s="269" t="s">
        <v>3621</v>
      </c>
      <c r="G370" s="283" t="s">
        <v>2725</v>
      </c>
      <c r="H370" s="283" t="s">
        <v>2726</v>
      </c>
      <c r="I370" s="284" t="s">
        <v>2727</v>
      </c>
      <c r="J370" s="137"/>
      <c r="K370" s="138" t="s">
        <v>1160</v>
      </c>
      <c r="L370" s="139">
        <f t="shared" si="16"/>
        <v>3.9</v>
      </c>
      <c r="M370" s="140">
        <f t="shared" si="15"/>
        <v>1</v>
      </c>
      <c r="N370" s="141">
        <f t="shared" si="17"/>
        <v>3.9</v>
      </c>
      <c r="O370" s="259" t="s">
        <v>1156</v>
      </c>
      <c r="P370" s="143" t="s">
        <v>1780</v>
      </c>
    </row>
    <row r="371" spans="3:16" s="144" customFormat="1">
      <c r="C371" s="267">
        <v>366</v>
      </c>
      <c r="D371" s="268" t="s">
        <v>2164</v>
      </c>
      <c r="E371" s="283" t="s">
        <v>2681</v>
      </c>
      <c r="F371" s="269" t="s">
        <v>3622</v>
      </c>
      <c r="G371" s="283" t="s">
        <v>2722</v>
      </c>
      <c r="H371" s="283" t="s">
        <v>2728</v>
      </c>
      <c r="I371" s="284" t="s">
        <v>2729</v>
      </c>
      <c r="J371" s="137"/>
      <c r="K371" s="138" t="s">
        <v>1160</v>
      </c>
      <c r="L371" s="139">
        <f t="shared" si="16"/>
        <v>3.9</v>
      </c>
      <c r="M371" s="140">
        <f t="shared" si="15"/>
        <v>1</v>
      </c>
      <c r="N371" s="141">
        <f t="shared" si="17"/>
        <v>3.9</v>
      </c>
      <c r="O371" s="259" t="s">
        <v>1156</v>
      </c>
      <c r="P371" s="143" t="s">
        <v>1780</v>
      </c>
    </row>
    <row r="372" spans="3:16" s="144" customFormat="1">
      <c r="C372" s="267">
        <v>367</v>
      </c>
      <c r="D372" s="268" t="s">
        <v>2164</v>
      </c>
      <c r="E372" s="283" t="s">
        <v>2681</v>
      </c>
      <c r="F372" s="269" t="s">
        <v>3623</v>
      </c>
      <c r="G372" s="283" t="s">
        <v>2722</v>
      </c>
      <c r="H372" s="283" t="s">
        <v>2730</v>
      </c>
      <c r="I372" s="284" t="s">
        <v>2731</v>
      </c>
      <c r="J372" s="137"/>
      <c r="K372" s="138" t="s">
        <v>1160</v>
      </c>
      <c r="L372" s="139">
        <f t="shared" si="16"/>
        <v>3.9</v>
      </c>
      <c r="M372" s="140">
        <f t="shared" si="15"/>
        <v>1</v>
      </c>
      <c r="N372" s="141">
        <f t="shared" si="17"/>
        <v>3.9</v>
      </c>
      <c r="O372" s="259" t="s">
        <v>1156</v>
      </c>
      <c r="P372" s="143" t="s">
        <v>1780</v>
      </c>
    </row>
    <row r="373" spans="3:16" s="144" customFormat="1">
      <c r="C373" s="267">
        <v>368</v>
      </c>
      <c r="D373" s="268" t="s">
        <v>2164</v>
      </c>
      <c r="E373" s="283" t="s">
        <v>2681</v>
      </c>
      <c r="F373" s="269" t="s">
        <v>3624</v>
      </c>
      <c r="G373" s="283" t="s">
        <v>2722</v>
      </c>
      <c r="H373" s="283" t="s">
        <v>2732</v>
      </c>
      <c r="I373" s="284" t="s">
        <v>2733</v>
      </c>
      <c r="J373" s="137"/>
      <c r="K373" s="138" t="s">
        <v>1160</v>
      </c>
      <c r="L373" s="139">
        <f t="shared" si="16"/>
        <v>3.9</v>
      </c>
      <c r="M373" s="140">
        <f t="shared" si="15"/>
        <v>1</v>
      </c>
      <c r="N373" s="141">
        <f t="shared" si="17"/>
        <v>3.9</v>
      </c>
      <c r="O373" s="259" t="s">
        <v>1156</v>
      </c>
      <c r="P373" s="143" t="s">
        <v>1780</v>
      </c>
    </row>
    <row r="374" spans="3:16" s="144" customFormat="1">
      <c r="C374" s="267">
        <v>369</v>
      </c>
      <c r="D374" s="268" t="s">
        <v>2164</v>
      </c>
      <c r="E374" s="283" t="s">
        <v>2681</v>
      </c>
      <c r="F374" s="269" t="s">
        <v>3625</v>
      </c>
      <c r="G374" s="283" t="s">
        <v>2734</v>
      </c>
      <c r="H374" s="283" t="s">
        <v>2735</v>
      </c>
      <c r="I374" s="284" t="s">
        <v>2736</v>
      </c>
      <c r="J374" s="137"/>
      <c r="K374" s="138" t="s">
        <v>1607</v>
      </c>
      <c r="L374" s="139">
        <f t="shared" si="16"/>
        <v>5.4</v>
      </c>
      <c r="M374" s="140">
        <f t="shared" si="15"/>
        <v>1</v>
      </c>
      <c r="N374" s="141">
        <f t="shared" si="17"/>
        <v>5.4</v>
      </c>
      <c r="O374" s="259" t="s">
        <v>1156</v>
      </c>
      <c r="P374" s="143" t="s">
        <v>1780</v>
      </c>
    </row>
    <row r="375" spans="3:16" s="144" customFormat="1">
      <c r="C375" s="147">
        <v>370</v>
      </c>
      <c r="D375" s="142" t="s">
        <v>2164</v>
      </c>
      <c r="E375" s="221" t="s">
        <v>2681</v>
      </c>
      <c r="F375" s="186" t="s">
        <v>3626</v>
      </c>
      <c r="G375" s="221" t="s">
        <v>2734</v>
      </c>
      <c r="H375" s="221" t="s">
        <v>2737</v>
      </c>
      <c r="I375" s="222" t="s">
        <v>2736</v>
      </c>
      <c r="J375" s="137"/>
      <c r="K375" s="138" t="s">
        <v>1607</v>
      </c>
      <c r="L375" s="139">
        <f t="shared" si="16"/>
        <v>5.4</v>
      </c>
      <c r="M375" s="140">
        <f t="shared" si="15"/>
        <v>1</v>
      </c>
      <c r="N375" s="141">
        <f t="shared" si="17"/>
        <v>5.4</v>
      </c>
      <c r="O375" s="259" t="s">
        <v>1156</v>
      </c>
      <c r="P375" s="143" t="s">
        <v>1780</v>
      </c>
    </row>
    <row r="376" spans="3:16" s="144" customFormat="1">
      <c r="C376" s="267">
        <v>371</v>
      </c>
      <c r="D376" s="268" t="s">
        <v>2164</v>
      </c>
      <c r="E376" s="283" t="s">
        <v>2681</v>
      </c>
      <c r="F376" s="269" t="s">
        <v>3627</v>
      </c>
      <c r="G376" s="283" t="s">
        <v>2738</v>
      </c>
      <c r="H376" s="283" t="s">
        <v>2739</v>
      </c>
      <c r="I376" s="284" t="s">
        <v>2740</v>
      </c>
      <c r="J376" s="137"/>
      <c r="K376" s="152" t="s">
        <v>1163</v>
      </c>
      <c r="L376" s="139">
        <f t="shared" si="16"/>
        <v>4</v>
      </c>
      <c r="M376" s="140">
        <f t="shared" si="15"/>
        <v>1</v>
      </c>
      <c r="N376" s="141">
        <f t="shared" si="17"/>
        <v>4</v>
      </c>
      <c r="O376" s="259" t="s">
        <v>1156</v>
      </c>
      <c r="P376" s="143" t="s">
        <v>1780</v>
      </c>
    </row>
    <row r="377" spans="3:16" s="144" customFormat="1">
      <c r="C377" s="267">
        <v>372</v>
      </c>
      <c r="D377" s="268" t="s">
        <v>2164</v>
      </c>
      <c r="E377" s="283" t="s">
        <v>2681</v>
      </c>
      <c r="F377" s="269" t="s">
        <v>3628</v>
      </c>
      <c r="G377" s="283" t="s">
        <v>2738</v>
      </c>
      <c r="H377" s="283" t="s">
        <v>2741</v>
      </c>
      <c r="I377" s="284" t="s">
        <v>2742</v>
      </c>
      <c r="J377" s="137"/>
      <c r="K377" s="138" t="s">
        <v>1155</v>
      </c>
      <c r="L377" s="139">
        <f t="shared" si="16"/>
        <v>7.5</v>
      </c>
      <c r="M377" s="140">
        <f t="shared" si="15"/>
        <v>1</v>
      </c>
      <c r="N377" s="141">
        <f t="shared" si="17"/>
        <v>7.5</v>
      </c>
      <c r="O377" s="259" t="s">
        <v>1156</v>
      </c>
      <c r="P377" s="143" t="s">
        <v>1780</v>
      </c>
    </row>
    <row r="378" spans="3:16" s="144" customFormat="1">
      <c r="C378" s="147">
        <v>373</v>
      </c>
      <c r="D378" s="134" t="s">
        <v>2164</v>
      </c>
      <c r="E378" s="228" t="s">
        <v>2681</v>
      </c>
      <c r="F378" s="181" t="s">
        <v>3629</v>
      </c>
      <c r="G378" s="228" t="s">
        <v>2743</v>
      </c>
      <c r="H378" s="228" t="s">
        <v>2744</v>
      </c>
      <c r="I378" s="230" t="s">
        <v>2745</v>
      </c>
      <c r="J378" s="137"/>
      <c r="K378" s="138" t="s">
        <v>1160</v>
      </c>
      <c r="L378" s="139">
        <f t="shared" si="16"/>
        <v>3.9</v>
      </c>
      <c r="M378" s="140">
        <f t="shared" si="15"/>
        <v>1</v>
      </c>
      <c r="N378" s="141">
        <f t="shared" si="17"/>
        <v>3.9</v>
      </c>
      <c r="O378" s="259" t="s">
        <v>1156</v>
      </c>
      <c r="P378" s="143" t="s">
        <v>1780</v>
      </c>
    </row>
    <row r="379" spans="3:16" s="144" customFormat="1" ht="19.5" customHeight="1">
      <c r="C379" s="147">
        <v>374</v>
      </c>
      <c r="D379" s="134" t="s">
        <v>2164</v>
      </c>
      <c r="E379" s="228" t="s">
        <v>2746</v>
      </c>
      <c r="F379" s="181" t="s">
        <v>3630</v>
      </c>
      <c r="G379" s="228" t="s">
        <v>2747</v>
      </c>
      <c r="H379" s="228" t="s">
        <v>2748</v>
      </c>
      <c r="I379" s="230" t="s">
        <v>2748</v>
      </c>
      <c r="J379" s="137"/>
      <c r="K379" s="138" t="s">
        <v>1155</v>
      </c>
      <c r="L379" s="139">
        <f t="shared" si="16"/>
        <v>7.5</v>
      </c>
      <c r="M379" s="140">
        <f t="shared" si="15"/>
        <v>1</v>
      </c>
      <c r="N379" s="141">
        <f t="shared" si="17"/>
        <v>7.5</v>
      </c>
      <c r="O379" s="259" t="s">
        <v>1156</v>
      </c>
      <c r="P379" s="143" t="s">
        <v>1780</v>
      </c>
    </row>
    <row r="380" spans="3:16" s="144" customFormat="1" ht="19.5" customHeight="1">
      <c r="C380" s="267">
        <v>375</v>
      </c>
      <c r="D380" s="268" t="s">
        <v>2164</v>
      </c>
      <c r="E380" s="283" t="s">
        <v>2746</v>
      </c>
      <c r="F380" s="269" t="s">
        <v>3631</v>
      </c>
      <c r="G380" s="283" t="s">
        <v>2749</v>
      </c>
      <c r="H380" s="283" t="s">
        <v>2750</v>
      </c>
      <c r="I380" s="284" t="s">
        <v>2750</v>
      </c>
      <c r="J380" s="137"/>
      <c r="K380" s="138" t="s">
        <v>1170</v>
      </c>
      <c r="L380" s="139">
        <f t="shared" si="16"/>
        <v>5.2</v>
      </c>
      <c r="M380" s="140">
        <f t="shared" si="15"/>
        <v>1</v>
      </c>
      <c r="N380" s="141">
        <f t="shared" si="17"/>
        <v>5.2</v>
      </c>
      <c r="O380" s="259" t="s">
        <v>1156</v>
      </c>
      <c r="P380" s="143" t="s">
        <v>1780</v>
      </c>
    </row>
    <row r="381" spans="3:16" s="144" customFormat="1" ht="19.5" customHeight="1">
      <c r="C381" s="267">
        <v>376</v>
      </c>
      <c r="D381" s="268" t="s">
        <v>2164</v>
      </c>
      <c r="E381" s="283" t="s">
        <v>2746</v>
      </c>
      <c r="F381" s="269" t="s">
        <v>3632</v>
      </c>
      <c r="G381" s="283" t="s">
        <v>2751</v>
      </c>
      <c r="H381" s="283" t="s">
        <v>2752</v>
      </c>
      <c r="I381" s="284" t="s">
        <v>2752</v>
      </c>
      <c r="J381" s="137"/>
      <c r="K381" s="138" t="s">
        <v>1170</v>
      </c>
      <c r="L381" s="139">
        <f t="shared" si="16"/>
        <v>5.2</v>
      </c>
      <c r="M381" s="140">
        <f t="shared" si="15"/>
        <v>1</v>
      </c>
      <c r="N381" s="141">
        <f t="shared" si="17"/>
        <v>5.2</v>
      </c>
      <c r="O381" s="259" t="s">
        <v>1156</v>
      </c>
      <c r="P381" s="143" t="s">
        <v>1780</v>
      </c>
    </row>
    <row r="382" spans="3:16" s="144" customFormat="1" ht="19.5" customHeight="1">
      <c r="C382" s="133">
        <v>377</v>
      </c>
      <c r="D382" s="134" t="s">
        <v>2164</v>
      </c>
      <c r="E382" s="228" t="s">
        <v>2746</v>
      </c>
      <c r="F382" s="181" t="s">
        <v>3633</v>
      </c>
      <c r="G382" s="228" t="s">
        <v>2753</v>
      </c>
      <c r="H382" s="228" t="s">
        <v>2753</v>
      </c>
      <c r="I382" s="230" t="s">
        <v>2753</v>
      </c>
      <c r="J382" s="137"/>
      <c r="K382" s="138" t="s">
        <v>1170</v>
      </c>
      <c r="L382" s="139">
        <f t="shared" si="16"/>
        <v>5.2</v>
      </c>
      <c r="M382" s="140">
        <f t="shared" si="15"/>
        <v>1</v>
      </c>
      <c r="N382" s="141">
        <f t="shared" si="17"/>
        <v>5.2</v>
      </c>
      <c r="O382" s="259" t="s">
        <v>1156</v>
      </c>
      <c r="P382" s="143" t="s">
        <v>1780</v>
      </c>
    </row>
    <row r="383" spans="3:16" s="144" customFormat="1" ht="19.5" customHeight="1">
      <c r="C383" s="133">
        <v>378</v>
      </c>
      <c r="D383" s="134" t="s">
        <v>2164</v>
      </c>
      <c r="E383" s="228" t="s">
        <v>2746</v>
      </c>
      <c r="F383" s="181" t="s">
        <v>3634</v>
      </c>
      <c r="G383" s="228" t="s">
        <v>2754</v>
      </c>
      <c r="H383" s="228" t="s">
        <v>2754</v>
      </c>
      <c r="I383" s="230" t="s">
        <v>2754</v>
      </c>
      <c r="J383" s="137"/>
      <c r="K383" s="138" t="s">
        <v>1607</v>
      </c>
      <c r="L383" s="139">
        <f t="shared" si="16"/>
        <v>5.4</v>
      </c>
      <c r="M383" s="140">
        <f t="shared" si="15"/>
        <v>1</v>
      </c>
      <c r="N383" s="141">
        <f t="shared" si="17"/>
        <v>5.4</v>
      </c>
      <c r="O383" s="259" t="s">
        <v>1156</v>
      </c>
      <c r="P383" s="143" t="s">
        <v>1780</v>
      </c>
    </row>
    <row r="384" spans="3:16" s="144" customFormat="1" ht="27">
      <c r="C384" s="147">
        <v>379</v>
      </c>
      <c r="D384" s="142" t="s">
        <v>2164</v>
      </c>
      <c r="E384" s="221" t="s">
        <v>2746</v>
      </c>
      <c r="F384" s="186" t="s">
        <v>3635</v>
      </c>
      <c r="G384" s="221" t="s">
        <v>2755</v>
      </c>
      <c r="H384" s="221" t="s">
        <v>2756</v>
      </c>
      <c r="I384" s="222" t="s">
        <v>2756</v>
      </c>
      <c r="J384" s="137"/>
      <c r="K384" s="138" t="s">
        <v>1607</v>
      </c>
      <c r="L384" s="139">
        <f t="shared" si="16"/>
        <v>5.4</v>
      </c>
      <c r="M384" s="140">
        <f t="shared" si="15"/>
        <v>1</v>
      </c>
      <c r="N384" s="141">
        <f t="shared" si="17"/>
        <v>5.4</v>
      </c>
      <c r="O384" s="259" t="s">
        <v>1156</v>
      </c>
      <c r="P384" s="143" t="s">
        <v>1780</v>
      </c>
    </row>
    <row r="385" spans="3:16" s="144" customFormat="1" ht="27">
      <c r="C385" s="147">
        <v>380</v>
      </c>
      <c r="D385" s="142" t="s">
        <v>2164</v>
      </c>
      <c r="E385" s="221" t="s">
        <v>2746</v>
      </c>
      <c r="F385" s="186" t="s">
        <v>3636</v>
      </c>
      <c r="G385" s="221" t="s">
        <v>2757</v>
      </c>
      <c r="H385" s="221" t="s">
        <v>2758</v>
      </c>
      <c r="I385" s="222" t="s">
        <v>2758</v>
      </c>
      <c r="J385" s="137"/>
      <c r="K385" s="138" t="s">
        <v>1607</v>
      </c>
      <c r="L385" s="139">
        <f t="shared" si="16"/>
        <v>5.4</v>
      </c>
      <c r="M385" s="140">
        <f t="shared" si="15"/>
        <v>1</v>
      </c>
      <c r="N385" s="141">
        <f t="shared" si="17"/>
        <v>5.4</v>
      </c>
      <c r="O385" s="259" t="s">
        <v>1156</v>
      </c>
      <c r="P385" s="143" t="s">
        <v>1780</v>
      </c>
    </row>
    <row r="386" spans="3:16" s="144" customFormat="1" ht="27">
      <c r="C386" s="147">
        <v>381</v>
      </c>
      <c r="D386" s="142" t="s">
        <v>2164</v>
      </c>
      <c r="E386" s="221" t="s">
        <v>2746</v>
      </c>
      <c r="F386" s="186" t="s">
        <v>3637</v>
      </c>
      <c r="G386" s="221" t="s">
        <v>2759</v>
      </c>
      <c r="H386" s="221" t="s">
        <v>2760</v>
      </c>
      <c r="I386" s="222" t="s">
        <v>2760</v>
      </c>
      <c r="J386" s="137"/>
      <c r="K386" s="138" t="s">
        <v>1607</v>
      </c>
      <c r="L386" s="139">
        <f t="shared" si="16"/>
        <v>5.4</v>
      </c>
      <c r="M386" s="140">
        <f t="shared" si="15"/>
        <v>1</v>
      </c>
      <c r="N386" s="141">
        <f t="shared" si="17"/>
        <v>5.4</v>
      </c>
      <c r="O386" s="259" t="s">
        <v>1156</v>
      </c>
      <c r="P386" s="143" t="s">
        <v>1780</v>
      </c>
    </row>
    <row r="387" spans="3:16" s="144" customFormat="1" ht="27">
      <c r="C387" s="147">
        <v>382</v>
      </c>
      <c r="D387" s="142" t="s">
        <v>2164</v>
      </c>
      <c r="E387" s="221" t="s">
        <v>2746</v>
      </c>
      <c r="F387" s="186" t="s">
        <v>3638</v>
      </c>
      <c r="G387" s="221" t="s">
        <v>2761</v>
      </c>
      <c r="H387" s="221" t="s">
        <v>2762</v>
      </c>
      <c r="I387" s="222" t="s">
        <v>2762</v>
      </c>
      <c r="J387" s="137"/>
      <c r="K387" s="138" t="s">
        <v>1607</v>
      </c>
      <c r="L387" s="139">
        <f t="shared" si="16"/>
        <v>5.4</v>
      </c>
      <c r="M387" s="140">
        <f t="shared" si="15"/>
        <v>1</v>
      </c>
      <c r="N387" s="141">
        <f t="shared" si="17"/>
        <v>5.4</v>
      </c>
      <c r="O387" s="259" t="s">
        <v>1156</v>
      </c>
      <c r="P387" s="143" t="s">
        <v>1780</v>
      </c>
    </row>
    <row r="388" spans="3:16" s="144" customFormat="1" ht="27">
      <c r="C388" s="147">
        <v>383</v>
      </c>
      <c r="D388" s="142" t="s">
        <v>2164</v>
      </c>
      <c r="E388" s="221" t="s">
        <v>2746</v>
      </c>
      <c r="F388" s="186" t="s">
        <v>3639</v>
      </c>
      <c r="G388" s="221" t="s">
        <v>2763</v>
      </c>
      <c r="H388" s="221" t="s">
        <v>2764</v>
      </c>
      <c r="I388" s="222" t="s">
        <v>2764</v>
      </c>
      <c r="J388" s="137"/>
      <c r="K388" s="138" t="s">
        <v>1607</v>
      </c>
      <c r="L388" s="139">
        <f t="shared" si="16"/>
        <v>5.4</v>
      </c>
      <c r="M388" s="140">
        <f t="shared" si="15"/>
        <v>1</v>
      </c>
      <c r="N388" s="141">
        <f t="shared" si="17"/>
        <v>5.4</v>
      </c>
      <c r="O388" s="259" t="s">
        <v>1156</v>
      </c>
      <c r="P388" s="143" t="s">
        <v>1780</v>
      </c>
    </row>
    <row r="389" spans="3:16" s="144" customFormat="1" ht="27">
      <c r="C389" s="147">
        <v>384</v>
      </c>
      <c r="D389" s="142" t="s">
        <v>2164</v>
      </c>
      <c r="E389" s="221" t="s">
        <v>2746</v>
      </c>
      <c r="F389" s="186" t="s">
        <v>3640</v>
      </c>
      <c r="G389" s="221" t="s">
        <v>2765</v>
      </c>
      <c r="H389" s="221" t="s">
        <v>2766</v>
      </c>
      <c r="I389" s="222" t="s">
        <v>2766</v>
      </c>
      <c r="J389" s="137"/>
      <c r="K389" s="138" t="s">
        <v>1607</v>
      </c>
      <c r="L389" s="139">
        <f t="shared" si="16"/>
        <v>5.4</v>
      </c>
      <c r="M389" s="140">
        <f t="shared" si="15"/>
        <v>1</v>
      </c>
      <c r="N389" s="141">
        <f t="shared" si="17"/>
        <v>5.4</v>
      </c>
      <c r="O389" s="259" t="s">
        <v>1156</v>
      </c>
      <c r="P389" s="143" t="s">
        <v>1780</v>
      </c>
    </row>
    <row r="390" spans="3:16" s="144" customFormat="1" ht="27">
      <c r="C390" s="147">
        <v>385</v>
      </c>
      <c r="D390" s="142" t="s">
        <v>2164</v>
      </c>
      <c r="E390" s="221" t="s">
        <v>2746</v>
      </c>
      <c r="F390" s="186" t="s">
        <v>3641</v>
      </c>
      <c r="G390" s="221" t="s">
        <v>2767</v>
      </c>
      <c r="H390" s="221" t="s">
        <v>2768</v>
      </c>
      <c r="I390" s="222" t="s">
        <v>2768</v>
      </c>
      <c r="J390" s="137"/>
      <c r="K390" s="138" t="s">
        <v>1607</v>
      </c>
      <c r="L390" s="139">
        <f t="shared" si="16"/>
        <v>5.4</v>
      </c>
      <c r="M390" s="140">
        <f t="shared" ref="M390:M420" si="18">IF(O390="","",IF(O390="신규",1,IF(O390="고도화",1.04,IF(O390="재사용",0.25))))</f>
        <v>1</v>
      </c>
      <c r="N390" s="141">
        <f t="shared" si="17"/>
        <v>5.4</v>
      </c>
      <c r="O390" s="259" t="s">
        <v>1156</v>
      </c>
      <c r="P390" s="143" t="s">
        <v>1780</v>
      </c>
    </row>
    <row r="391" spans="3:16" s="144" customFormat="1" ht="27">
      <c r="C391" s="147">
        <v>386</v>
      </c>
      <c r="D391" s="142" t="s">
        <v>2164</v>
      </c>
      <c r="E391" s="221" t="s">
        <v>2746</v>
      </c>
      <c r="F391" s="186" t="s">
        <v>3642</v>
      </c>
      <c r="G391" s="221" t="s">
        <v>2769</v>
      </c>
      <c r="H391" s="221" t="s">
        <v>2770</v>
      </c>
      <c r="I391" s="222" t="s">
        <v>2770</v>
      </c>
      <c r="J391" s="137"/>
      <c r="K391" s="138" t="s">
        <v>1607</v>
      </c>
      <c r="L391" s="139">
        <f t="shared" ref="L391:L420" si="19">IF(K391="","",IF(K391="EI",4,IF(K391="EO",5.2,IF(K391="EQ",3.9,IF(K391="ILF",7.5,IF(K391="EIF",5.4))))))</f>
        <v>5.4</v>
      </c>
      <c r="M391" s="140">
        <f t="shared" si="18"/>
        <v>1</v>
      </c>
      <c r="N391" s="141">
        <f t="shared" ref="N391:N420" si="20">L391*M391</f>
        <v>5.4</v>
      </c>
      <c r="O391" s="259" t="s">
        <v>1156</v>
      </c>
      <c r="P391" s="143" t="s">
        <v>1780</v>
      </c>
    </row>
    <row r="392" spans="3:16" s="144" customFormat="1" ht="27">
      <c r="C392" s="147">
        <v>387</v>
      </c>
      <c r="D392" s="142" t="s">
        <v>2164</v>
      </c>
      <c r="E392" s="221" t="s">
        <v>2746</v>
      </c>
      <c r="F392" s="186" t="s">
        <v>3643</v>
      </c>
      <c r="G392" s="221" t="s">
        <v>2771</v>
      </c>
      <c r="H392" s="221" t="s">
        <v>2772</v>
      </c>
      <c r="I392" s="222" t="s">
        <v>2772</v>
      </c>
      <c r="J392" s="137"/>
      <c r="K392" s="138" t="s">
        <v>1607</v>
      </c>
      <c r="L392" s="139">
        <f t="shared" si="19"/>
        <v>5.4</v>
      </c>
      <c r="M392" s="140">
        <f t="shared" si="18"/>
        <v>1</v>
      </c>
      <c r="N392" s="141">
        <f t="shared" si="20"/>
        <v>5.4</v>
      </c>
      <c r="O392" s="259" t="s">
        <v>1156</v>
      </c>
      <c r="P392" s="143" t="s">
        <v>1780</v>
      </c>
    </row>
    <row r="393" spans="3:16" s="144" customFormat="1">
      <c r="C393" s="267">
        <v>388</v>
      </c>
      <c r="D393" s="268" t="s">
        <v>2164</v>
      </c>
      <c r="E393" s="283" t="s">
        <v>2746</v>
      </c>
      <c r="F393" s="269" t="s">
        <v>3644</v>
      </c>
      <c r="G393" s="283" t="s">
        <v>2773</v>
      </c>
      <c r="H393" s="283" t="s">
        <v>2773</v>
      </c>
      <c r="I393" s="284" t="s">
        <v>2773</v>
      </c>
      <c r="J393" s="137"/>
      <c r="K393" s="138" t="s">
        <v>1170</v>
      </c>
      <c r="L393" s="139">
        <f t="shared" si="19"/>
        <v>5.2</v>
      </c>
      <c r="M393" s="140">
        <f t="shared" si="18"/>
        <v>1</v>
      </c>
      <c r="N393" s="141">
        <f t="shared" si="20"/>
        <v>5.2</v>
      </c>
      <c r="O393" s="259" t="s">
        <v>1156</v>
      </c>
      <c r="P393" s="143" t="s">
        <v>1780</v>
      </c>
    </row>
    <row r="394" spans="3:16" s="144" customFormat="1">
      <c r="C394" s="267">
        <v>389</v>
      </c>
      <c r="D394" s="268" t="s">
        <v>2164</v>
      </c>
      <c r="E394" s="283" t="s">
        <v>2746</v>
      </c>
      <c r="F394" s="269" t="s">
        <v>3645</v>
      </c>
      <c r="G394" s="283" t="s">
        <v>2774</v>
      </c>
      <c r="H394" s="283" t="s">
        <v>2774</v>
      </c>
      <c r="I394" s="284" t="s">
        <v>2774</v>
      </c>
      <c r="J394" s="137"/>
      <c r="K394" s="138" t="s">
        <v>1607</v>
      </c>
      <c r="L394" s="139">
        <f t="shared" si="19"/>
        <v>5.4</v>
      </c>
      <c r="M394" s="140">
        <f t="shared" si="18"/>
        <v>1</v>
      </c>
      <c r="N394" s="141">
        <f t="shared" si="20"/>
        <v>5.4</v>
      </c>
      <c r="O394" s="259" t="s">
        <v>1156</v>
      </c>
      <c r="P394" s="143" t="s">
        <v>1780</v>
      </c>
    </row>
    <row r="395" spans="3:16" s="144" customFormat="1">
      <c r="C395" s="267">
        <v>390</v>
      </c>
      <c r="D395" s="268" t="s">
        <v>2164</v>
      </c>
      <c r="E395" s="283" t="s">
        <v>2746</v>
      </c>
      <c r="F395" s="269" t="s">
        <v>3646</v>
      </c>
      <c r="G395" s="283" t="s">
        <v>2775</v>
      </c>
      <c r="H395" s="283" t="s">
        <v>2775</v>
      </c>
      <c r="I395" s="284" t="s">
        <v>2775</v>
      </c>
      <c r="J395" s="137"/>
      <c r="K395" s="138" t="s">
        <v>1170</v>
      </c>
      <c r="L395" s="139">
        <f t="shared" si="19"/>
        <v>5.2</v>
      </c>
      <c r="M395" s="140">
        <f t="shared" si="18"/>
        <v>1</v>
      </c>
      <c r="N395" s="141">
        <f t="shared" si="20"/>
        <v>5.2</v>
      </c>
      <c r="O395" s="259" t="s">
        <v>1156</v>
      </c>
      <c r="P395" s="143" t="s">
        <v>1780</v>
      </c>
    </row>
    <row r="396" spans="3:16" s="144" customFormat="1">
      <c r="C396" s="267">
        <v>391</v>
      </c>
      <c r="D396" s="268" t="s">
        <v>2164</v>
      </c>
      <c r="E396" s="283" t="s">
        <v>2746</v>
      </c>
      <c r="F396" s="269" t="s">
        <v>3647</v>
      </c>
      <c r="G396" s="283" t="s">
        <v>2776</v>
      </c>
      <c r="H396" s="283" t="s">
        <v>2776</v>
      </c>
      <c r="I396" s="284" t="s">
        <v>2776</v>
      </c>
      <c r="J396" s="137"/>
      <c r="K396" s="138" t="s">
        <v>1607</v>
      </c>
      <c r="L396" s="139">
        <f t="shared" si="19"/>
        <v>5.4</v>
      </c>
      <c r="M396" s="140">
        <f t="shared" si="18"/>
        <v>1</v>
      </c>
      <c r="N396" s="141">
        <f t="shared" si="20"/>
        <v>5.4</v>
      </c>
      <c r="O396" s="259" t="s">
        <v>1156</v>
      </c>
      <c r="P396" s="143" t="s">
        <v>1780</v>
      </c>
    </row>
    <row r="397" spans="3:16" s="144" customFormat="1">
      <c r="C397" s="267">
        <v>392</v>
      </c>
      <c r="D397" s="268" t="s">
        <v>2164</v>
      </c>
      <c r="E397" s="283" t="s">
        <v>2746</v>
      </c>
      <c r="F397" s="269" t="s">
        <v>3648</v>
      </c>
      <c r="G397" s="283" t="s">
        <v>2777</v>
      </c>
      <c r="H397" s="283" t="s">
        <v>2777</v>
      </c>
      <c r="I397" s="284" t="s">
        <v>2777</v>
      </c>
      <c r="J397" s="137"/>
      <c r="K397" s="138" t="s">
        <v>1170</v>
      </c>
      <c r="L397" s="139">
        <f t="shared" si="19"/>
        <v>5.2</v>
      </c>
      <c r="M397" s="140">
        <f t="shared" si="18"/>
        <v>1</v>
      </c>
      <c r="N397" s="141">
        <f t="shared" si="20"/>
        <v>5.2</v>
      </c>
      <c r="O397" s="259" t="s">
        <v>1156</v>
      </c>
      <c r="P397" s="143" t="s">
        <v>1780</v>
      </c>
    </row>
    <row r="398" spans="3:16" s="144" customFormat="1">
      <c r="C398" s="267">
        <v>393</v>
      </c>
      <c r="D398" s="268" t="s">
        <v>2164</v>
      </c>
      <c r="E398" s="283" t="s">
        <v>2746</v>
      </c>
      <c r="F398" s="269" t="s">
        <v>3649</v>
      </c>
      <c r="G398" s="283" t="s">
        <v>2778</v>
      </c>
      <c r="H398" s="283" t="s">
        <v>2778</v>
      </c>
      <c r="I398" s="284" t="s">
        <v>2778</v>
      </c>
      <c r="J398" s="137"/>
      <c r="K398" s="138" t="s">
        <v>1607</v>
      </c>
      <c r="L398" s="139">
        <f t="shared" si="19"/>
        <v>5.4</v>
      </c>
      <c r="M398" s="140">
        <f t="shared" si="18"/>
        <v>1</v>
      </c>
      <c r="N398" s="141">
        <f t="shared" si="20"/>
        <v>5.4</v>
      </c>
      <c r="O398" s="259" t="s">
        <v>1156</v>
      </c>
      <c r="P398" s="143" t="s">
        <v>1780</v>
      </c>
    </row>
    <row r="399" spans="3:16" s="144" customFormat="1">
      <c r="C399" s="267">
        <v>394</v>
      </c>
      <c r="D399" s="268" t="s">
        <v>2164</v>
      </c>
      <c r="E399" s="283" t="s">
        <v>2746</v>
      </c>
      <c r="F399" s="269" t="s">
        <v>3650</v>
      </c>
      <c r="G399" s="283" t="s">
        <v>2779</v>
      </c>
      <c r="H399" s="283" t="s">
        <v>2779</v>
      </c>
      <c r="I399" s="284" t="s">
        <v>2779</v>
      </c>
      <c r="J399" s="137"/>
      <c r="K399" s="138" t="s">
        <v>1170</v>
      </c>
      <c r="L399" s="139">
        <f t="shared" si="19"/>
        <v>5.2</v>
      </c>
      <c r="M399" s="140">
        <f t="shared" si="18"/>
        <v>1</v>
      </c>
      <c r="N399" s="141">
        <f t="shared" si="20"/>
        <v>5.2</v>
      </c>
      <c r="O399" s="259" t="s">
        <v>1156</v>
      </c>
      <c r="P399" s="143" t="s">
        <v>1780</v>
      </c>
    </row>
    <row r="400" spans="3:16" s="144" customFormat="1">
      <c r="C400" s="267">
        <v>395</v>
      </c>
      <c r="D400" s="268" t="s">
        <v>2164</v>
      </c>
      <c r="E400" s="283" t="s">
        <v>2746</v>
      </c>
      <c r="F400" s="269" t="s">
        <v>3651</v>
      </c>
      <c r="G400" s="283" t="s">
        <v>2780</v>
      </c>
      <c r="H400" s="283" t="s">
        <v>2780</v>
      </c>
      <c r="I400" s="284" t="s">
        <v>2780</v>
      </c>
      <c r="J400" s="137"/>
      <c r="K400" s="138" t="s">
        <v>1607</v>
      </c>
      <c r="L400" s="139">
        <f t="shared" si="19"/>
        <v>5.4</v>
      </c>
      <c r="M400" s="140">
        <f t="shared" si="18"/>
        <v>1</v>
      </c>
      <c r="N400" s="141">
        <f t="shared" si="20"/>
        <v>5.4</v>
      </c>
      <c r="O400" s="259" t="s">
        <v>1156</v>
      </c>
      <c r="P400" s="143" t="s">
        <v>1780</v>
      </c>
    </row>
    <row r="401" spans="3:16" s="144" customFormat="1">
      <c r="C401" s="267">
        <v>396</v>
      </c>
      <c r="D401" s="268" t="s">
        <v>2164</v>
      </c>
      <c r="E401" s="283" t="s">
        <v>2746</v>
      </c>
      <c r="F401" s="269" t="s">
        <v>3652</v>
      </c>
      <c r="G401" s="283" t="s">
        <v>2781</v>
      </c>
      <c r="H401" s="283" t="s">
        <v>2781</v>
      </c>
      <c r="I401" s="284" t="s">
        <v>2781</v>
      </c>
      <c r="J401" s="137"/>
      <c r="K401" s="138" t="s">
        <v>1607</v>
      </c>
      <c r="L401" s="139">
        <f t="shared" si="19"/>
        <v>5.4</v>
      </c>
      <c r="M401" s="140">
        <f t="shared" si="18"/>
        <v>1</v>
      </c>
      <c r="N401" s="141">
        <f t="shared" si="20"/>
        <v>5.4</v>
      </c>
      <c r="O401" s="259" t="s">
        <v>1156</v>
      </c>
      <c r="P401" s="143" t="s">
        <v>1780</v>
      </c>
    </row>
    <row r="402" spans="3:16" s="144" customFormat="1">
      <c r="C402" s="267">
        <v>397</v>
      </c>
      <c r="D402" s="268" t="s">
        <v>2164</v>
      </c>
      <c r="E402" s="283" t="s">
        <v>2746</v>
      </c>
      <c r="F402" s="269" t="s">
        <v>3653</v>
      </c>
      <c r="G402" s="283" t="s">
        <v>2782</v>
      </c>
      <c r="H402" s="283" t="s">
        <v>2782</v>
      </c>
      <c r="I402" s="284" t="s">
        <v>2782</v>
      </c>
      <c r="J402" s="137"/>
      <c r="K402" s="138" t="s">
        <v>1170</v>
      </c>
      <c r="L402" s="139">
        <f t="shared" si="19"/>
        <v>5.2</v>
      </c>
      <c r="M402" s="140">
        <f t="shared" si="18"/>
        <v>1</v>
      </c>
      <c r="N402" s="141">
        <f t="shared" si="20"/>
        <v>5.2</v>
      </c>
      <c r="O402" s="259" t="s">
        <v>1156</v>
      </c>
      <c r="P402" s="143" t="s">
        <v>1780</v>
      </c>
    </row>
    <row r="403" spans="3:16" s="144" customFormat="1">
      <c r="C403" s="267">
        <v>398</v>
      </c>
      <c r="D403" s="268" t="s">
        <v>2164</v>
      </c>
      <c r="E403" s="283" t="s">
        <v>2746</v>
      </c>
      <c r="F403" s="269" t="s">
        <v>3654</v>
      </c>
      <c r="G403" s="283" t="s">
        <v>2783</v>
      </c>
      <c r="H403" s="283" t="s">
        <v>2783</v>
      </c>
      <c r="I403" s="284" t="s">
        <v>2783</v>
      </c>
      <c r="J403" s="137"/>
      <c r="K403" s="138" t="s">
        <v>1155</v>
      </c>
      <c r="L403" s="139">
        <f t="shared" si="19"/>
        <v>7.5</v>
      </c>
      <c r="M403" s="140">
        <f t="shared" si="18"/>
        <v>1</v>
      </c>
      <c r="N403" s="141">
        <f t="shared" si="20"/>
        <v>7.5</v>
      </c>
      <c r="O403" s="259" t="s">
        <v>1156</v>
      </c>
      <c r="P403" s="143" t="s">
        <v>1780</v>
      </c>
    </row>
    <row r="404" spans="3:16" s="144" customFormat="1">
      <c r="C404" s="267">
        <v>399</v>
      </c>
      <c r="D404" s="268" t="s">
        <v>2164</v>
      </c>
      <c r="E404" s="283" t="s">
        <v>2746</v>
      </c>
      <c r="F404" s="269" t="s">
        <v>3655</v>
      </c>
      <c r="G404" s="283" t="s">
        <v>2784</v>
      </c>
      <c r="H404" s="283" t="s">
        <v>2784</v>
      </c>
      <c r="I404" s="284" t="s">
        <v>2784</v>
      </c>
      <c r="J404" s="137"/>
      <c r="K404" s="138" t="s">
        <v>1170</v>
      </c>
      <c r="L404" s="139">
        <f t="shared" si="19"/>
        <v>5.2</v>
      </c>
      <c r="M404" s="140">
        <f t="shared" si="18"/>
        <v>1</v>
      </c>
      <c r="N404" s="141">
        <f t="shared" si="20"/>
        <v>5.2</v>
      </c>
      <c r="O404" s="259" t="s">
        <v>1156</v>
      </c>
      <c r="P404" s="143" t="s">
        <v>1780</v>
      </c>
    </row>
    <row r="405" spans="3:16" s="144" customFormat="1">
      <c r="C405" s="267">
        <v>400</v>
      </c>
      <c r="D405" s="268" t="s">
        <v>2164</v>
      </c>
      <c r="E405" s="283" t="s">
        <v>2746</v>
      </c>
      <c r="F405" s="269" t="s">
        <v>3656</v>
      </c>
      <c r="G405" s="283" t="s">
        <v>2785</v>
      </c>
      <c r="H405" s="283" t="s">
        <v>2785</v>
      </c>
      <c r="I405" s="284" t="s">
        <v>2785</v>
      </c>
      <c r="J405" s="137"/>
      <c r="K405" s="138" t="s">
        <v>1155</v>
      </c>
      <c r="L405" s="139">
        <f t="shared" si="19"/>
        <v>7.5</v>
      </c>
      <c r="M405" s="140">
        <f t="shared" si="18"/>
        <v>1</v>
      </c>
      <c r="N405" s="141">
        <f t="shared" si="20"/>
        <v>7.5</v>
      </c>
      <c r="O405" s="259" t="s">
        <v>1156</v>
      </c>
      <c r="P405" s="143" t="s">
        <v>1780</v>
      </c>
    </row>
    <row r="406" spans="3:16" s="144" customFormat="1">
      <c r="C406" s="267">
        <v>401</v>
      </c>
      <c r="D406" s="268" t="s">
        <v>2164</v>
      </c>
      <c r="E406" s="283" t="s">
        <v>2746</v>
      </c>
      <c r="F406" s="269" t="s">
        <v>3657</v>
      </c>
      <c r="G406" s="283" t="s">
        <v>2786</v>
      </c>
      <c r="H406" s="283" t="s">
        <v>2786</v>
      </c>
      <c r="I406" s="284" t="s">
        <v>2786</v>
      </c>
      <c r="J406" s="137"/>
      <c r="K406" s="138" t="s">
        <v>1170</v>
      </c>
      <c r="L406" s="139">
        <f t="shared" si="19"/>
        <v>5.2</v>
      </c>
      <c r="M406" s="140">
        <f t="shared" si="18"/>
        <v>1</v>
      </c>
      <c r="N406" s="141">
        <f t="shared" si="20"/>
        <v>5.2</v>
      </c>
      <c r="O406" s="259" t="s">
        <v>1156</v>
      </c>
      <c r="P406" s="143" t="s">
        <v>1780</v>
      </c>
    </row>
    <row r="407" spans="3:16" s="144" customFormat="1">
      <c r="C407" s="267">
        <v>402</v>
      </c>
      <c r="D407" s="268" t="s">
        <v>2164</v>
      </c>
      <c r="E407" s="283" t="s">
        <v>2746</v>
      </c>
      <c r="F407" s="269" t="s">
        <v>3658</v>
      </c>
      <c r="G407" s="283" t="s">
        <v>2787</v>
      </c>
      <c r="H407" s="283" t="s">
        <v>2787</v>
      </c>
      <c r="I407" s="284" t="s">
        <v>2787</v>
      </c>
      <c r="J407" s="137"/>
      <c r="K407" s="138" t="s">
        <v>1607</v>
      </c>
      <c r="L407" s="139">
        <f t="shared" si="19"/>
        <v>5.4</v>
      </c>
      <c r="M407" s="140">
        <f t="shared" si="18"/>
        <v>1</v>
      </c>
      <c r="N407" s="141">
        <f t="shared" si="20"/>
        <v>5.4</v>
      </c>
      <c r="O407" s="259" t="s">
        <v>1156</v>
      </c>
      <c r="P407" s="143" t="s">
        <v>1780</v>
      </c>
    </row>
    <row r="408" spans="3:16" s="144" customFormat="1">
      <c r="C408" s="267">
        <v>403</v>
      </c>
      <c r="D408" s="268" t="s">
        <v>2164</v>
      </c>
      <c r="E408" s="283" t="s">
        <v>2746</v>
      </c>
      <c r="F408" s="269" t="s">
        <v>3659</v>
      </c>
      <c r="G408" s="283" t="s">
        <v>2788</v>
      </c>
      <c r="H408" s="283" t="s">
        <v>2788</v>
      </c>
      <c r="I408" s="284" t="s">
        <v>2788</v>
      </c>
      <c r="J408" s="137"/>
      <c r="K408" s="138" t="s">
        <v>1170</v>
      </c>
      <c r="L408" s="139">
        <f t="shared" si="19"/>
        <v>5.2</v>
      </c>
      <c r="M408" s="140">
        <f t="shared" si="18"/>
        <v>1</v>
      </c>
      <c r="N408" s="141">
        <f t="shared" si="20"/>
        <v>5.2</v>
      </c>
      <c r="O408" s="259" t="s">
        <v>1156</v>
      </c>
      <c r="P408" s="143" t="s">
        <v>1780</v>
      </c>
    </row>
    <row r="409" spans="3:16" s="144" customFormat="1">
      <c r="C409" s="267">
        <v>404</v>
      </c>
      <c r="D409" s="268" t="s">
        <v>2164</v>
      </c>
      <c r="E409" s="283" t="s">
        <v>2746</v>
      </c>
      <c r="F409" s="269" t="s">
        <v>3660</v>
      </c>
      <c r="G409" s="283" t="s">
        <v>2789</v>
      </c>
      <c r="H409" s="283" t="s">
        <v>2789</v>
      </c>
      <c r="I409" s="284" t="s">
        <v>2789</v>
      </c>
      <c r="J409" s="137"/>
      <c r="K409" s="138" t="s">
        <v>1170</v>
      </c>
      <c r="L409" s="139">
        <f t="shared" si="19"/>
        <v>5.2</v>
      </c>
      <c r="M409" s="140">
        <f t="shared" si="18"/>
        <v>1</v>
      </c>
      <c r="N409" s="141">
        <f t="shared" si="20"/>
        <v>5.2</v>
      </c>
      <c r="O409" s="259" t="s">
        <v>1156</v>
      </c>
      <c r="P409" s="143" t="s">
        <v>1780</v>
      </c>
    </row>
    <row r="410" spans="3:16" s="144" customFormat="1">
      <c r="C410" s="267">
        <v>405</v>
      </c>
      <c r="D410" s="268" t="s">
        <v>2164</v>
      </c>
      <c r="E410" s="283" t="s">
        <v>2790</v>
      </c>
      <c r="F410" s="269" t="s">
        <v>3661</v>
      </c>
      <c r="G410" s="283" t="s">
        <v>2748</v>
      </c>
      <c r="H410" s="283" t="s">
        <v>2748</v>
      </c>
      <c r="I410" s="284" t="s">
        <v>2748</v>
      </c>
      <c r="J410" s="137"/>
      <c r="K410" s="138" t="s">
        <v>1155</v>
      </c>
      <c r="L410" s="139">
        <f t="shared" si="19"/>
        <v>7.5</v>
      </c>
      <c r="M410" s="140">
        <f t="shared" si="18"/>
        <v>1</v>
      </c>
      <c r="N410" s="141">
        <f t="shared" si="20"/>
        <v>7.5</v>
      </c>
      <c r="O410" s="259" t="s">
        <v>1156</v>
      </c>
      <c r="P410" s="143" t="s">
        <v>1780</v>
      </c>
    </row>
    <row r="411" spans="3:16" s="144" customFormat="1">
      <c r="C411" s="147">
        <v>406</v>
      </c>
      <c r="D411" s="142" t="s">
        <v>2164</v>
      </c>
      <c r="E411" s="221" t="s">
        <v>2790</v>
      </c>
      <c r="F411" s="186" t="s">
        <v>3662</v>
      </c>
      <c r="G411" s="221" t="s">
        <v>2791</v>
      </c>
      <c r="H411" s="221" t="s">
        <v>2791</v>
      </c>
      <c r="I411" s="222" t="s">
        <v>2791</v>
      </c>
      <c r="J411" s="137"/>
      <c r="K411" s="138" t="s">
        <v>2792</v>
      </c>
      <c r="L411" s="139">
        <f t="shared" si="19"/>
        <v>4</v>
      </c>
      <c r="M411" s="140">
        <f t="shared" si="18"/>
        <v>1</v>
      </c>
      <c r="N411" s="141">
        <f t="shared" si="20"/>
        <v>4</v>
      </c>
      <c r="O411" s="259" t="s">
        <v>1156</v>
      </c>
      <c r="P411" s="143" t="s">
        <v>1780</v>
      </c>
    </row>
    <row r="412" spans="3:16" s="144" customFormat="1">
      <c r="C412" s="147">
        <v>407</v>
      </c>
      <c r="D412" s="134" t="s">
        <v>2164</v>
      </c>
      <c r="E412" s="228" t="s">
        <v>2790</v>
      </c>
      <c r="F412" s="181" t="s">
        <v>3663</v>
      </c>
      <c r="G412" s="228" t="s">
        <v>2793</v>
      </c>
      <c r="H412" s="228" t="s">
        <v>2794</v>
      </c>
      <c r="I412" s="230" t="s">
        <v>2794</v>
      </c>
      <c r="J412" s="137"/>
      <c r="K412" s="138" t="s">
        <v>1170</v>
      </c>
      <c r="L412" s="139">
        <f t="shared" si="19"/>
        <v>5.2</v>
      </c>
      <c r="M412" s="140">
        <f t="shared" si="18"/>
        <v>1</v>
      </c>
      <c r="N412" s="141">
        <f t="shared" si="20"/>
        <v>5.2</v>
      </c>
      <c r="O412" s="259" t="s">
        <v>1156</v>
      </c>
      <c r="P412" s="143" t="s">
        <v>1780</v>
      </c>
    </row>
    <row r="413" spans="3:16" s="144" customFormat="1">
      <c r="C413" s="147">
        <v>408</v>
      </c>
      <c r="D413" s="134" t="s">
        <v>2164</v>
      </c>
      <c r="E413" s="228" t="s">
        <v>2790</v>
      </c>
      <c r="F413" s="181" t="s">
        <v>3664</v>
      </c>
      <c r="G413" s="228" t="s">
        <v>2795</v>
      </c>
      <c r="H413" s="228" t="s">
        <v>2795</v>
      </c>
      <c r="I413" s="230" t="s">
        <v>2795</v>
      </c>
      <c r="J413" s="137"/>
      <c r="K413" s="138" t="s">
        <v>1607</v>
      </c>
      <c r="L413" s="139">
        <f t="shared" si="19"/>
        <v>5.4</v>
      </c>
      <c r="M413" s="140">
        <f t="shared" si="18"/>
        <v>1</v>
      </c>
      <c r="N413" s="141">
        <f t="shared" si="20"/>
        <v>5.4</v>
      </c>
      <c r="O413" s="259" t="s">
        <v>1156</v>
      </c>
      <c r="P413" s="143" t="s">
        <v>1780</v>
      </c>
    </row>
    <row r="414" spans="3:16" s="144" customFormat="1">
      <c r="C414" s="147">
        <v>409</v>
      </c>
      <c r="D414" s="134" t="s">
        <v>2164</v>
      </c>
      <c r="E414" s="228" t="s">
        <v>2790</v>
      </c>
      <c r="F414" s="181" t="s">
        <v>3665</v>
      </c>
      <c r="G414" s="228" t="s">
        <v>2796</v>
      </c>
      <c r="H414" s="228" t="s">
        <v>2796</v>
      </c>
      <c r="I414" s="230" t="s">
        <v>2796</v>
      </c>
      <c r="J414" s="137"/>
      <c r="K414" s="138" t="s">
        <v>1170</v>
      </c>
      <c r="L414" s="139">
        <f t="shared" si="19"/>
        <v>5.2</v>
      </c>
      <c r="M414" s="140">
        <f t="shared" si="18"/>
        <v>1</v>
      </c>
      <c r="N414" s="141">
        <f t="shared" si="20"/>
        <v>5.2</v>
      </c>
      <c r="O414" s="259" t="s">
        <v>1156</v>
      </c>
      <c r="P414" s="143" t="s">
        <v>1780</v>
      </c>
    </row>
    <row r="415" spans="3:16" s="144" customFormat="1">
      <c r="C415" s="147">
        <v>410</v>
      </c>
      <c r="D415" s="142" t="s">
        <v>2164</v>
      </c>
      <c r="E415" s="221" t="s">
        <v>2790</v>
      </c>
      <c r="F415" s="186" t="s">
        <v>3666</v>
      </c>
      <c r="G415" s="221" t="s">
        <v>2797</v>
      </c>
      <c r="H415" s="221" t="s">
        <v>2797</v>
      </c>
      <c r="I415" s="222" t="s">
        <v>2797</v>
      </c>
      <c r="J415" s="137"/>
      <c r="K415" s="138" t="s">
        <v>1155</v>
      </c>
      <c r="L415" s="139">
        <f t="shared" si="19"/>
        <v>7.5</v>
      </c>
      <c r="M415" s="140">
        <f t="shared" si="18"/>
        <v>1</v>
      </c>
      <c r="N415" s="141">
        <f t="shared" si="20"/>
        <v>7.5</v>
      </c>
      <c r="O415" s="259" t="s">
        <v>1156</v>
      </c>
      <c r="P415" s="143" t="s">
        <v>1780</v>
      </c>
    </row>
    <row r="416" spans="3:16" s="144" customFormat="1" ht="27">
      <c r="C416" s="147">
        <v>411</v>
      </c>
      <c r="D416" s="142" t="s">
        <v>2164</v>
      </c>
      <c r="E416" s="221" t="s">
        <v>2790</v>
      </c>
      <c r="F416" s="186" t="s">
        <v>3667</v>
      </c>
      <c r="G416" s="221" t="s">
        <v>2798</v>
      </c>
      <c r="H416" s="221" t="s">
        <v>2798</v>
      </c>
      <c r="I416" s="222" t="s">
        <v>2798</v>
      </c>
      <c r="J416" s="137"/>
      <c r="K416" s="138" t="s">
        <v>1170</v>
      </c>
      <c r="L416" s="139">
        <f t="shared" si="19"/>
        <v>5.2</v>
      </c>
      <c r="M416" s="140">
        <f t="shared" si="18"/>
        <v>1</v>
      </c>
      <c r="N416" s="141">
        <f t="shared" si="20"/>
        <v>5.2</v>
      </c>
      <c r="O416" s="259" t="s">
        <v>1156</v>
      </c>
      <c r="P416" s="143" t="s">
        <v>1780</v>
      </c>
    </row>
    <row r="417" spans="3:16" s="144" customFormat="1">
      <c r="C417" s="147">
        <v>412</v>
      </c>
      <c r="D417" s="134" t="s">
        <v>2164</v>
      </c>
      <c r="E417" s="228" t="s">
        <v>2790</v>
      </c>
      <c r="F417" s="181" t="s">
        <v>3668</v>
      </c>
      <c r="G417" s="228" t="s">
        <v>2799</v>
      </c>
      <c r="H417" s="228" t="s">
        <v>2799</v>
      </c>
      <c r="I417" s="230" t="s">
        <v>2799</v>
      </c>
      <c r="J417" s="137"/>
      <c r="K417" s="138" t="s">
        <v>1170</v>
      </c>
      <c r="L417" s="139">
        <f t="shared" si="19"/>
        <v>5.2</v>
      </c>
      <c r="M417" s="140">
        <f t="shared" si="18"/>
        <v>1</v>
      </c>
      <c r="N417" s="141">
        <f t="shared" si="20"/>
        <v>5.2</v>
      </c>
      <c r="O417" s="259" t="s">
        <v>1156</v>
      </c>
      <c r="P417" s="143" t="s">
        <v>1780</v>
      </c>
    </row>
    <row r="418" spans="3:16" s="144" customFormat="1">
      <c r="C418" s="147">
        <v>413</v>
      </c>
      <c r="D418" s="134" t="s">
        <v>2164</v>
      </c>
      <c r="E418" s="228" t="s">
        <v>2790</v>
      </c>
      <c r="F418" s="181" t="s">
        <v>3669</v>
      </c>
      <c r="G418" s="228" t="s">
        <v>2800</v>
      </c>
      <c r="H418" s="228" t="s">
        <v>2800</v>
      </c>
      <c r="I418" s="230" t="s">
        <v>2800</v>
      </c>
      <c r="J418" s="137"/>
      <c r="K418" s="138" t="s">
        <v>1170</v>
      </c>
      <c r="L418" s="139">
        <f t="shared" si="19"/>
        <v>5.2</v>
      </c>
      <c r="M418" s="140">
        <f t="shared" si="18"/>
        <v>1</v>
      </c>
      <c r="N418" s="141">
        <f t="shared" si="20"/>
        <v>5.2</v>
      </c>
      <c r="O418" s="259" t="s">
        <v>1156</v>
      </c>
      <c r="P418" s="143" t="s">
        <v>1780</v>
      </c>
    </row>
    <row r="419" spans="3:16" s="144" customFormat="1">
      <c r="C419" s="147">
        <v>414</v>
      </c>
      <c r="D419" s="134" t="s">
        <v>2164</v>
      </c>
      <c r="E419" s="228" t="s">
        <v>2790</v>
      </c>
      <c r="F419" s="181" t="s">
        <v>3670</v>
      </c>
      <c r="G419" s="228" t="s">
        <v>2801</v>
      </c>
      <c r="H419" s="228" t="s">
        <v>2801</v>
      </c>
      <c r="I419" s="230" t="s">
        <v>2801</v>
      </c>
      <c r="J419" s="137"/>
      <c r="K419" s="138" t="s">
        <v>1170</v>
      </c>
      <c r="L419" s="139">
        <f t="shared" si="19"/>
        <v>5.2</v>
      </c>
      <c r="M419" s="140">
        <f t="shared" si="18"/>
        <v>1</v>
      </c>
      <c r="N419" s="141">
        <f t="shared" si="20"/>
        <v>5.2</v>
      </c>
      <c r="O419" s="259" t="s">
        <v>1156</v>
      </c>
      <c r="P419" s="143" t="s">
        <v>1780</v>
      </c>
    </row>
    <row r="420" spans="3:16" s="144" customFormat="1">
      <c r="C420" s="147">
        <v>415</v>
      </c>
      <c r="D420" s="285" t="s">
        <v>2164</v>
      </c>
      <c r="E420" s="286" t="s">
        <v>2790</v>
      </c>
      <c r="F420" s="181" t="s">
        <v>3671</v>
      </c>
      <c r="G420" s="286" t="s">
        <v>2802</v>
      </c>
      <c r="H420" s="286" t="s">
        <v>2802</v>
      </c>
      <c r="I420" s="287" t="s">
        <v>2802</v>
      </c>
      <c r="J420" s="137"/>
      <c r="K420" s="169" t="s">
        <v>1170</v>
      </c>
      <c r="L420" s="170">
        <f t="shared" si="19"/>
        <v>5.2</v>
      </c>
      <c r="M420" s="171">
        <f t="shared" si="18"/>
        <v>1</v>
      </c>
      <c r="N420" s="172">
        <f t="shared" si="20"/>
        <v>5.2</v>
      </c>
      <c r="O420" s="288" t="s">
        <v>1156</v>
      </c>
      <c r="P420" s="143" t="s">
        <v>1780</v>
      </c>
    </row>
  </sheetData>
  <mergeCells count="10">
    <mergeCell ref="I4:I5"/>
    <mergeCell ref="K4:M4"/>
    <mergeCell ref="O4:O5"/>
    <mergeCell ref="P4:P5"/>
    <mergeCell ref="C4:C5"/>
    <mergeCell ref="D4:D5"/>
    <mergeCell ref="E4:E5"/>
    <mergeCell ref="F4:F5"/>
    <mergeCell ref="G4:G5"/>
    <mergeCell ref="H4:H5"/>
  </mergeCells>
  <phoneticPr fontId="15" type="noConversion"/>
  <conditionalFormatting sqref="K4:K5">
    <cfRule type="cellIs" dxfId="85" priority="156" operator="equal">
      <formula>"EIF"</formula>
    </cfRule>
    <cfRule type="cellIs" dxfId="84" priority="157" operator="equal">
      <formula>"ILF"</formula>
    </cfRule>
  </conditionalFormatting>
  <conditionalFormatting sqref="K23 K46">
    <cfRule type="cellIs" dxfId="83" priority="155" operator="equal">
      <formula>"ILF"</formula>
    </cfRule>
    <cfRule type="cellIs" dxfId="82" priority="154" operator="equal">
      <formula>"EIF"</formula>
    </cfRule>
  </conditionalFormatting>
  <conditionalFormatting sqref="K38">
    <cfRule type="cellIs" dxfId="81" priority="52" operator="equal">
      <formula>"ILF"</formula>
    </cfRule>
    <cfRule type="cellIs" dxfId="80" priority="51" operator="equal">
      <formula>"EIF"</formula>
    </cfRule>
  </conditionalFormatting>
  <conditionalFormatting sqref="K60">
    <cfRule type="cellIs" dxfId="79" priority="50" operator="equal">
      <formula>"ILF"</formula>
    </cfRule>
    <cfRule type="cellIs" dxfId="78" priority="49" operator="equal">
      <formula>"EIF"</formula>
    </cfRule>
  </conditionalFormatting>
  <conditionalFormatting sqref="K71">
    <cfRule type="cellIs" dxfId="77" priority="48" operator="equal">
      <formula>"ILF"</formula>
    </cfRule>
    <cfRule type="cellIs" dxfId="76" priority="47" operator="equal">
      <formula>"EIF"</formula>
    </cfRule>
  </conditionalFormatting>
  <conditionalFormatting sqref="K104:K106">
    <cfRule type="cellIs" dxfId="75" priority="46" operator="equal">
      <formula>"ILF"</formula>
    </cfRule>
    <cfRule type="cellIs" dxfId="74" priority="45" operator="equal">
      <formula>"EIF"</formula>
    </cfRule>
  </conditionalFormatting>
  <conditionalFormatting sqref="K111:K114">
    <cfRule type="cellIs" dxfId="73" priority="125" operator="equal">
      <formula>"ILF"</formula>
    </cfRule>
    <cfRule type="cellIs" dxfId="72" priority="124" operator="equal">
      <formula>"EIF"</formula>
    </cfRule>
  </conditionalFormatting>
  <conditionalFormatting sqref="K122:K126">
    <cfRule type="cellIs" dxfId="71" priority="41" operator="equal">
      <formula>"EIF"</formula>
    </cfRule>
    <cfRule type="cellIs" dxfId="70" priority="42" operator="equal">
      <formula>"ILF"</formula>
    </cfRule>
  </conditionalFormatting>
  <conditionalFormatting sqref="K128:K132">
    <cfRule type="cellIs" dxfId="69" priority="127" operator="equal">
      <formula>"ILF"</formula>
    </cfRule>
    <cfRule type="cellIs" dxfId="68" priority="126" operator="equal">
      <formula>"EIF"</formula>
    </cfRule>
  </conditionalFormatting>
  <conditionalFormatting sqref="K134">
    <cfRule type="cellIs" dxfId="67" priority="149" operator="equal">
      <formula>"ILF"</formula>
    </cfRule>
    <cfRule type="cellIs" dxfId="66" priority="148" operator="equal">
      <formula>"EIF"</formula>
    </cfRule>
  </conditionalFormatting>
  <conditionalFormatting sqref="K139">
    <cfRule type="cellIs" dxfId="65" priority="135" operator="equal">
      <formula>"ILF"</formula>
    </cfRule>
    <cfRule type="cellIs" dxfId="64" priority="134" operator="equal">
      <formula>"EIF"</formula>
    </cfRule>
  </conditionalFormatting>
  <conditionalFormatting sqref="K143 K151 K153">
    <cfRule type="cellIs" dxfId="63" priority="123" operator="equal">
      <formula>"ILF"</formula>
    </cfRule>
    <cfRule type="cellIs" dxfId="62" priority="122" operator="equal">
      <formula>"EIF"</formula>
    </cfRule>
  </conditionalFormatting>
  <conditionalFormatting sqref="K159:K160 K165:K187 K227:K232">
    <cfRule type="cellIs" dxfId="61" priority="59" operator="equal">
      <formula>"ILF"</formula>
    </cfRule>
    <cfRule type="cellIs" dxfId="60" priority="58" operator="equal">
      <formula>"EIF"</formula>
    </cfRule>
  </conditionalFormatting>
  <conditionalFormatting sqref="K189:K212">
    <cfRule type="cellIs" dxfId="59" priority="37" operator="equal">
      <formula>"EIF"</formula>
    </cfRule>
    <cfRule type="cellIs" dxfId="58" priority="38" operator="equal">
      <formula>"ILF"</formula>
    </cfRule>
  </conditionalFormatting>
  <conditionalFormatting sqref="K234">
    <cfRule type="cellIs" dxfId="57" priority="36" operator="equal">
      <formula>"ILF"</formula>
    </cfRule>
    <cfRule type="cellIs" dxfId="56" priority="35" operator="equal">
      <formula>"EIF"</formula>
    </cfRule>
  </conditionalFormatting>
  <conditionalFormatting sqref="K236:K242">
    <cfRule type="cellIs" dxfId="55" priority="2" operator="equal">
      <formula>"ILF"</formula>
    </cfRule>
    <cfRule type="cellIs" dxfId="54" priority="1" operator="equal">
      <formula>"EIF"</formula>
    </cfRule>
  </conditionalFormatting>
  <conditionalFormatting sqref="K245:K246">
    <cfRule type="cellIs" dxfId="53" priority="72" operator="equal">
      <formula>"EIF"</formula>
    </cfRule>
    <cfRule type="cellIs" dxfId="52" priority="73" operator="equal">
      <formula>"ILF"</formula>
    </cfRule>
  </conditionalFormatting>
  <conditionalFormatting sqref="K249:K263">
    <cfRule type="cellIs" dxfId="51" priority="12" operator="equal">
      <formula>"ILF"</formula>
    </cfRule>
    <cfRule type="cellIs" dxfId="50" priority="11" operator="equal">
      <formula>"EIF"</formula>
    </cfRule>
  </conditionalFormatting>
  <conditionalFormatting sqref="K265:K266 K277:K278 K281:K284 K292:K293 K297:K300">
    <cfRule type="cellIs" dxfId="49" priority="54" operator="equal">
      <formula>"EIF"</formula>
    </cfRule>
    <cfRule type="cellIs" dxfId="48" priority="55" operator="equal">
      <formula>"ILF"</formula>
    </cfRule>
  </conditionalFormatting>
  <conditionalFormatting sqref="K305:K307">
    <cfRule type="cellIs" dxfId="47" priority="29" operator="equal">
      <formula>"EIF"</formula>
    </cfRule>
    <cfRule type="cellIs" dxfId="46" priority="30" operator="equal">
      <formula>"ILF"</formula>
    </cfRule>
  </conditionalFormatting>
  <conditionalFormatting sqref="K313">
    <cfRule type="cellIs" dxfId="45" priority="28" operator="equal">
      <formula>"ILF"</formula>
    </cfRule>
    <cfRule type="cellIs" dxfId="44" priority="27" operator="equal">
      <formula>"EIF"</formula>
    </cfRule>
  </conditionalFormatting>
  <conditionalFormatting sqref="K315">
    <cfRule type="cellIs" dxfId="43" priority="26" operator="equal">
      <formula>"ILF"</formula>
    </cfRule>
    <cfRule type="cellIs" dxfId="42" priority="25" operator="equal">
      <formula>"EIF"</formula>
    </cfRule>
  </conditionalFormatting>
  <conditionalFormatting sqref="K319">
    <cfRule type="cellIs" dxfId="41" priority="24" operator="equal">
      <formula>"ILF"</formula>
    </cfRule>
    <cfRule type="cellIs" dxfId="40" priority="23" operator="equal">
      <formula>"EIF"</formula>
    </cfRule>
  </conditionalFormatting>
  <conditionalFormatting sqref="K321">
    <cfRule type="cellIs" dxfId="39" priority="22" operator="equal">
      <formula>"ILF"</formula>
    </cfRule>
    <cfRule type="cellIs" dxfId="38" priority="21" operator="equal">
      <formula>"EIF"</formula>
    </cfRule>
  </conditionalFormatting>
  <conditionalFormatting sqref="K324">
    <cfRule type="cellIs" dxfId="37" priority="20" operator="equal">
      <formula>"ILF"</formula>
    </cfRule>
    <cfRule type="cellIs" dxfId="36" priority="19" operator="equal">
      <formula>"EIF"</formula>
    </cfRule>
  </conditionalFormatting>
  <conditionalFormatting sqref="K326">
    <cfRule type="cellIs" dxfId="35" priority="18" operator="equal">
      <formula>"ILF"</formula>
    </cfRule>
    <cfRule type="cellIs" dxfId="34" priority="17" operator="equal">
      <formula>"EIF"</formula>
    </cfRule>
  </conditionalFormatting>
  <conditionalFormatting sqref="K376">
    <cfRule type="cellIs" dxfId="33" priority="16" operator="equal">
      <formula>"ILF"</formula>
    </cfRule>
    <cfRule type="cellIs" dxfId="32" priority="15" operator="equal">
      <formula>"EIF"</formula>
    </cfRule>
  </conditionalFormatting>
  <dataValidations count="1">
    <dataValidation type="list" allowBlank="1" showInputMessage="1" showErrorMessage="1" sqref="K6 K243 K154:K158 K144:K150 K135:K138 K133 K127 K107:K109 K52:K59 K61:K70 K377:K420 K115:K121 K140:K142 K152 K161:K164 K218 K224 K351 K353 K355 K357 K359 K361 K363 K188 K365:K375 K72:K102">
      <formula1>"ILF,EIF,EI,EO,EQ"</formula1>
    </dataValidation>
  </dataValidations>
  <pageMargins left="0.23622047244094491" right="0.23622047244094491" top="0.39370078740157483" bottom="0.39370078740157483" header="0.31496062992125984" footer="0.31496062992125984"/>
  <pageSetup paperSize="9" scale="49" orientation="landscape" r:id="rId1"/>
  <extLst>
    <ext xmlns:x14="http://schemas.microsoft.com/office/spreadsheetml/2009/9/main" uri="{78C0D931-6437-407d-A8EE-F0AAD7539E65}">
      <x14:conditionalFormattings>
        <x14:conditionalFormatting xmlns:xm="http://schemas.microsoft.com/office/excel/2006/main">
          <x14:cfRule type="cellIs" priority="53" operator="equal" id="{7E8F3809-6553-4A55-9CA2-0CDB73492365}">
            <xm:f>'\\DS_NAS\homes\00. LX플랫폼 고도화 사업\00. 프로젝트 착수 전\03_산출내역서\[산출내역서_LX플랫폼 고도화 사업_v0.7_230413.xlsx]1-1.클라우드 FP'!#REF!</xm:f>
            <x14:dxf>
              <font>
                <color rgb="FF9C0006"/>
              </font>
              <fill>
                <patternFill>
                  <bgColor rgb="FFFFC7CE"/>
                </patternFill>
              </fill>
            </x14:dxf>
          </x14:cfRule>
          <x14:cfRule type="containsText" priority="158" operator="containsText" id="{CAF3A587-7AC3-4EF3-A532-9CC5B0150DB7}">
            <xm:f>NOT(ISERROR(SEARCH('\\DS_NAS\homes\00.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사업_v0.7_230413.xlsx]2-1.데이터관리체계 FP'!#REF!)))</xm:f>
            <xm:f>'\\DS_NAS\homes\00. LX플랫폼 고도화 사업\00. 프로젝트 착수 전\03_산출내역서\[산출내역서_LX플랫폼 고도화 사업_v0.7_230413.xlsx]1-1.클라우드 FP'!#REF!</xm:f>
            <x14:dxf>
              <font>
                <color theme="9" tint="-0.499984740745262"/>
              </font>
              <fill>
                <patternFill>
                  <bgColor rgb="FFFFFF00"/>
                </patternFill>
              </fill>
            </x14:dxf>
          </x14:cfRule>
          <x14:cfRule type="containsText" priority="159" operator="containsText" id="{817740E0-2246-4BF0-9DF3-7C461A478E93}">
            <xm:f>NOT(ISERROR(SEARCH('\\DS_NAS\homes\00.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사업_v0.7_230413.xlsx]2-1.데이터관리체계 FP'!#REF!)))</xm:f>
            <xm:f>'\\DS_NAS\homes\00.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xm:f>
            <x14:dxf>
              <font>
                <color rgb="FF002060"/>
              </font>
              <fill>
                <patternFill>
                  <bgColor theme="3" tint="0.59996337778862885"/>
                </patternFill>
              </fill>
            </x14:dxf>
          </x14:cfRule>
          <xm:sqref>K331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42"/>
  <sheetViews>
    <sheetView view="pageBreakPreview" topLeftCell="A37" zoomScale="85" zoomScaleNormal="70" zoomScaleSheetLayoutView="85" workbookViewId="0">
      <selection activeCell="F54" sqref="F54:F61"/>
    </sheetView>
  </sheetViews>
  <sheetFormatPr defaultColWidth="8.85546875" defaultRowHeight="13.5"/>
  <cols>
    <col min="1" max="1" width="1.7109375" style="177" customWidth="1"/>
    <col min="2" max="2" width="0" style="177" hidden="1" customWidth="1"/>
    <col min="3" max="3" width="8.85546875" style="177"/>
    <col min="4" max="4" width="15.5703125" style="177" customWidth="1"/>
    <col min="5" max="5" width="49.7109375" style="177" bestFit="1" customWidth="1"/>
    <col min="6" max="6" width="16.7109375" style="177" bestFit="1" customWidth="1"/>
    <col min="7" max="7" width="27.5703125" style="177" customWidth="1"/>
    <col min="8" max="9" width="42.42578125" style="177" customWidth="1"/>
    <col min="10" max="10" width="5.140625" style="177" customWidth="1"/>
    <col min="11" max="11" width="8.85546875" style="177"/>
    <col min="12" max="12" width="10.5703125" style="177" customWidth="1"/>
    <col min="13" max="13" width="12.28515625" style="177" customWidth="1"/>
    <col min="14" max="14" width="8.85546875" style="177"/>
    <col min="15" max="15" width="11.7109375" style="177" customWidth="1"/>
    <col min="16" max="16" width="8.85546875" style="177"/>
    <col min="17" max="17" width="0" style="177" hidden="1" customWidth="1"/>
    <col min="18" max="16384" width="8.85546875" style="177"/>
  </cols>
  <sheetData>
    <row r="2" spans="3:17" ht="26.25">
      <c r="C2" s="126" t="s">
        <v>2803</v>
      </c>
    </row>
    <row r="4" spans="3:17" s="127" customFormat="1" ht="22.5" customHeight="1">
      <c r="C4" s="614" t="s">
        <v>1135</v>
      </c>
      <c r="D4" s="616" t="s">
        <v>543</v>
      </c>
      <c r="E4" s="616" t="s">
        <v>1136</v>
      </c>
      <c r="F4" s="618" t="s">
        <v>1628</v>
      </c>
      <c r="G4" s="616" t="s">
        <v>1138</v>
      </c>
      <c r="H4" s="616" t="s">
        <v>1139</v>
      </c>
      <c r="I4" s="607" t="s">
        <v>1140</v>
      </c>
      <c r="K4" s="609" t="s">
        <v>1141</v>
      </c>
      <c r="L4" s="610"/>
      <c r="M4" s="610"/>
      <c r="N4" s="128" t="s">
        <v>1142</v>
      </c>
      <c r="O4" s="610" t="s">
        <v>1143</v>
      </c>
      <c r="P4" s="612" t="s">
        <v>1144</v>
      </c>
      <c r="Q4" s="129" t="s">
        <v>1145</v>
      </c>
    </row>
    <row r="5" spans="3:17" s="127" customFormat="1" ht="22.5" customHeight="1">
      <c r="C5" s="615"/>
      <c r="D5" s="617"/>
      <c r="E5" s="617"/>
      <c r="F5" s="619"/>
      <c r="G5" s="617"/>
      <c r="H5" s="617"/>
      <c r="I5" s="608"/>
      <c r="K5" s="130" t="s">
        <v>1146</v>
      </c>
      <c r="L5" s="131" t="s">
        <v>1147</v>
      </c>
      <c r="M5" s="131" t="s">
        <v>1148</v>
      </c>
      <c r="N5" s="131" t="s">
        <v>1149</v>
      </c>
      <c r="O5" s="611"/>
      <c r="P5" s="613"/>
      <c r="Q5" s="132"/>
    </row>
    <row r="6" spans="3:17" s="144" customFormat="1" ht="19.5" customHeight="1">
      <c r="C6" s="133">
        <v>1</v>
      </c>
      <c r="D6" s="134" t="s">
        <v>2804</v>
      </c>
      <c r="E6" s="228" t="s">
        <v>2805</v>
      </c>
      <c r="F6" s="228" t="s">
        <v>3121</v>
      </c>
      <c r="G6" s="228" t="s">
        <v>2806</v>
      </c>
      <c r="H6" s="228" t="s">
        <v>2807</v>
      </c>
      <c r="I6" s="230"/>
      <c r="J6" s="137"/>
      <c r="K6" s="138" t="s">
        <v>1155</v>
      </c>
      <c r="L6" s="139">
        <f t="shared" ref="L6:L69" si="0">IF(K6="","",IF(K6="EI",4,IF(K6="EO",5.2,IF(K6="EQ",3.9,IF(K6="ILF",7.5,IF(K6="EIF",5.4))))))</f>
        <v>7.5</v>
      </c>
      <c r="M6" s="140">
        <f t="shared" ref="M6:M69" si="1">IF(O6="","",IF(O6="신규",1,IF(O6="고도화",1.04,IF(O6="재사용",0.25))))</f>
        <v>1</v>
      </c>
      <c r="N6" s="141">
        <f t="shared" ref="N6:N69" si="2">L6*M6</f>
        <v>7.5</v>
      </c>
      <c r="O6" s="188" t="s">
        <v>1156</v>
      </c>
      <c r="P6" s="143" t="s">
        <v>1532</v>
      </c>
    </row>
    <row r="7" spans="3:17" s="144" customFormat="1" ht="19.5" customHeight="1">
      <c r="C7" s="133">
        <v>2</v>
      </c>
      <c r="D7" s="134" t="s">
        <v>2804</v>
      </c>
      <c r="E7" s="228" t="s">
        <v>2805</v>
      </c>
      <c r="F7" s="228" t="s">
        <v>3122</v>
      </c>
      <c r="G7" s="228" t="s">
        <v>2806</v>
      </c>
      <c r="H7" s="228" t="s">
        <v>2808</v>
      </c>
      <c r="I7" s="230"/>
      <c r="J7" s="137"/>
      <c r="K7" s="138" t="s">
        <v>1487</v>
      </c>
      <c r="L7" s="139">
        <f t="shared" si="0"/>
        <v>5.4</v>
      </c>
      <c r="M7" s="140">
        <f t="shared" si="1"/>
        <v>1</v>
      </c>
      <c r="N7" s="141">
        <f t="shared" si="2"/>
        <v>5.4</v>
      </c>
      <c r="O7" s="188" t="s">
        <v>1156</v>
      </c>
      <c r="P7" s="143" t="s">
        <v>1532</v>
      </c>
    </row>
    <row r="8" spans="3:17" s="144" customFormat="1" ht="19.5" customHeight="1">
      <c r="C8" s="133">
        <v>3</v>
      </c>
      <c r="D8" s="134" t="s">
        <v>2804</v>
      </c>
      <c r="E8" s="228" t="s">
        <v>2805</v>
      </c>
      <c r="F8" s="228" t="s">
        <v>3123</v>
      </c>
      <c r="G8" s="228" t="s">
        <v>2806</v>
      </c>
      <c r="H8" s="228" t="s">
        <v>2809</v>
      </c>
      <c r="I8" s="230"/>
      <c r="J8" s="137"/>
      <c r="K8" s="138" t="s">
        <v>1487</v>
      </c>
      <c r="L8" s="139">
        <f t="shared" si="0"/>
        <v>5.4</v>
      </c>
      <c r="M8" s="140">
        <f t="shared" si="1"/>
        <v>1</v>
      </c>
      <c r="N8" s="141">
        <f t="shared" si="2"/>
        <v>5.4</v>
      </c>
      <c r="O8" s="188" t="s">
        <v>1156</v>
      </c>
      <c r="P8" s="143" t="s">
        <v>1532</v>
      </c>
    </row>
    <row r="9" spans="3:17" s="144" customFormat="1" ht="19.5" customHeight="1">
      <c r="C9" s="133">
        <v>4</v>
      </c>
      <c r="D9" s="134" t="s">
        <v>2804</v>
      </c>
      <c r="E9" s="228" t="s">
        <v>2805</v>
      </c>
      <c r="F9" s="228" t="s">
        <v>3124</v>
      </c>
      <c r="G9" s="228" t="s">
        <v>2806</v>
      </c>
      <c r="H9" s="228" t="s">
        <v>2810</v>
      </c>
      <c r="I9" s="230"/>
      <c r="J9" s="137"/>
      <c r="K9" s="138" t="s">
        <v>1487</v>
      </c>
      <c r="L9" s="139">
        <f t="shared" si="0"/>
        <v>5.4</v>
      </c>
      <c r="M9" s="140">
        <f t="shared" si="1"/>
        <v>1</v>
      </c>
      <c r="N9" s="141">
        <f t="shared" si="2"/>
        <v>5.4</v>
      </c>
      <c r="O9" s="188" t="s">
        <v>1156</v>
      </c>
      <c r="P9" s="143" t="s">
        <v>1532</v>
      </c>
    </row>
    <row r="10" spans="3:17" s="144" customFormat="1" ht="19.5" customHeight="1">
      <c r="C10" s="133">
        <v>5</v>
      </c>
      <c r="D10" s="134" t="s">
        <v>2804</v>
      </c>
      <c r="E10" s="228" t="s">
        <v>2805</v>
      </c>
      <c r="F10" s="228" t="s">
        <v>3125</v>
      </c>
      <c r="G10" s="228" t="s">
        <v>2806</v>
      </c>
      <c r="H10" s="228" t="s">
        <v>2811</v>
      </c>
      <c r="I10" s="230"/>
      <c r="J10" s="137"/>
      <c r="K10" s="138" t="s">
        <v>1163</v>
      </c>
      <c r="L10" s="139">
        <f t="shared" si="0"/>
        <v>4</v>
      </c>
      <c r="M10" s="140">
        <f t="shared" si="1"/>
        <v>1</v>
      </c>
      <c r="N10" s="141">
        <f t="shared" si="2"/>
        <v>4</v>
      </c>
      <c r="O10" s="188" t="s">
        <v>1156</v>
      </c>
      <c r="P10" s="143" t="s">
        <v>1532</v>
      </c>
    </row>
    <row r="11" spans="3:17" s="144" customFormat="1" ht="19.5" customHeight="1">
      <c r="C11" s="133">
        <v>6</v>
      </c>
      <c r="D11" s="134" t="s">
        <v>2804</v>
      </c>
      <c r="E11" s="228" t="s">
        <v>2805</v>
      </c>
      <c r="F11" s="228" t="s">
        <v>3126</v>
      </c>
      <c r="G11" s="228" t="s">
        <v>2806</v>
      </c>
      <c r="H11" s="228" t="s">
        <v>2812</v>
      </c>
      <c r="I11" s="230"/>
      <c r="J11" s="137"/>
      <c r="K11" s="138" t="s">
        <v>1487</v>
      </c>
      <c r="L11" s="139">
        <f t="shared" si="0"/>
        <v>5.4</v>
      </c>
      <c r="M11" s="140">
        <f t="shared" si="1"/>
        <v>1</v>
      </c>
      <c r="N11" s="141">
        <f t="shared" si="2"/>
        <v>5.4</v>
      </c>
      <c r="O11" s="188" t="s">
        <v>1156</v>
      </c>
      <c r="P11" s="143" t="s">
        <v>1532</v>
      </c>
    </row>
    <row r="12" spans="3:17" s="144" customFormat="1" ht="19.5" customHeight="1">
      <c r="C12" s="133">
        <v>7</v>
      </c>
      <c r="D12" s="134" t="s">
        <v>2804</v>
      </c>
      <c r="E12" s="228" t="s">
        <v>2805</v>
      </c>
      <c r="F12" s="228" t="s">
        <v>3127</v>
      </c>
      <c r="G12" s="228" t="s">
        <v>2806</v>
      </c>
      <c r="H12" s="228" t="s">
        <v>2813</v>
      </c>
      <c r="I12" s="230"/>
      <c r="J12" s="137"/>
      <c r="K12" s="138" t="s">
        <v>1487</v>
      </c>
      <c r="L12" s="139">
        <f t="shared" si="0"/>
        <v>5.4</v>
      </c>
      <c r="M12" s="140">
        <f t="shared" si="1"/>
        <v>1</v>
      </c>
      <c r="N12" s="141">
        <f t="shared" si="2"/>
        <v>5.4</v>
      </c>
      <c r="O12" s="188" t="s">
        <v>1156</v>
      </c>
      <c r="P12" s="143" t="s">
        <v>1532</v>
      </c>
    </row>
    <row r="13" spans="3:17" s="144" customFormat="1" ht="19.5" customHeight="1">
      <c r="C13" s="133">
        <v>8</v>
      </c>
      <c r="D13" s="134" t="s">
        <v>2804</v>
      </c>
      <c r="E13" s="228" t="s">
        <v>2805</v>
      </c>
      <c r="F13" s="228" t="s">
        <v>3128</v>
      </c>
      <c r="G13" s="228" t="s">
        <v>2806</v>
      </c>
      <c r="H13" s="228" t="s">
        <v>2814</v>
      </c>
      <c r="I13" s="230"/>
      <c r="J13" s="137"/>
      <c r="K13" s="138" t="s">
        <v>1487</v>
      </c>
      <c r="L13" s="139">
        <f t="shared" si="0"/>
        <v>5.4</v>
      </c>
      <c r="M13" s="140">
        <f t="shared" si="1"/>
        <v>1</v>
      </c>
      <c r="N13" s="141">
        <f t="shared" si="2"/>
        <v>5.4</v>
      </c>
      <c r="O13" s="188" t="s">
        <v>1156</v>
      </c>
      <c r="P13" s="143" t="s">
        <v>1532</v>
      </c>
    </row>
    <row r="14" spans="3:17" s="144" customFormat="1" ht="19.5" customHeight="1">
      <c r="C14" s="133">
        <v>9</v>
      </c>
      <c r="D14" s="134" t="s">
        <v>2804</v>
      </c>
      <c r="E14" s="228" t="s">
        <v>2805</v>
      </c>
      <c r="F14" s="228" t="s">
        <v>3129</v>
      </c>
      <c r="G14" s="228" t="s">
        <v>2806</v>
      </c>
      <c r="H14" s="228" t="s">
        <v>2815</v>
      </c>
      <c r="I14" s="230"/>
      <c r="J14" s="137"/>
      <c r="K14" s="138" t="s">
        <v>1487</v>
      </c>
      <c r="L14" s="139">
        <f t="shared" si="0"/>
        <v>5.4</v>
      </c>
      <c r="M14" s="140">
        <f t="shared" si="1"/>
        <v>1</v>
      </c>
      <c r="N14" s="141">
        <f t="shared" si="2"/>
        <v>5.4</v>
      </c>
      <c r="O14" s="188" t="s">
        <v>1156</v>
      </c>
      <c r="P14" s="143" t="s">
        <v>1532</v>
      </c>
    </row>
    <row r="15" spans="3:17" s="144" customFormat="1" ht="19.5" customHeight="1">
      <c r="C15" s="133">
        <v>10</v>
      </c>
      <c r="D15" s="134" t="s">
        <v>2804</v>
      </c>
      <c r="E15" s="228" t="s">
        <v>2805</v>
      </c>
      <c r="F15" s="228" t="s">
        <v>3130</v>
      </c>
      <c r="G15" s="228" t="s">
        <v>2806</v>
      </c>
      <c r="H15" s="228" t="s">
        <v>2816</v>
      </c>
      <c r="I15" s="230"/>
      <c r="J15" s="137"/>
      <c r="K15" s="138" t="s">
        <v>1487</v>
      </c>
      <c r="L15" s="139">
        <f t="shared" si="0"/>
        <v>5.4</v>
      </c>
      <c r="M15" s="140">
        <f t="shared" si="1"/>
        <v>1</v>
      </c>
      <c r="N15" s="141">
        <f t="shared" si="2"/>
        <v>5.4</v>
      </c>
      <c r="O15" s="188" t="s">
        <v>1156</v>
      </c>
      <c r="P15" s="143" t="s">
        <v>1532</v>
      </c>
    </row>
    <row r="16" spans="3:17" s="144" customFormat="1" ht="19.5" customHeight="1">
      <c r="C16" s="133">
        <v>11</v>
      </c>
      <c r="D16" s="134" t="s">
        <v>2804</v>
      </c>
      <c r="E16" s="228" t="s">
        <v>2805</v>
      </c>
      <c r="F16" s="228" t="s">
        <v>3131</v>
      </c>
      <c r="G16" s="228" t="s">
        <v>2806</v>
      </c>
      <c r="H16" s="228" t="s">
        <v>2817</v>
      </c>
      <c r="I16" s="230"/>
      <c r="J16" s="137"/>
      <c r="K16" s="138" t="s">
        <v>1155</v>
      </c>
      <c r="L16" s="139">
        <f t="shared" si="0"/>
        <v>7.5</v>
      </c>
      <c r="M16" s="140">
        <f t="shared" si="1"/>
        <v>1</v>
      </c>
      <c r="N16" s="141">
        <f t="shared" si="2"/>
        <v>7.5</v>
      </c>
      <c r="O16" s="188" t="s">
        <v>1156</v>
      </c>
      <c r="P16" s="143" t="s">
        <v>1532</v>
      </c>
    </row>
    <row r="17" spans="3:16" s="144" customFormat="1" ht="19.5" customHeight="1">
      <c r="C17" s="133">
        <v>12</v>
      </c>
      <c r="D17" s="134" t="s">
        <v>2804</v>
      </c>
      <c r="E17" s="228" t="s">
        <v>2805</v>
      </c>
      <c r="F17" s="228" t="s">
        <v>3132</v>
      </c>
      <c r="G17" s="228" t="s">
        <v>2806</v>
      </c>
      <c r="H17" s="228" t="s">
        <v>2818</v>
      </c>
      <c r="I17" s="230"/>
      <c r="J17" s="137"/>
      <c r="K17" s="138" t="s">
        <v>1170</v>
      </c>
      <c r="L17" s="139">
        <f t="shared" si="0"/>
        <v>5.2</v>
      </c>
      <c r="M17" s="140">
        <f t="shared" si="1"/>
        <v>1</v>
      </c>
      <c r="N17" s="141">
        <f t="shared" si="2"/>
        <v>5.2</v>
      </c>
      <c r="O17" s="188" t="s">
        <v>1156</v>
      </c>
      <c r="P17" s="143" t="s">
        <v>1532</v>
      </c>
    </row>
    <row r="18" spans="3:16" s="144" customFormat="1" ht="19.5" customHeight="1">
      <c r="C18" s="133">
        <v>13</v>
      </c>
      <c r="D18" s="134" t="s">
        <v>2804</v>
      </c>
      <c r="E18" s="228" t="s">
        <v>2805</v>
      </c>
      <c r="F18" s="228" t="s">
        <v>3133</v>
      </c>
      <c r="G18" s="228" t="s">
        <v>2806</v>
      </c>
      <c r="H18" s="228" t="s">
        <v>2819</v>
      </c>
      <c r="I18" s="230"/>
      <c r="J18" s="137"/>
      <c r="K18" s="138" t="s">
        <v>1170</v>
      </c>
      <c r="L18" s="139">
        <f t="shared" si="0"/>
        <v>5.2</v>
      </c>
      <c r="M18" s="140">
        <f t="shared" si="1"/>
        <v>1</v>
      </c>
      <c r="N18" s="141">
        <f t="shared" si="2"/>
        <v>5.2</v>
      </c>
      <c r="O18" s="188" t="s">
        <v>1156</v>
      </c>
      <c r="P18" s="143" t="s">
        <v>1532</v>
      </c>
    </row>
    <row r="19" spans="3:16" s="144" customFormat="1" ht="19.5" customHeight="1">
      <c r="C19" s="133">
        <v>14</v>
      </c>
      <c r="D19" s="134" t="s">
        <v>2804</v>
      </c>
      <c r="E19" s="228" t="s">
        <v>2805</v>
      </c>
      <c r="F19" s="228" t="s">
        <v>3134</v>
      </c>
      <c r="G19" s="228" t="s">
        <v>2806</v>
      </c>
      <c r="H19" s="228" t="s">
        <v>2820</v>
      </c>
      <c r="I19" s="230"/>
      <c r="J19" s="137"/>
      <c r="K19" s="138" t="s">
        <v>1170</v>
      </c>
      <c r="L19" s="139">
        <f t="shared" si="0"/>
        <v>5.2</v>
      </c>
      <c r="M19" s="140">
        <f t="shared" si="1"/>
        <v>1</v>
      </c>
      <c r="N19" s="141">
        <f t="shared" si="2"/>
        <v>5.2</v>
      </c>
      <c r="O19" s="188" t="s">
        <v>1156</v>
      </c>
      <c r="P19" s="143" t="s">
        <v>1532</v>
      </c>
    </row>
    <row r="20" spans="3:16" s="144" customFormat="1" ht="19.5" customHeight="1">
      <c r="C20" s="133">
        <v>15</v>
      </c>
      <c r="D20" s="134" t="s">
        <v>2804</v>
      </c>
      <c r="E20" s="228" t="s">
        <v>2805</v>
      </c>
      <c r="F20" s="228" t="s">
        <v>3135</v>
      </c>
      <c r="G20" s="228" t="s">
        <v>2806</v>
      </c>
      <c r="H20" s="228" t="s">
        <v>2821</v>
      </c>
      <c r="I20" s="230"/>
      <c r="J20" s="137"/>
      <c r="K20" s="138" t="s">
        <v>1160</v>
      </c>
      <c r="L20" s="139">
        <f t="shared" si="0"/>
        <v>3.9</v>
      </c>
      <c r="M20" s="140">
        <f t="shared" si="1"/>
        <v>1</v>
      </c>
      <c r="N20" s="141">
        <f t="shared" si="2"/>
        <v>3.9</v>
      </c>
      <c r="O20" s="188" t="s">
        <v>1156</v>
      </c>
      <c r="P20" s="143" t="s">
        <v>1532</v>
      </c>
    </row>
    <row r="21" spans="3:16" s="144" customFormat="1" ht="27">
      <c r="C21" s="133">
        <v>16</v>
      </c>
      <c r="D21" s="134" t="s">
        <v>2804</v>
      </c>
      <c r="E21" s="228" t="s">
        <v>2805</v>
      </c>
      <c r="F21" s="228" t="s">
        <v>3136</v>
      </c>
      <c r="G21" s="228" t="s">
        <v>2806</v>
      </c>
      <c r="H21" s="228" t="s">
        <v>2822</v>
      </c>
      <c r="I21" s="230"/>
      <c r="J21" s="137"/>
      <c r="K21" s="138" t="s">
        <v>1487</v>
      </c>
      <c r="L21" s="139">
        <f t="shared" si="0"/>
        <v>5.4</v>
      </c>
      <c r="M21" s="140">
        <f t="shared" si="1"/>
        <v>1</v>
      </c>
      <c r="N21" s="141">
        <f t="shared" si="2"/>
        <v>5.4</v>
      </c>
      <c r="O21" s="188" t="s">
        <v>1156</v>
      </c>
      <c r="P21" s="143" t="s">
        <v>1532</v>
      </c>
    </row>
    <row r="22" spans="3:16" s="144" customFormat="1" ht="19.5" customHeight="1">
      <c r="C22" s="133">
        <v>17</v>
      </c>
      <c r="D22" s="134" t="s">
        <v>2804</v>
      </c>
      <c r="E22" s="228" t="s">
        <v>2805</v>
      </c>
      <c r="F22" s="228" t="s">
        <v>3137</v>
      </c>
      <c r="G22" s="228" t="s">
        <v>2806</v>
      </c>
      <c r="H22" s="228" t="s">
        <v>2823</v>
      </c>
      <c r="I22" s="230"/>
      <c r="J22" s="137"/>
      <c r="K22" s="138" t="s">
        <v>1487</v>
      </c>
      <c r="L22" s="139">
        <f t="shared" si="0"/>
        <v>5.4</v>
      </c>
      <c r="M22" s="140">
        <f t="shared" si="1"/>
        <v>1</v>
      </c>
      <c r="N22" s="141">
        <f t="shared" si="2"/>
        <v>5.4</v>
      </c>
      <c r="O22" s="188" t="s">
        <v>1156</v>
      </c>
      <c r="P22" s="143" t="s">
        <v>1532</v>
      </c>
    </row>
    <row r="23" spans="3:16" s="144" customFormat="1" ht="19.5" customHeight="1">
      <c r="C23" s="133">
        <v>18</v>
      </c>
      <c r="D23" s="134" t="s">
        <v>2804</v>
      </c>
      <c r="E23" s="228" t="s">
        <v>2805</v>
      </c>
      <c r="F23" s="228" t="s">
        <v>3138</v>
      </c>
      <c r="G23" s="228" t="s">
        <v>2806</v>
      </c>
      <c r="H23" s="228" t="s">
        <v>2824</v>
      </c>
      <c r="I23" s="230"/>
      <c r="J23" s="137"/>
      <c r="K23" s="138" t="s">
        <v>1487</v>
      </c>
      <c r="L23" s="139">
        <f t="shared" si="0"/>
        <v>5.4</v>
      </c>
      <c r="M23" s="140">
        <f t="shared" si="1"/>
        <v>1</v>
      </c>
      <c r="N23" s="141">
        <f t="shared" si="2"/>
        <v>5.4</v>
      </c>
      <c r="O23" s="188" t="s">
        <v>1156</v>
      </c>
      <c r="P23" s="143" t="s">
        <v>1532</v>
      </c>
    </row>
    <row r="24" spans="3:16" s="144" customFormat="1" ht="19.5" customHeight="1">
      <c r="C24" s="133">
        <v>19</v>
      </c>
      <c r="D24" s="134" t="s">
        <v>2804</v>
      </c>
      <c r="E24" s="228" t="s">
        <v>2805</v>
      </c>
      <c r="F24" s="228" t="s">
        <v>3139</v>
      </c>
      <c r="G24" s="228" t="s">
        <v>2806</v>
      </c>
      <c r="H24" s="228" t="s">
        <v>2825</v>
      </c>
      <c r="I24" s="230"/>
      <c r="J24" s="137"/>
      <c r="K24" s="138" t="s">
        <v>1163</v>
      </c>
      <c r="L24" s="139">
        <f t="shared" si="0"/>
        <v>4</v>
      </c>
      <c r="M24" s="140">
        <f t="shared" si="1"/>
        <v>1</v>
      </c>
      <c r="N24" s="141">
        <f t="shared" si="2"/>
        <v>4</v>
      </c>
      <c r="O24" s="188" t="s">
        <v>1156</v>
      </c>
      <c r="P24" s="143" t="s">
        <v>1532</v>
      </c>
    </row>
    <row r="25" spans="3:16" s="144" customFormat="1" ht="27">
      <c r="C25" s="133">
        <v>20</v>
      </c>
      <c r="D25" s="134" t="s">
        <v>2804</v>
      </c>
      <c r="E25" s="228" t="s">
        <v>2805</v>
      </c>
      <c r="F25" s="228" t="s">
        <v>3140</v>
      </c>
      <c r="G25" s="228" t="s">
        <v>2826</v>
      </c>
      <c r="H25" s="228" t="s">
        <v>2827</v>
      </c>
      <c r="I25" s="230"/>
      <c r="J25" s="137"/>
      <c r="K25" s="138" t="s">
        <v>1487</v>
      </c>
      <c r="L25" s="139">
        <f t="shared" si="0"/>
        <v>5.4</v>
      </c>
      <c r="M25" s="140">
        <f t="shared" si="1"/>
        <v>1</v>
      </c>
      <c r="N25" s="141">
        <f t="shared" si="2"/>
        <v>5.4</v>
      </c>
      <c r="O25" s="188" t="s">
        <v>1156</v>
      </c>
      <c r="P25" s="143" t="s">
        <v>1532</v>
      </c>
    </row>
    <row r="26" spans="3:16" s="144" customFormat="1" ht="19.5" customHeight="1">
      <c r="C26" s="133">
        <v>21</v>
      </c>
      <c r="D26" s="134" t="s">
        <v>2804</v>
      </c>
      <c r="E26" s="228" t="s">
        <v>2805</v>
      </c>
      <c r="F26" s="228" t="s">
        <v>3141</v>
      </c>
      <c r="G26" s="228" t="s">
        <v>2826</v>
      </c>
      <c r="H26" s="228" t="s">
        <v>2828</v>
      </c>
      <c r="I26" s="230"/>
      <c r="J26" s="137"/>
      <c r="K26" s="138" t="s">
        <v>1155</v>
      </c>
      <c r="L26" s="139">
        <f t="shared" si="0"/>
        <v>7.5</v>
      </c>
      <c r="M26" s="140">
        <f t="shared" si="1"/>
        <v>1</v>
      </c>
      <c r="N26" s="141">
        <f t="shared" si="2"/>
        <v>7.5</v>
      </c>
      <c r="O26" s="188" t="s">
        <v>1156</v>
      </c>
      <c r="P26" s="143" t="s">
        <v>1532</v>
      </c>
    </row>
    <row r="27" spans="3:16" s="144" customFormat="1" ht="19.5" customHeight="1">
      <c r="C27" s="133">
        <v>22</v>
      </c>
      <c r="D27" s="134" t="s">
        <v>2804</v>
      </c>
      <c r="E27" s="228" t="s">
        <v>2805</v>
      </c>
      <c r="F27" s="228" t="s">
        <v>3142</v>
      </c>
      <c r="G27" s="228" t="s">
        <v>2826</v>
      </c>
      <c r="H27" s="228" t="s">
        <v>2829</v>
      </c>
      <c r="I27" s="230"/>
      <c r="J27" s="137"/>
      <c r="K27" s="138" t="s">
        <v>1487</v>
      </c>
      <c r="L27" s="139">
        <f t="shared" si="0"/>
        <v>5.4</v>
      </c>
      <c r="M27" s="140">
        <f t="shared" si="1"/>
        <v>1</v>
      </c>
      <c r="N27" s="141">
        <f t="shared" si="2"/>
        <v>5.4</v>
      </c>
      <c r="O27" s="188" t="s">
        <v>1156</v>
      </c>
      <c r="P27" s="143" t="s">
        <v>1532</v>
      </c>
    </row>
    <row r="28" spans="3:16" s="144" customFormat="1" ht="19.5" customHeight="1">
      <c r="C28" s="133">
        <v>23</v>
      </c>
      <c r="D28" s="134" t="s">
        <v>2804</v>
      </c>
      <c r="E28" s="228" t="s">
        <v>2805</v>
      </c>
      <c r="F28" s="228" t="s">
        <v>3143</v>
      </c>
      <c r="G28" s="228" t="s">
        <v>2826</v>
      </c>
      <c r="H28" s="228" t="s">
        <v>2830</v>
      </c>
      <c r="I28" s="230"/>
      <c r="J28" s="137"/>
      <c r="K28" s="138" t="s">
        <v>1170</v>
      </c>
      <c r="L28" s="139">
        <f t="shared" si="0"/>
        <v>5.2</v>
      </c>
      <c r="M28" s="140">
        <f t="shared" si="1"/>
        <v>1</v>
      </c>
      <c r="N28" s="141">
        <f t="shared" si="2"/>
        <v>5.2</v>
      </c>
      <c r="O28" s="188" t="s">
        <v>1156</v>
      </c>
      <c r="P28" s="143" t="s">
        <v>1532</v>
      </c>
    </row>
    <row r="29" spans="3:16" s="144" customFormat="1" ht="19.5" customHeight="1">
      <c r="C29" s="133">
        <v>24</v>
      </c>
      <c r="D29" s="134" t="s">
        <v>2804</v>
      </c>
      <c r="E29" s="228" t="s">
        <v>2805</v>
      </c>
      <c r="F29" s="228" t="s">
        <v>3144</v>
      </c>
      <c r="G29" s="228" t="s">
        <v>2826</v>
      </c>
      <c r="H29" s="228" t="s">
        <v>2831</v>
      </c>
      <c r="I29" s="230"/>
      <c r="J29" s="137"/>
      <c r="K29" s="138" t="s">
        <v>1170</v>
      </c>
      <c r="L29" s="139">
        <f t="shared" si="0"/>
        <v>5.2</v>
      </c>
      <c r="M29" s="140">
        <f t="shared" si="1"/>
        <v>1</v>
      </c>
      <c r="N29" s="141">
        <f t="shared" si="2"/>
        <v>5.2</v>
      </c>
      <c r="O29" s="188" t="s">
        <v>1156</v>
      </c>
      <c r="P29" s="143" t="s">
        <v>1532</v>
      </c>
    </row>
    <row r="30" spans="3:16" s="144" customFormat="1" ht="19.5" customHeight="1">
      <c r="C30" s="133">
        <v>25</v>
      </c>
      <c r="D30" s="134" t="s">
        <v>2804</v>
      </c>
      <c r="E30" s="228" t="s">
        <v>2805</v>
      </c>
      <c r="F30" s="228" t="s">
        <v>3145</v>
      </c>
      <c r="G30" s="228" t="s">
        <v>2826</v>
      </c>
      <c r="H30" s="228" t="s">
        <v>2832</v>
      </c>
      <c r="I30" s="230"/>
      <c r="J30" s="137"/>
      <c r="K30" s="138" t="s">
        <v>1160</v>
      </c>
      <c r="L30" s="139">
        <f t="shared" si="0"/>
        <v>3.9</v>
      </c>
      <c r="M30" s="140">
        <f t="shared" si="1"/>
        <v>1</v>
      </c>
      <c r="N30" s="141">
        <f t="shared" si="2"/>
        <v>3.9</v>
      </c>
      <c r="O30" s="188" t="s">
        <v>1156</v>
      </c>
      <c r="P30" s="143" t="s">
        <v>1532</v>
      </c>
    </row>
    <row r="31" spans="3:16" s="144" customFormat="1" ht="19.5" customHeight="1">
      <c r="C31" s="133">
        <v>26</v>
      </c>
      <c r="D31" s="134" t="s">
        <v>2804</v>
      </c>
      <c r="E31" s="228" t="s">
        <v>2805</v>
      </c>
      <c r="F31" s="228" t="s">
        <v>3146</v>
      </c>
      <c r="G31" s="228" t="s">
        <v>2826</v>
      </c>
      <c r="H31" s="228" t="s">
        <v>2833</v>
      </c>
      <c r="I31" s="230"/>
      <c r="J31" s="137"/>
      <c r="K31" s="138" t="s">
        <v>1487</v>
      </c>
      <c r="L31" s="139">
        <f t="shared" si="0"/>
        <v>5.4</v>
      </c>
      <c r="M31" s="140">
        <f t="shared" si="1"/>
        <v>1</v>
      </c>
      <c r="N31" s="141">
        <f t="shared" si="2"/>
        <v>5.4</v>
      </c>
      <c r="O31" s="188" t="s">
        <v>1156</v>
      </c>
      <c r="P31" s="143" t="s">
        <v>1532</v>
      </c>
    </row>
    <row r="32" spans="3:16" s="144" customFormat="1" ht="19.5" customHeight="1">
      <c r="C32" s="133">
        <v>27</v>
      </c>
      <c r="D32" s="134" t="s">
        <v>2804</v>
      </c>
      <c r="E32" s="228" t="s">
        <v>2805</v>
      </c>
      <c r="F32" s="228" t="s">
        <v>3147</v>
      </c>
      <c r="G32" s="228" t="s">
        <v>2826</v>
      </c>
      <c r="H32" s="228" t="s">
        <v>2834</v>
      </c>
      <c r="I32" s="230"/>
      <c r="J32" s="137"/>
      <c r="K32" s="138" t="s">
        <v>1487</v>
      </c>
      <c r="L32" s="139">
        <f t="shared" si="0"/>
        <v>5.4</v>
      </c>
      <c r="M32" s="140">
        <f t="shared" si="1"/>
        <v>1</v>
      </c>
      <c r="N32" s="141">
        <f t="shared" si="2"/>
        <v>5.4</v>
      </c>
      <c r="O32" s="188" t="s">
        <v>1156</v>
      </c>
      <c r="P32" s="143" t="s">
        <v>1532</v>
      </c>
    </row>
    <row r="33" spans="3:16" s="144" customFormat="1" ht="19.5" customHeight="1">
      <c r="C33" s="133">
        <v>28</v>
      </c>
      <c r="D33" s="134" t="s">
        <v>2804</v>
      </c>
      <c r="E33" s="228" t="s">
        <v>2805</v>
      </c>
      <c r="F33" s="228" t="s">
        <v>3148</v>
      </c>
      <c r="G33" s="228" t="s">
        <v>2826</v>
      </c>
      <c r="H33" s="228" t="s">
        <v>2835</v>
      </c>
      <c r="I33" s="230"/>
      <c r="J33" s="137"/>
      <c r="K33" s="138" t="s">
        <v>1487</v>
      </c>
      <c r="L33" s="139">
        <f t="shared" si="0"/>
        <v>5.4</v>
      </c>
      <c r="M33" s="140">
        <f t="shared" si="1"/>
        <v>1</v>
      </c>
      <c r="N33" s="141">
        <f t="shared" si="2"/>
        <v>5.4</v>
      </c>
      <c r="O33" s="188" t="s">
        <v>1156</v>
      </c>
      <c r="P33" s="143" t="s">
        <v>1532</v>
      </c>
    </row>
    <row r="34" spans="3:16" s="144" customFormat="1" ht="19.5" customHeight="1">
      <c r="C34" s="133">
        <v>29</v>
      </c>
      <c r="D34" s="134" t="s">
        <v>2804</v>
      </c>
      <c r="E34" s="228" t="s">
        <v>2805</v>
      </c>
      <c r="F34" s="228" t="s">
        <v>3149</v>
      </c>
      <c r="G34" s="228" t="s">
        <v>2826</v>
      </c>
      <c r="H34" s="228" t="s">
        <v>2836</v>
      </c>
      <c r="I34" s="230"/>
      <c r="J34" s="137"/>
      <c r="K34" s="138" t="s">
        <v>1163</v>
      </c>
      <c r="L34" s="139">
        <f t="shared" si="0"/>
        <v>4</v>
      </c>
      <c r="M34" s="140">
        <f t="shared" si="1"/>
        <v>1</v>
      </c>
      <c r="N34" s="141">
        <f t="shared" si="2"/>
        <v>4</v>
      </c>
      <c r="O34" s="188" t="s">
        <v>1156</v>
      </c>
      <c r="P34" s="143" t="s">
        <v>1532</v>
      </c>
    </row>
    <row r="35" spans="3:16" s="144" customFormat="1" ht="19.5" customHeight="1">
      <c r="C35" s="133">
        <v>30</v>
      </c>
      <c r="D35" s="134" t="s">
        <v>2804</v>
      </c>
      <c r="E35" s="228" t="s">
        <v>2805</v>
      </c>
      <c r="F35" s="228" t="s">
        <v>3150</v>
      </c>
      <c r="G35" s="228" t="s">
        <v>2826</v>
      </c>
      <c r="H35" s="228" t="s">
        <v>2837</v>
      </c>
      <c r="I35" s="230"/>
      <c r="J35" s="137"/>
      <c r="K35" s="138" t="s">
        <v>1487</v>
      </c>
      <c r="L35" s="139">
        <f t="shared" si="0"/>
        <v>5.4</v>
      </c>
      <c r="M35" s="140">
        <f t="shared" si="1"/>
        <v>1</v>
      </c>
      <c r="N35" s="141">
        <f t="shared" si="2"/>
        <v>5.4</v>
      </c>
      <c r="O35" s="188" t="s">
        <v>1156</v>
      </c>
      <c r="P35" s="143" t="s">
        <v>1532</v>
      </c>
    </row>
    <row r="36" spans="3:16" s="144" customFormat="1" ht="19.5" customHeight="1">
      <c r="C36" s="133">
        <v>31</v>
      </c>
      <c r="D36" s="134" t="s">
        <v>2804</v>
      </c>
      <c r="E36" s="228" t="s">
        <v>2805</v>
      </c>
      <c r="F36" s="228" t="s">
        <v>3151</v>
      </c>
      <c r="G36" s="228" t="s">
        <v>2826</v>
      </c>
      <c r="H36" s="228" t="s">
        <v>2838</v>
      </c>
      <c r="I36" s="230"/>
      <c r="J36" s="137"/>
      <c r="K36" s="138" t="s">
        <v>1487</v>
      </c>
      <c r="L36" s="139">
        <f t="shared" si="0"/>
        <v>5.4</v>
      </c>
      <c r="M36" s="140">
        <f t="shared" si="1"/>
        <v>1</v>
      </c>
      <c r="N36" s="141">
        <f t="shared" si="2"/>
        <v>5.4</v>
      </c>
      <c r="O36" s="188" t="s">
        <v>1156</v>
      </c>
      <c r="P36" s="143" t="s">
        <v>1532</v>
      </c>
    </row>
    <row r="37" spans="3:16" s="144" customFormat="1" ht="19.5" customHeight="1">
      <c r="C37" s="133">
        <v>32</v>
      </c>
      <c r="D37" s="134" t="s">
        <v>2804</v>
      </c>
      <c r="E37" s="228" t="s">
        <v>2805</v>
      </c>
      <c r="F37" s="228" t="s">
        <v>3152</v>
      </c>
      <c r="G37" s="228" t="s">
        <v>2826</v>
      </c>
      <c r="H37" s="228" t="s">
        <v>2839</v>
      </c>
      <c r="I37" s="230"/>
      <c r="J37" s="137"/>
      <c r="K37" s="138" t="s">
        <v>1487</v>
      </c>
      <c r="L37" s="139">
        <f t="shared" si="0"/>
        <v>5.4</v>
      </c>
      <c r="M37" s="140">
        <f t="shared" si="1"/>
        <v>1</v>
      </c>
      <c r="N37" s="141">
        <f t="shared" si="2"/>
        <v>5.4</v>
      </c>
      <c r="O37" s="188" t="s">
        <v>1156</v>
      </c>
      <c r="P37" s="143" t="s">
        <v>1532</v>
      </c>
    </row>
    <row r="38" spans="3:16" s="144" customFormat="1" ht="19.5" customHeight="1">
      <c r="C38" s="133">
        <v>33</v>
      </c>
      <c r="D38" s="134" t="s">
        <v>2804</v>
      </c>
      <c r="E38" s="228" t="s">
        <v>2805</v>
      </c>
      <c r="F38" s="228" t="s">
        <v>3153</v>
      </c>
      <c r="G38" s="228" t="s">
        <v>2826</v>
      </c>
      <c r="H38" s="228" t="s">
        <v>2840</v>
      </c>
      <c r="I38" s="230"/>
      <c r="J38" s="137"/>
      <c r="K38" s="138" t="s">
        <v>1160</v>
      </c>
      <c r="L38" s="139">
        <f t="shared" si="0"/>
        <v>3.9</v>
      </c>
      <c r="M38" s="140">
        <f t="shared" si="1"/>
        <v>1</v>
      </c>
      <c r="N38" s="141">
        <f t="shared" si="2"/>
        <v>3.9</v>
      </c>
      <c r="O38" s="188" t="s">
        <v>1156</v>
      </c>
      <c r="P38" s="143" t="s">
        <v>1532</v>
      </c>
    </row>
    <row r="39" spans="3:16" s="144" customFormat="1" ht="19.5" customHeight="1">
      <c r="C39" s="133">
        <v>34</v>
      </c>
      <c r="D39" s="134" t="s">
        <v>2804</v>
      </c>
      <c r="E39" s="228" t="s">
        <v>2805</v>
      </c>
      <c r="F39" s="228" t="s">
        <v>3154</v>
      </c>
      <c r="G39" s="228" t="s">
        <v>2826</v>
      </c>
      <c r="H39" s="228" t="s">
        <v>2841</v>
      </c>
      <c r="I39" s="230"/>
      <c r="J39" s="137"/>
      <c r="K39" s="138" t="s">
        <v>1487</v>
      </c>
      <c r="L39" s="139">
        <f t="shared" si="0"/>
        <v>5.4</v>
      </c>
      <c r="M39" s="140">
        <f t="shared" si="1"/>
        <v>1</v>
      </c>
      <c r="N39" s="141">
        <f t="shared" si="2"/>
        <v>5.4</v>
      </c>
      <c r="O39" s="188" t="s">
        <v>1156</v>
      </c>
      <c r="P39" s="143" t="s">
        <v>1532</v>
      </c>
    </row>
    <row r="40" spans="3:16" s="144" customFormat="1" ht="19.5" customHeight="1">
      <c r="C40" s="133">
        <v>35</v>
      </c>
      <c r="D40" s="134" t="s">
        <v>2804</v>
      </c>
      <c r="E40" s="228" t="s">
        <v>2805</v>
      </c>
      <c r="F40" s="228" t="s">
        <v>3155</v>
      </c>
      <c r="G40" s="228" t="s">
        <v>2826</v>
      </c>
      <c r="H40" s="228" t="s">
        <v>2842</v>
      </c>
      <c r="I40" s="230"/>
      <c r="J40" s="137"/>
      <c r="K40" s="138" t="s">
        <v>1487</v>
      </c>
      <c r="L40" s="139">
        <f t="shared" si="0"/>
        <v>5.4</v>
      </c>
      <c r="M40" s="140">
        <f t="shared" si="1"/>
        <v>1</v>
      </c>
      <c r="N40" s="141">
        <f t="shared" si="2"/>
        <v>5.4</v>
      </c>
      <c r="O40" s="188" t="s">
        <v>1156</v>
      </c>
      <c r="P40" s="143" t="s">
        <v>1532</v>
      </c>
    </row>
    <row r="41" spans="3:16" s="144" customFormat="1" ht="19.5" customHeight="1">
      <c r="C41" s="133">
        <v>36</v>
      </c>
      <c r="D41" s="134" t="s">
        <v>2804</v>
      </c>
      <c r="E41" s="228" t="s">
        <v>2805</v>
      </c>
      <c r="F41" s="228" t="s">
        <v>3156</v>
      </c>
      <c r="G41" s="228" t="s">
        <v>2826</v>
      </c>
      <c r="H41" s="228" t="s">
        <v>2843</v>
      </c>
      <c r="I41" s="230"/>
      <c r="J41" s="137"/>
      <c r="K41" s="138" t="s">
        <v>1487</v>
      </c>
      <c r="L41" s="139">
        <f t="shared" si="0"/>
        <v>5.4</v>
      </c>
      <c r="M41" s="140">
        <f t="shared" si="1"/>
        <v>1</v>
      </c>
      <c r="N41" s="141">
        <f t="shared" si="2"/>
        <v>5.4</v>
      </c>
      <c r="O41" s="188" t="s">
        <v>1156</v>
      </c>
      <c r="P41" s="143" t="s">
        <v>1532</v>
      </c>
    </row>
    <row r="42" spans="3:16" s="144" customFormat="1" ht="19.5" customHeight="1">
      <c r="C42" s="133">
        <v>37</v>
      </c>
      <c r="D42" s="134" t="s">
        <v>2804</v>
      </c>
      <c r="E42" s="228" t="s">
        <v>2805</v>
      </c>
      <c r="F42" s="228" t="s">
        <v>3157</v>
      </c>
      <c r="G42" s="228" t="s">
        <v>2826</v>
      </c>
      <c r="H42" s="228" t="s">
        <v>2844</v>
      </c>
      <c r="I42" s="230"/>
      <c r="J42" s="137"/>
      <c r="K42" s="138" t="s">
        <v>1163</v>
      </c>
      <c r="L42" s="139">
        <f t="shared" si="0"/>
        <v>4</v>
      </c>
      <c r="M42" s="140">
        <f t="shared" si="1"/>
        <v>1</v>
      </c>
      <c r="N42" s="141">
        <f t="shared" si="2"/>
        <v>4</v>
      </c>
      <c r="O42" s="188" t="s">
        <v>1156</v>
      </c>
      <c r="P42" s="143" t="s">
        <v>1532</v>
      </c>
    </row>
    <row r="43" spans="3:16" s="144" customFormat="1" ht="19.5" customHeight="1">
      <c r="C43" s="133">
        <v>38</v>
      </c>
      <c r="D43" s="134" t="s">
        <v>2804</v>
      </c>
      <c r="E43" s="228" t="s">
        <v>2805</v>
      </c>
      <c r="F43" s="228" t="s">
        <v>3158</v>
      </c>
      <c r="G43" s="228" t="s">
        <v>2845</v>
      </c>
      <c r="H43" s="228" t="s">
        <v>2846</v>
      </c>
      <c r="I43" s="230"/>
      <c r="J43" s="137"/>
      <c r="K43" s="138" t="s">
        <v>1487</v>
      </c>
      <c r="L43" s="139">
        <f t="shared" si="0"/>
        <v>5.4</v>
      </c>
      <c r="M43" s="140">
        <f t="shared" si="1"/>
        <v>1</v>
      </c>
      <c r="N43" s="141">
        <f t="shared" si="2"/>
        <v>5.4</v>
      </c>
      <c r="O43" s="188" t="s">
        <v>1156</v>
      </c>
      <c r="P43" s="143" t="s">
        <v>1532</v>
      </c>
    </row>
    <row r="44" spans="3:16" s="144" customFormat="1" ht="27">
      <c r="C44" s="133">
        <v>39</v>
      </c>
      <c r="D44" s="134" t="s">
        <v>2804</v>
      </c>
      <c r="E44" s="228" t="s">
        <v>2805</v>
      </c>
      <c r="F44" s="228" t="s">
        <v>3159</v>
      </c>
      <c r="G44" s="228" t="s">
        <v>2845</v>
      </c>
      <c r="H44" s="228" t="s">
        <v>2847</v>
      </c>
      <c r="I44" s="230"/>
      <c r="J44" s="137"/>
      <c r="K44" s="138" t="s">
        <v>1487</v>
      </c>
      <c r="L44" s="139">
        <f t="shared" si="0"/>
        <v>5.4</v>
      </c>
      <c r="M44" s="140">
        <f t="shared" si="1"/>
        <v>1</v>
      </c>
      <c r="N44" s="141">
        <f t="shared" si="2"/>
        <v>5.4</v>
      </c>
      <c r="O44" s="188" t="s">
        <v>1156</v>
      </c>
      <c r="P44" s="143" t="s">
        <v>1532</v>
      </c>
    </row>
    <row r="45" spans="3:16" s="144" customFormat="1" ht="27">
      <c r="C45" s="133">
        <v>40</v>
      </c>
      <c r="D45" s="134" t="s">
        <v>2804</v>
      </c>
      <c r="E45" s="228" t="s">
        <v>2805</v>
      </c>
      <c r="F45" s="228" t="s">
        <v>3160</v>
      </c>
      <c r="G45" s="228" t="s">
        <v>2848</v>
      </c>
      <c r="H45" s="228" t="s">
        <v>2849</v>
      </c>
      <c r="I45" s="230"/>
      <c r="J45" s="137"/>
      <c r="K45" s="138" t="s">
        <v>1487</v>
      </c>
      <c r="L45" s="139">
        <f t="shared" si="0"/>
        <v>5.4</v>
      </c>
      <c r="M45" s="140">
        <f t="shared" si="1"/>
        <v>1</v>
      </c>
      <c r="N45" s="141">
        <f t="shared" si="2"/>
        <v>5.4</v>
      </c>
      <c r="O45" s="188" t="s">
        <v>1156</v>
      </c>
      <c r="P45" s="143" t="s">
        <v>1532</v>
      </c>
    </row>
    <row r="46" spans="3:16" s="144" customFormat="1" ht="27">
      <c r="C46" s="133">
        <v>41</v>
      </c>
      <c r="D46" s="134" t="s">
        <v>2804</v>
      </c>
      <c r="E46" s="228" t="s">
        <v>2805</v>
      </c>
      <c r="F46" s="228" t="s">
        <v>3161</v>
      </c>
      <c r="G46" s="228" t="s">
        <v>2848</v>
      </c>
      <c r="H46" s="228" t="s">
        <v>2850</v>
      </c>
      <c r="I46" s="230"/>
      <c r="J46" s="137"/>
      <c r="K46" s="138" t="s">
        <v>1487</v>
      </c>
      <c r="L46" s="139">
        <f t="shared" si="0"/>
        <v>5.4</v>
      </c>
      <c r="M46" s="140">
        <f t="shared" si="1"/>
        <v>1</v>
      </c>
      <c r="N46" s="141">
        <f t="shared" si="2"/>
        <v>5.4</v>
      </c>
      <c r="O46" s="188" t="s">
        <v>1156</v>
      </c>
      <c r="P46" s="143" t="s">
        <v>1532</v>
      </c>
    </row>
    <row r="47" spans="3:16" s="144" customFormat="1" ht="27">
      <c r="C47" s="133">
        <v>42</v>
      </c>
      <c r="D47" s="134" t="s">
        <v>2804</v>
      </c>
      <c r="E47" s="228" t="s">
        <v>2805</v>
      </c>
      <c r="F47" s="228" t="s">
        <v>3162</v>
      </c>
      <c r="G47" s="228" t="s">
        <v>2848</v>
      </c>
      <c r="H47" s="228" t="s">
        <v>2851</v>
      </c>
      <c r="I47" s="230"/>
      <c r="J47" s="137"/>
      <c r="K47" s="138" t="s">
        <v>1487</v>
      </c>
      <c r="L47" s="139">
        <f t="shared" si="0"/>
        <v>5.4</v>
      </c>
      <c r="M47" s="140">
        <f t="shared" si="1"/>
        <v>1</v>
      </c>
      <c r="N47" s="141">
        <f t="shared" si="2"/>
        <v>5.4</v>
      </c>
      <c r="O47" s="188" t="s">
        <v>1156</v>
      </c>
      <c r="P47" s="143" t="s">
        <v>1532</v>
      </c>
    </row>
    <row r="48" spans="3:16" s="144" customFormat="1" ht="27">
      <c r="C48" s="133">
        <v>43</v>
      </c>
      <c r="D48" s="134" t="s">
        <v>2804</v>
      </c>
      <c r="E48" s="228" t="s">
        <v>2805</v>
      </c>
      <c r="F48" s="228" t="s">
        <v>3163</v>
      </c>
      <c r="G48" s="228" t="s">
        <v>2848</v>
      </c>
      <c r="H48" s="228" t="s">
        <v>2852</v>
      </c>
      <c r="I48" s="230"/>
      <c r="J48" s="137"/>
      <c r="K48" s="138" t="s">
        <v>1163</v>
      </c>
      <c r="L48" s="139">
        <f t="shared" si="0"/>
        <v>4</v>
      </c>
      <c r="M48" s="140">
        <f t="shared" si="1"/>
        <v>1</v>
      </c>
      <c r="N48" s="141">
        <f t="shared" si="2"/>
        <v>4</v>
      </c>
      <c r="O48" s="188" t="s">
        <v>1156</v>
      </c>
      <c r="P48" s="143" t="s">
        <v>1532</v>
      </c>
    </row>
    <row r="49" spans="3:16" s="144" customFormat="1" ht="27">
      <c r="C49" s="133">
        <v>44</v>
      </c>
      <c r="D49" s="134" t="s">
        <v>2804</v>
      </c>
      <c r="E49" s="228" t="s">
        <v>2805</v>
      </c>
      <c r="F49" s="228" t="s">
        <v>3164</v>
      </c>
      <c r="G49" s="228" t="s">
        <v>2848</v>
      </c>
      <c r="H49" s="228" t="s">
        <v>2853</v>
      </c>
      <c r="I49" s="230"/>
      <c r="J49" s="137"/>
      <c r="K49" s="138" t="s">
        <v>1160</v>
      </c>
      <c r="L49" s="139">
        <f t="shared" si="0"/>
        <v>3.9</v>
      </c>
      <c r="M49" s="140">
        <f t="shared" si="1"/>
        <v>1</v>
      </c>
      <c r="N49" s="141">
        <f t="shared" si="2"/>
        <v>3.9</v>
      </c>
      <c r="O49" s="188" t="s">
        <v>1156</v>
      </c>
      <c r="P49" s="143" t="s">
        <v>1532</v>
      </c>
    </row>
    <row r="50" spans="3:16" s="144" customFormat="1" ht="27">
      <c r="C50" s="133">
        <v>45</v>
      </c>
      <c r="D50" s="134" t="s">
        <v>2804</v>
      </c>
      <c r="E50" s="228" t="s">
        <v>2805</v>
      </c>
      <c r="F50" s="228" t="s">
        <v>3165</v>
      </c>
      <c r="G50" s="228" t="s">
        <v>2848</v>
      </c>
      <c r="H50" s="228" t="s">
        <v>2854</v>
      </c>
      <c r="I50" s="230"/>
      <c r="J50" s="137"/>
      <c r="K50" s="138" t="s">
        <v>1487</v>
      </c>
      <c r="L50" s="139">
        <f t="shared" si="0"/>
        <v>5.4</v>
      </c>
      <c r="M50" s="140">
        <f t="shared" si="1"/>
        <v>1</v>
      </c>
      <c r="N50" s="141">
        <f t="shared" si="2"/>
        <v>5.4</v>
      </c>
      <c r="O50" s="188" t="s">
        <v>1156</v>
      </c>
      <c r="P50" s="143" t="s">
        <v>1532</v>
      </c>
    </row>
    <row r="51" spans="3:16" s="144" customFormat="1" ht="27">
      <c r="C51" s="133">
        <v>46</v>
      </c>
      <c r="D51" s="134" t="s">
        <v>2804</v>
      </c>
      <c r="E51" s="228" t="s">
        <v>2805</v>
      </c>
      <c r="F51" s="228" t="s">
        <v>3166</v>
      </c>
      <c r="G51" s="228" t="s">
        <v>2848</v>
      </c>
      <c r="H51" s="228" t="s">
        <v>2855</v>
      </c>
      <c r="I51" s="230"/>
      <c r="J51" s="137"/>
      <c r="K51" s="138" t="s">
        <v>1155</v>
      </c>
      <c r="L51" s="139">
        <f t="shared" si="0"/>
        <v>7.5</v>
      </c>
      <c r="M51" s="140">
        <f t="shared" si="1"/>
        <v>1</v>
      </c>
      <c r="N51" s="141">
        <f t="shared" si="2"/>
        <v>7.5</v>
      </c>
      <c r="O51" s="188" t="s">
        <v>1156</v>
      </c>
      <c r="P51" s="143" t="s">
        <v>1532</v>
      </c>
    </row>
    <row r="52" spans="3:16" s="144" customFormat="1" ht="27">
      <c r="C52" s="133">
        <v>47</v>
      </c>
      <c r="D52" s="134" t="s">
        <v>2804</v>
      </c>
      <c r="E52" s="228" t="s">
        <v>2805</v>
      </c>
      <c r="F52" s="228" t="s">
        <v>3167</v>
      </c>
      <c r="G52" s="228" t="s">
        <v>2848</v>
      </c>
      <c r="H52" s="228" t="s">
        <v>2856</v>
      </c>
      <c r="I52" s="230"/>
      <c r="J52" s="137"/>
      <c r="K52" s="138" t="s">
        <v>1487</v>
      </c>
      <c r="L52" s="139">
        <f t="shared" si="0"/>
        <v>5.4</v>
      </c>
      <c r="M52" s="140">
        <f t="shared" si="1"/>
        <v>1</v>
      </c>
      <c r="N52" s="141">
        <f t="shared" si="2"/>
        <v>5.4</v>
      </c>
      <c r="O52" s="188" t="s">
        <v>1156</v>
      </c>
      <c r="P52" s="143" t="s">
        <v>1532</v>
      </c>
    </row>
    <row r="53" spans="3:16" s="144" customFormat="1" ht="27">
      <c r="C53" s="133">
        <v>48</v>
      </c>
      <c r="D53" s="134" t="s">
        <v>2804</v>
      </c>
      <c r="E53" s="228" t="s">
        <v>2805</v>
      </c>
      <c r="F53" s="228" t="s">
        <v>3168</v>
      </c>
      <c r="G53" s="228" t="s">
        <v>2848</v>
      </c>
      <c r="H53" s="228" t="s">
        <v>2857</v>
      </c>
      <c r="I53" s="230"/>
      <c r="J53" s="137"/>
      <c r="K53" s="138" t="s">
        <v>1163</v>
      </c>
      <c r="L53" s="139">
        <f t="shared" si="0"/>
        <v>4</v>
      </c>
      <c r="M53" s="140">
        <f t="shared" si="1"/>
        <v>1</v>
      </c>
      <c r="N53" s="141">
        <f t="shared" si="2"/>
        <v>4</v>
      </c>
      <c r="O53" s="188" t="s">
        <v>1156</v>
      </c>
      <c r="P53" s="143" t="s">
        <v>1532</v>
      </c>
    </row>
    <row r="54" spans="3:16" s="144" customFormat="1" ht="19.5" customHeight="1">
      <c r="C54" s="133">
        <v>49</v>
      </c>
      <c r="D54" s="134" t="s">
        <v>2804</v>
      </c>
      <c r="E54" s="228" t="s">
        <v>2805</v>
      </c>
      <c r="F54" s="228" t="s">
        <v>3169</v>
      </c>
      <c r="G54" s="228" t="s">
        <v>2858</v>
      </c>
      <c r="H54" s="228" t="s">
        <v>2859</v>
      </c>
      <c r="I54" s="230"/>
      <c r="J54" s="137"/>
      <c r="K54" s="138" t="s">
        <v>1155</v>
      </c>
      <c r="L54" s="139">
        <f t="shared" si="0"/>
        <v>7.5</v>
      </c>
      <c r="M54" s="140">
        <f t="shared" si="1"/>
        <v>1</v>
      </c>
      <c r="N54" s="141">
        <f t="shared" si="2"/>
        <v>7.5</v>
      </c>
      <c r="O54" s="188" t="s">
        <v>1156</v>
      </c>
      <c r="P54" s="143" t="s">
        <v>1532</v>
      </c>
    </row>
    <row r="55" spans="3:16" s="144" customFormat="1" ht="19.5" customHeight="1">
      <c r="C55" s="133">
        <v>50</v>
      </c>
      <c r="D55" s="134" t="s">
        <v>2804</v>
      </c>
      <c r="E55" s="228" t="s">
        <v>2805</v>
      </c>
      <c r="F55" s="228" t="s">
        <v>3170</v>
      </c>
      <c r="G55" s="228" t="s">
        <v>2858</v>
      </c>
      <c r="H55" s="228" t="s">
        <v>2860</v>
      </c>
      <c r="I55" s="230"/>
      <c r="J55" s="137"/>
      <c r="K55" s="138" t="s">
        <v>1487</v>
      </c>
      <c r="L55" s="139">
        <f t="shared" si="0"/>
        <v>5.4</v>
      </c>
      <c r="M55" s="140">
        <f t="shared" si="1"/>
        <v>1</v>
      </c>
      <c r="N55" s="141">
        <f t="shared" si="2"/>
        <v>5.4</v>
      </c>
      <c r="O55" s="188" t="s">
        <v>1156</v>
      </c>
      <c r="P55" s="143" t="s">
        <v>1532</v>
      </c>
    </row>
    <row r="56" spans="3:16" s="144" customFormat="1" ht="19.5" customHeight="1">
      <c r="C56" s="133">
        <v>51</v>
      </c>
      <c r="D56" s="134" t="s">
        <v>2804</v>
      </c>
      <c r="E56" s="228" t="s">
        <v>2805</v>
      </c>
      <c r="F56" s="228" t="s">
        <v>3171</v>
      </c>
      <c r="G56" s="228" t="s">
        <v>2858</v>
      </c>
      <c r="H56" s="228" t="s">
        <v>2861</v>
      </c>
      <c r="I56" s="230"/>
      <c r="J56" s="137"/>
      <c r="K56" s="138" t="s">
        <v>1163</v>
      </c>
      <c r="L56" s="139">
        <f t="shared" si="0"/>
        <v>4</v>
      </c>
      <c r="M56" s="140">
        <f t="shared" si="1"/>
        <v>1</v>
      </c>
      <c r="N56" s="141">
        <f t="shared" si="2"/>
        <v>4</v>
      </c>
      <c r="O56" s="188" t="s">
        <v>1156</v>
      </c>
      <c r="P56" s="143" t="s">
        <v>1532</v>
      </c>
    </row>
    <row r="57" spans="3:16" s="144" customFormat="1" ht="19.5" customHeight="1">
      <c r="C57" s="133">
        <v>52</v>
      </c>
      <c r="D57" s="134" t="s">
        <v>2804</v>
      </c>
      <c r="E57" s="228" t="s">
        <v>2805</v>
      </c>
      <c r="F57" s="228" t="s">
        <v>3172</v>
      </c>
      <c r="G57" s="228" t="s">
        <v>2858</v>
      </c>
      <c r="H57" s="228" t="s">
        <v>2862</v>
      </c>
      <c r="I57" s="230"/>
      <c r="J57" s="137"/>
      <c r="K57" s="138" t="s">
        <v>1487</v>
      </c>
      <c r="L57" s="139">
        <f t="shared" si="0"/>
        <v>5.4</v>
      </c>
      <c r="M57" s="140">
        <f t="shared" si="1"/>
        <v>1</v>
      </c>
      <c r="N57" s="141">
        <f t="shared" si="2"/>
        <v>5.4</v>
      </c>
      <c r="O57" s="188" t="s">
        <v>1156</v>
      </c>
      <c r="P57" s="143" t="s">
        <v>1532</v>
      </c>
    </row>
    <row r="58" spans="3:16" s="144" customFormat="1" ht="19.5" customHeight="1">
      <c r="C58" s="133">
        <v>53</v>
      </c>
      <c r="D58" s="134" t="s">
        <v>2804</v>
      </c>
      <c r="E58" s="228" t="s">
        <v>2805</v>
      </c>
      <c r="F58" s="228" t="s">
        <v>3173</v>
      </c>
      <c r="G58" s="228" t="s">
        <v>2858</v>
      </c>
      <c r="H58" s="228" t="s">
        <v>2863</v>
      </c>
      <c r="I58" s="230"/>
      <c r="J58" s="137"/>
      <c r="K58" s="138" t="s">
        <v>1487</v>
      </c>
      <c r="L58" s="139">
        <f t="shared" si="0"/>
        <v>5.4</v>
      </c>
      <c r="M58" s="140">
        <f t="shared" si="1"/>
        <v>1</v>
      </c>
      <c r="N58" s="141">
        <f t="shared" si="2"/>
        <v>5.4</v>
      </c>
      <c r="O58" s="188" t="s">
        <v>1156</v>
      </c>
      <c r="P58" s="143" t="s">
        <v>1532</v>
      </c>
    </row>
    <row r="59" spans="3:16" s="144" customFormat="1" ht="19.5" customHeight="1">
      <c r="C59" s="133">
        <v>54</v>
      </c>
      <c r="D59" s="134" t="s">
        <v>2804</v>
      </c>
      <c r="E59" s="228" t="s">
        <v>2805</v>
      </c>
      <c r="F59" s="228" t="s">
        <v>3174</v>
      </c>
      <c r="G59" s="228" t="s">
        <v>2858</v>
      </c>
      <c r="H59" s="228" t="s">
        <v>2864</v>
      </c>
      <c r="I59" s="230"/>
      <c r="J59" s="137"/>
      <c r="K59" s="138" t="s">
        <v>1487</v>
      </c>
      <c r="L59" s="139">
        <f t="shared" si="0"/>
        <v>5.4</v>
      </c>
      <c r="M59" s="140">
        <f t="shared" si="1"/>
        <v>1</v>
      </c>
      <c r="N59" s="141">
        <f t="shared" si="2"/>
        <v>5.4</v>
      </c>
      <c r="O59" s="188" t="s">
        <v>1156</v>
      </c>
      <c r="P59" s="143" t="s">
        <v>1532</v>
      </c>
    </row>
    <row r="60" spans="3:16" s="144" customFormat="1" ht="19.5" customHeight="1">
      <c r="C60" s="133">
        <v>55</v>
      </c>
      <c r="D60" s="134" t="s">
        <v>2804</v>
      </c>
      <c r="E60" s="228" t="s">
        <v>2805</v>
      </c>
      <c r="F60" s="228" t="s">
        <v>3175</v>
      </c>
      <c r="G60" s="228" t="s">
        <v>2858</v>
      </c>
      <c r="H60" s="228" t="s">
        <v>2865</v>
      </c>
      <c r="I60" s="230"/>
      <c r="J60" s="137"/>
      <c r="K60" s="138" t="s">
        <v>1163</v>
      </c>
      <c r="L60" s="139">
        <f t="shared" si="0"/>
        <v>4</v>
      </c>
      <c r="M60" s="140">
        <f t="shared" si="1"/>
        <v>1</v>
      </c>
      <c r="N60" s="141">
        <f t="shared" si="2"/>
        <v>4</v>
      </c>
      <c r="O60" s="188" t="s">
        <v>1156</v>
      </c>
      <c r="P60" s="143" t="s">
        <v>1532</v>
      </c>
    </row>
    <row r="61" spans="3:16" s="144" customFormat="1" ht="19.5" customHeight="1">
      <c r="C61" s="133">
        <v>56</v>
      </c>
      <c r="D61" s="134" t="s">
        <v>2804</v>
      </c>
      <c r="E61" s="228" t="s">
        <v>2805</v>
      </c>
      <c r="F61" s="228" t="s">
        <v>3176</v>
      </c>
      <c r="G61" s="228" t="s">
        <v>2858</v>
      </c>
      <c r="H61" s="228" t="s">
        <v>2866</v>
      </c>
      <c r="I61" s="230"/>
      <c r="J61" s="137"/>
      <c r="K61" s="138" t="s">
        <v>1487</v>
      </c>
      <c r="L61" s="139">
        <f t="shared" si="0"/>
        <v>5.4</v>
      </c>
      <c r="M61" s="140">
        <f t="shared" si="1"/>
        <v>1</v>
      </c>
      <c r="N61" s="141">
        <f t="shared" si="2"/>
        <v>5.4</v>
      </c>
      <c r="O61" s="188" t="s">
        <v>1156</v>
      </c>
      <c r="P61" s="143" t="s">
        <v>1532</v>
      </c>
    </row>
    <row r="62" spans="3:16" s="144" customFormat="1" ht="19.5" customHeight="1">
      <c r="C62" s="133">
        <v>57</v>
      </c>
      <c r="D62" s="134" t="s">
        <v>2804</v>
      </c>
      <c r="E62" s="228" t="s">
        <v>2867</v>
      </c>
      <c r="F62" s="228" t="s">
        <v>3177</v>
      </c>
      <c r="G62" s="228" t="s">
        <v>2868</v>
      </c>
      <c r="H62" s="228" t="s">
        <v>2869</v>
      </c>
      <c r="I62" s="230"/>
      <c r="J62" s="137"/>
      <c r="K62" s="138" t="s">
        <v>1487</v>
      </c>
      <c r="L62" s="139">
        <f t="shared" si="0"/>
        <v>5.4</v>
      </c>
      <c r="M62" s="140">
        <f t="shared" si="1"/>
        <v>1</v>
      </c>
      <c r="N62" s="141">
        <f t="shared" si="2"/>
        <v>5.4</v>
      </c>
      <c r="O62" s="188" t="s">
        <v>1156</v>
      </c>
      <c r="P62" s="143" t="s">
        <v>1532</v>
      </c>
    </row>
    <row r="63" spans="3:16" s="144" customFormat="1" ht="19.5" customHeight="1">
      <c r="C63" s="133">
        <v>58</v>
      </c>
      <c r="D63" s="134" t="s">
        <v>2804</v>
      </c>
      <c r="E63" s="228" t="s">
        <v>2867</v>
      </c>
      <c r="F63" s="228" t="s">
        <v>3178</v>
      </c>
      <c r="G63" s="228" t="s">
        <v>2868</v>
      </c>
      <c r="H63" s="228" t="s">
        <v>2870</v>
      </c>
      <c r="I63" s="230"/>
      <c r="J63" s="137"/>
      <c r="K63" s="138" t="s">
        <v>1487</v>
      </c>
      <c r="L63" s="139">
        <f t="shared" si="0"/>
        <v>5.4</v>
      </c>
      <c r="M63" s="140">
        <f t="shared" si="1"/>
        <v>1</v>
      </c>
      <c r="N63" s="141">
        <f t="shared" si="2"/>
        <v>5.4</v>
      </c>
      <c r="O63" s="188" t="s">
        <v>1156</v>
      </c>
      <c r="P63" s="143" t="s">
        <v>1532</v>
      </c>
    </row>
    <row r="64" spans="3:16" s="144" customFormat="1" ht="19.5" customHeight="1">
      <c r="C64" s="133">
        <v>59</v>
      </c>
      <c r="D64" s="134" t="s">
        <v>2804</v>
      </c>
      <c r="E64" s="228" t="s">
        <v>2867</v>
      </c>
      <c r="F64" s="228" t="s">
        <v>3179</v>
      </c>
      <c r="G64" s="228" t="s">
        <v>2868</v>
      </c>
      <c r="H64" s="228" t="s">
        <v>2871</v>
      </c>
      <c r="I64" s="230"/>
      <c r="J64" s="137"/>
      <c r="K64" s="138" t="s">
        <v>1487</v>
      </c>
      <c r="L64" s="139">
        <f t="shared" si="0"/>
        <v>5.4</v>
      </c>
      <c r="M64" s="140">
        <f t="shared" si="1"/>
        <v>1</v>
      </c>
      <c r="N64" s="141">
        <f t="shared" si="2"/>
        <v>5.4</v>
      </c>
      <c r="O64" s="188" t="s">
        <v>1156</v>
      </c>
      <c r="P64" s="143" t="s">
        <v>1532</v>
      </c>
    </row>
    <row r="65" spans="3:16" s="144" customFormat="1" ht="19.5" customHeight="1">
      <c r="C65" s="133">
        <v>60</v>
      </c>
      <c r="D65" s="134" t="s">
        <v>2804</v>
      </c>
      <c r="E65" s="228" t="s">
        <v>2867</v>
      </c>
      <c r="F65" s="228" t="s">
        <v>3180</v>
      </c>
      <c r="G65" s="228" t="s">
        <v>2868</v>
      </c>
      <c r="H65" s="228" t="s">
        <v>2872</v>
      </c>
      <c r="I65" s="230"/>
      <c r="J65" s="137"/>
      <c r="K65" s="138" t="s">
        <v>1487</v>
      </c>
      <c r="L65" s="139">
        <f t="shared" si="0"/>
        <v>5.4</v>
      </c>
      <c r="M65" s="140">
        <f t="shared" si="1"/>
        <v>1</v>
      </c>
      <c r="N65" s="141">
        <f t="shared" si="2"/>
        <v>5.4</v>
      </c>
      <c r="O65" s="188" t="s">
        <v>1156</v>
      </c>
      <c r="P65" s="143" t="s">
        <v>1532</v>
      </c>
    </row>
    <row r="66" spans="3:16" s="144" customFormat="1" ht="19.5" customHeight="1">
      <c r="C66" s="133">
        <v>61</v>
      </c>
      <c r="D66" s="134" t="s">
        <v>2804</v>
      </c>
      <c r="E66" s="228" t="s">
        <v>2867</v>
      </c>
      <c r="F66" s="228" t="s">
        <v>3181</v>
      </c>
      <c r="G66" s="228" t="s">
        <v>2868</v>
      </c>
      <c r="H66" s="228" t="s">
        <v>2873</v>
      </c>
      <c r="I66" s="230"/>
      <c r="J66" s="137"/>
      <c r="K66" s="138" t="s">
        <v>1487</v>
      </c>
      <c r="L66" s="139">
        <f t="shared" si="0"/>
        <v>5.4</v>
      </c>
      <c r="M66" s="140">
        <f t="shared" si="1"/>
        <v>1</v>
      </c>
      <c r="N66" s="141">
        <f t="shared" si="2"/>
        <v>5.4</v>
      </c>
      <c r="O66" s="188" t="s">
        <v>1156</v>
      </c>
      <c r="P66" s="143" t="s">
        <v>1532</v>
      </c>
    </row>
    <row r="67" spans="3:16" s="144" customFormat="1" ht="27">
      <c r="C67" s="133">
        <v>62</v>
      </c>
      <c r="D67" s="134" t="s">
        <v>2804</v>
      </c>
      <c r="E67" s="228" t="s">
        <v>2867</v>
      </c>
      <c r="F67" s="228" t="s">
        <v>3182</v>
      </c>
      <c r="G67" s="228" t="s">
        <v>2874</v>
      </c>
      <c r="H67" s="228" t="s">
        <v>2875</v>
      </c>
      <c r="I67" s="230"/>
      <c r="J67" s="137"/>
      <c r="K67" s="138" t="s">
        <v>1155</v>
      </c>
      <c r="L67" s="139">
        <f t="shared" si="0"/>
        <v>7.5</v>
      </c>
      <c r="M67" s="140">
        <f t="shared" si="1"/>
        <v>1</v>
      </c>
      <c r="N67" s="141">
        <f t="shared" si="2"/>
        <v>7.5</v>
      </c>
      <c r="O67" s="188" t="s">
        <v>1156</v>
      </c>
      <c r="P67" s="143" t="s">
        <v>1532</v>
      </c>
    </row>
    <row r="68" spans="3:16" s="144" customFormat="1" ht="27">
      <c r="C68" s="133">
        <v>63</v>
      </c>
      <c r="D68" s="134" t="s">
        <v>2804</v>
      </c>
      <c r="E68" s="228" t="s">
        <v>2867</v>
      </c>
      <c r="F68" s="228" t="s">
        <v>3183</v>
      </c>
      <c r="G68" s="228" t="s">
        <v>2874</v>
      </c>
      <c r="H68" s="228" t="s">
        <v>2876</v>
      </c>
      <c r="I68" s="230"/>
      <c r="J68" s="137"/>
      <c r="K68" s="138" t="s">
        <v>1487</v>
      </c>
      <c r="L68" s="139">
        <f t="shared" si="0"/>
        <v>5.4</v>
      </c>
      <c r="M68" s="140">
        <f t="shared" si="1"/>
        <v>1</v>
      </c>
      <c r="N68" s="141">
        <f t="shared" si="2"/>
        <v>5.4</v>
      </c>
      <c r="O68" s="188" t="s">
        <v>1156</v>
      </c>
      <c r="P68" s="143" t="s">
        <v>1532</v>
      </c>
    </row>
    <row r="69" spans="3:16" s="144" customFormat="1" ht="27">
      <c r="C69" s="133">
        <v>64</v>
      </c>
      <c r="D69" s="134" t="s">
        <v>2804</v>
      </c>
      <c r="E69" s="228" t="s">
        <v>2867</v>
      </c>
      <c r="F69" s="228" t="s">
        <v>3184</v>
      </c>
      <c r="G69" s="228" t="s">
        <v>2874</v>
      </c>
      <c r="H69" s="228" t="s">
        <v>2877</v>
      </c>
      <c r="I69" s="230"/>
      <c r="J69" s="137"/>
      <c r="K69" s="138" t="s">
        <v>1487</v>
      </c>
      <c r="L69" s="139">
        <f t="shared" si="0"/>
        <v>5.4</v>
      </c>
      <c r="M69" s="140">
        <f t="shared" si="1"/>
        <v>1</v>
      </c>
      <c r="N69" s="141">
        <f t="shared" si="2"/>
        <v>5.4</v>
      </c>
      <c r="O69" s="188" t="s">
        <v>1156</v>
      </c>
      <c r="P69" s="143" t="s">
        <v>1532</v>
      </c>
    </row>
    <row r="70" spans="3:16" s="144" customFormat="1" ht="27">
      <c r="C70" s="133">
        <v>65</v>
      </c>
      <c r="D70" s="134" t="s">
        <v>2804</v>
      </c>
      <c r="E70" s="228" t="s">
        <v>2867</v>
      </c>
      <c r="F70" s="228" t="s">
        <v>3185</v>
      </c>
      <c r="G70" s="228" t="s">
        <v>2874</v>
      </c>
      <c r="H70" s="228" t="s">
        <v>2878</v>
      </c>
      <c r="I70" s="230"/>
      <c r="J70" s="137"/>
      <c r="K70" s="138" t="s">
        <v>1487</v>
      </c>
      <c r="L70" s="139">
        <f t="shared" ref="L70:L133" si="3">IF(K70="","",IF(K70="EI",4,IF(K70="EO",5.2,IF(K70="EQ",3.9,IF(K70="ILF",7.5,IF(K70="EIF",5.4))))))</f>
        <v>5.4</v>
      </c>
      <c r="M70" s="140">
        <f t="shared" ref="M70:M133" si="4">IF(O70="","",IF(O70="신규",1,IF(O70="고도화",1.04,IF(O70="재사용",0.25))))</f>
        <v>1</v>
      </c>
      <c r="N70" s="141">
        <f t="shared" ref="N70:N133" si="5">L70*M70</f>
        <v>5.4</v>
      </c>
      <c r="O70" s="188" t="s">
        <v>1156</v>
      </c>
      <c r="P70" s="143" t="s">
        <v>1532</v>
      </c>
    </row>
    <row r="71" spans="3:16" s="144" customFormat="1" ht="27">
      <c r="C71" s="133">
        <v>66</v>
      </c>
      <c r="D71" s="134" t="s">
        <v>2804</v>
      </c>
      <c r="E71" s="228" t="s">
        <v>2867</v>
      </c>
      <c r="F71" s="228" t="s">
        <v>3186</v>
      </c>
      <c r="G71" s="228" t="s">
        <v>2874</v>
      </c>
      <c r="H71" s="228" t="s">
        <v>2879</v>
      </c>
      <c r="I71" s="230"/>
      <c r="J71" s="137"/>
      <c r="K71" s="138" t="s">
        <v>1163</v>
      </c>
      <c r="L71" s="139">
        <f t="shared" si="3"/>
        <v>4</v>
      </c>
      <c r="M71" s="140">
        <f t="shared" si="4"/>
        <v>1</v>
      </c>
      <c r="N71" s="141">
        <f t="shared" si="5"/>
        <v>4</v>
      </c>
      <c r="O71" s="188" t="s">
        <v>1156</v>
      </c>
      <c r="P71" s="143" t="s">
        <v>1532</v>
      </c>
    </row>
    <row r="72" spans="3:16" s="144" customFormat="1" ht="19.5" customHeight="1">
      <c r="C72" s="147">
        <v>67</v>
      </c>
      <c r="D72" s="142" t="s">
        <v>2804</v>
      </c>
      <c r="E72" s="221" t="s">
        <v>2867</v>
      </c>
      <c r="F72" s="221" t="s">
        <v>3187</v>
      </c>
      <c r="G72" s="221" t="s">
        <v>2880</v>
      </c>
      <c r="H72" s="221" t="s">
        <v>2881</v>
      </c>
      <c r="I72" s="222"/>
      <c r="J72" s="137"/>
      <c r="K72" s="138" t="s">
        <v>1487</v>
      </c>
      <c r="L72" s="139">
        <f t="shared" si="3"/>
        <v>5.4</v>
      </c>
      <c r="M72" s="140">
        <f t="shared" si="4"/>
        <v>1</v>
      </c>
      <c r="N72" s="141">
        <f t="shared" si="5"/>
        <v>5.4</v>
      </c>
      <c r="O72" s="188" t="s">
        <v>1156</v>
      </c>
      <c r="P72" s="143" t="s">
        <v>1532</v>
      </c>
    </row>
    <row r="73" spans="3:16" s="144" customFormat="1" ht="19.5" customHeight="1">
      <c r="C73" s="147">
        <v>68</v>
      </c>
      <c r="D73" s="142" t="s">
        <v>2804</v>
      </c>
      <c r="E73" s="221" t="s">
        <v>2867</v>
      </c>
      <c r="F73" s="221" t="s">
        <v>3188</v>
      </c>
      <c r="G73" s="221" t="s">
        <v>2880</v>
      </c>
      <c r="H73" s="221" t="s">
        <v>2882</v>
      </c>
      <c r="I73" s="222"/>
      <c r="J73" s="137"/>
      <c r="K73" s="138" t="s">
        <v>1487</v>
      </c>
      <c r="L73" s="139">
        <f t="shared" si="3"/>
        <v>5.4</v>
      </c>
      <c r="M73" s="140">
        <f t="shared" si="4"/>
        <v>1</v>
      </c>
      <c r="N73" s="141">
        <f t="shared" si="5"/>
        <v>5.4</v>
      </c>
      <c r="O73" s="188" t="s">
        <v>1156</v>
      </c>
      <c r="P73" s="143" t="s">
        <v>1532</v>
      </c>
    </row>
    <row r="74" spans="3:16" s="144" customFormat="1" ht="19.5" customHeight="1">
      <c r="C74" s="147">
        <v>69</v>
      </c>
      <c r="D74" s="142" t="s">
        <v>2804</v>
      </c>
      <c r="E74" s="221" t="s">
        <v>2867</v>
      </c>
      <c r="F74" s="221" t="s">
        <v>3189</v>
      </c>
      <c r="G74" s="221" t="s">
        <v>2880</v>
      </c>
      <c r="H74" s="221" t="s">
        <v>2883</v>
      </c>
      <c r="I74" s="222"/>
      <c r="J74" s="137"/>
      <c r="K74" s="138" t="s">
        <v>1487</v>
      </c>
      <c r="L74" s="139">
        <f t="shared" si="3"/>
        <v>5.4</v>
      </c>
      <c r="M74" s="140">
        <f t="shared" si="4"/>
        <v>1</v>
      </c>
      <c r="N74" s="141">
        <f t="shared" si="5"/>
        <v>5.4</v>
      </c>
      <c r="O74" s="188" t="s">
        <v>1156</v>
      </c>
      <c r="P74" s="143" t="s">
        <v>1532</v>
      </c>
    </row>
    <row r="75" spans="3:16" s="144" customFormat="1" ht="19.5" customHeight="1">
      <c r="C75" s="147">
        <v>70</v>
      </c>
      <c r="D75" s="142" t="s">
        <v>2804</v>
      </c>
      <c r="E75" s="221" t="s">
        <v>2867</v>
      </c>
      <c r="F75" s="221" t="s">
        <v>3190</v>
      </c>
      <c r="G75" s="221" t="s">
        <v>2880</v>
      </c>
      <c r="H75" s="221" t="s">
        <v>2884</v>
      </c>
      <c r="I75" s="222"/>
      <c r="J75" s="137"/>
      <c r="K75" s="138" t="s">
        <v>1163</v>
      </c>
      <c r="L75" s="139">
        <f t="shared" si="3"/>
        <v>4</v>
      </c>
      <c r="M75" s="140">
        <f t="shared" si="4"/>
        <v>1</v>
      </c>
      <c r="N75" s="141">
        <f t="shared" si="5"/>
        <v>4</v>
      </c>
      <c r="O75" s="188" t="s">
        <v>1156</v>
      </c>
      <c r="P75" s="143" t="s">
        <v>1532</v>
      </c>
    </row>
    <row r="76" spans="3:16" s="144" customFormat="1" ht="19.5" customHeight="1">
      <c r="C76" s="147">
        <v>71</v>
      </c>
      <c r="D76" s="142" t="s">
        <v>2804</v>
      </c>
      <c r="E76" s="221" t="s">
        <v>2867</v>
      </c>
      <c r="F76" s="221" t="s">
        <v>3191</v>
      </c>
      <c r="G76" s="221" t="s">
        <v>2880</v>
      </c>
      <c r="H76" s="221" t="s">
        <v>2885</v>
      </c>
      <c r="I76" s="222"/>
      <c r="J76" s="137"/>
      <c r="K76" s="138" t="s">
        <v>1487</v>
      </c>
      <c r="L76" s="139">
        <f t="shared" si="3"/>
        <v>5.4</v>
      </c>
      <c r="M76" s="140">
        <f t="shared" si="4"/>
        <v>1</v>
      </c>
      <c r="N76" s="141">
        <f t="shared" si="5"/>
        <v>5.4</v>
      </c>
      <c r="O76" s="188" t="s">
        <v>1156</v>
      </c>
      <c r="P76" s="143" t="s">
        <v>1532</v>
      </c>
    </row>
    <row r="77" spans="3:16" s="144" customFormat="1" ht="19.5" customHeight="1">
      <c r="C77" s="133">
        <v>72</v>
      </c>
      <c r="D77" s="134" t="s">
        <v>2804</v>
      </c>
      <c r="E77" s="228" t="s">
        <v>2867</v>
      </c>
      <c r="F77" s="228" t="s">
        <v>3192</v>
      </c>
      <c r="G77" s="228" t="s">
        <v>2886</v>
      </c>
      <c r="H77" s="228" t="s">
        <v>2881</v>
      </c>
      <c r="I77" s="230"/>
      <c r="J77" s="137"/>
      <c r="K77" s="138" t="s">
        <v>1487</v>
      </c>
      <c r="L77" s="139">
        <f t="shared" si="3"/>
        <v>5.4</v>
      </c>
      <c r="M77" s="140">
        <f t="shared" si="4"/>
        <v>1</v>
      </c>
      <c r="N77" s="141">
        <f t="shared" si="5"/>
        <v>5.4</v>
      </c>
      <c r="O77" s="188" t="s">
        <v>1156</v>
      </c>
      <c r="P77" s="143" t="s">
        <v>1532</v>
      </c>
    </row>
    <row r="78" spans="3:16" s="144" customFormat="1" ht="19.5" customHeight="1">
      <c r="C78" s="133">
        <v>73</v>
      </c>
      <c r="D78" s="134" t="s">
        <v>2804</v>
      </c>
      <c r="E78" s="228" t="s">
        <v>2867</v>
      </c>
      <c r="F78" s="228" t="s">
        <v>3193</v>
      </c>
      <c r="G78" s="228" t="s">
        <v>2886</v>
      </c>
      <c r="H78" s="228" t="s">
        <v>2887</v>
      </c>
      <c r="I78" s="230"/>
      <c r="J78" s="137"/>
      <c r="K78" s="138" t="s">
        <v>1487</v>
      </c>
      <c r="L78" s="139">
        <f t="shared" si="3"/>
        <v>5.4</v>
      </c>
      <c r="M78" s="140">
        <f t="shared" si="4"/>
        <v>1</v>
      </c>
      <c r="N78" s="141">
        <f t="shared" si="5"/>
        <v>5.4</v>
      </c>
      <c r="O78" s="188" t="s">
        <v>1156</v>
      </c>
      <c r="P78" s="143" t="s">
        <v>1532</v>
      </c>
    </row>
    <row r="79" spans="3:16" s="144" customFormat="1" ht="19.5" customHeight="1">
      <c r="C79" s="133">
        <v>74</v>
      </c>
      <c r="D79" s="134" t="s">
        <v>2804</v>
      </c>
      <c r="E79" s="228" t="s">
        <v>2867</v>
      </c>
      <c r="F79" s="228" t="s">
        <v>3194</v>
      </c>
      <c r="G79" s="228" t="s">
        <v>2886</v>
      </c>
      <c r="H79" s="228" t="s">
        <v>2888</v>
      </c>
      <c r="I79" s="230"/>
      <c r="J79" s="137"/>
      <c r="K79" s="138" t="s">
        <v>1163</v>
      </c>
      <c r="L79" s="139">
        <f t="shared" si="3"/>
        <v>4</v>
      </c>
      <c r="M79" s="140">
        <f t="shared" si="4"/>
        <v>1</v>
      </c>
      <c r="N79" s="141">
        <f t="shared" si="5"/>
        <v>4</v>
      </c>
      <c r="O79" s="188" t="s">
        <v>1156</v>
      </c>
      <c r="P79" s="143" t="s">
        <v>1532</v>
      </c>
    </row>
    <row r="80" spans="3:16" s="144" customFormat="1" ht="19.5" customHeight="1">
      <c r="C80" s="133">
        <v>75</v>
      </c>
      <c r="D80" s="134" t="s">
        <v>2804</v>
      </c>
      <c r="E80" s="228" t="s">
        <v>2867</v>
      </c>
      <c r="F80" s="228" t="s">
        <v>3195</v>
      </c>
      <c r="G80" s="228" t="s">
        <v>2886</v>
      </c>
      <c r="H80" s="228" t="s">
        <v>2889</v>
      </c>
      <c r="I80" s="230"/>
      <c r="J80" s="137"/>
      <c r="K80" s="138" t="s">
        <v>1163</v>
      </c>
      <c r="L80" s="139">
        <f t="shared" si="3"/>
        <v>4</v>
      </c>
      <c r="M80" s="140">
        <f t="shared" si="4"/>
        <v>1</v>
      </c>
      <c r="N80" s="141">
        <f t="shared" si="5"/>
        <v>4</v>
      </c>
      <c r="O80" s="188" t="s">
        <v>1156</v>
      </c>
      <c r="P80" s="143" t="s">
        <v>1532</v>
      </c>
    </row>
    <row r="81" spans="2:17" s="144" customFormat="1" ht="19.5" customHeight="1">
      <c r="C81" s="133">
        <v>76</v>
      </c>
      <c r="D81" s="134" t="s">
        <v>2804</v>
      </c>
      <c r="E81" s="228" t="s">
        <v>2867</v>
      </c>
      <c r="F81" s="228" t="s">
        <v>3196</v>
      </c>
      <c r="G81" s="228" t="s">
        <v>2886</v>
      </c>
      <c r="H81" s="228" t="s">
        <v>2890</v>
      </c>
      <c r="I81" s="230"/>
      <c r="J81" s="137"/>
      <c r="K81" s="138" t="s">
        <v>1487</v>
      </c>
      <c r="L81" s="139">
        <f t="shared" si="3"/>
        <v>5.4</v>
      </c>
      <c r="M81" s="140">
        <f t="shared" si="4"/>
        <v>1</v>
      </c>
      <c r="N81" s="141">
        <f t="shared" si="5"/>
        <v>5.4</v>
      </c>
      <c r="O81" s="188" t="s">
        <v>1156</v>
      </c>
      <c r="P81" s="143" t="s">
        <v>1532</v>
      </c>
    </row>
    <row r="82" spans="2:17" s="144" customFormat="1" ht="19.5" customHeight="1">
      <c r="C82" s="133">
        <v>77</v>
      </c>
      <c r="D82" s="134" t="s">
        <v>2804</v>
      </c>
      <c r="E82" s="228" t="s">
        <v>2867</v>
      </c>
      <c r="F82" s="228" t="s">
        <v>3197</v>
      </c>
      <c r="G82" s="228" t="s">
        <v>2886</v>
      </c>
      <c r="H82" s="228" t="s">
        <v>2891</v>
      </c>
      <c r="I82" s="230"/>
      <c r="J82" s="137"/>
      <c r="K82" s="138" t="s">
        <v>1163</v>
      </c>
      <c r="L82" s="139">
        <f t="shared" si="3"/>
        <v>4</v>
      </c>
      <c r="M82" s="140">
        <f t="shared" si="4"/>
        <v>1</v>
      </c>
      <c r="N82" s="141">
        <f t="shared" si="5"/>
        <v>4</v>
      </c>
      <c r="O82" s="188" t="s">
        <v>1156</v>
      </c>
      <c r="P82" s="143" t="s">
        <v>1532</v>
      </c>
    </row>
    <row r="83" spans="2:17" s="144" customFormat="1">
      <c r="C83" s="133">
        <v>78</v>
      </c>
      <c r="D83" s="134" t="s">
        <v>2804</v>
      </c>
      <c r="E83" s="228" t="s">
        <v>2867</v>
      </c>
      <c r="F83" s="228" t="s">
        <v>3198</v>
      </c>
      <c r="G83" s="228" t="s">
        <v>2886</v>
      </c>
      <c r="H83" s="228" t="s">
        <v>2892</v>
      </c>
      <c r="I83" s="230"/>
      <c r="J83" s="137"/>
      <c r="K83" s="138" t="s">
        <v>1163</v>
      </c>
      <c r="L83" s="139">
        <f t="shared" si="3"/>
        <v>4</v>
      </c>
      <c r="M83" s="140">
        <f t="shared" si="4"/>
        <v>1</v>
      </c>
      <c r="N83" s="141">
        <f t="shared" si="5"/>
        <v>4</v>
      </c>
      <c r="O83" s="188" t="s">
        <v>1156</v>
      </c>
      <c r="P83" s="143" t="s">
        <v>1532</v>
      </c>
    </row>
    <row r="84" spans="2:17" s="144" customFormat="1" ht="27">
      <c r="B84" s="127" t="s">
        <v>2192</v>
      </c>
      <c r="C84" s="133">
        <v>79</v>
      </c>
      <c r="D84" s="134" t="s">
        <v>2804</v>
      </c>
      <c r="E84" s="181" t="s">
        <v>2893</v>
      </c>
      <c r="F84" s="228" t="s">
        <v>3199</v>
      </c>
      <c r="G84" s="181" t="s">
        <v>2894</v>
      </c>
      <c r="H84" s="181" t="s">
        <v>2895</v>
      </c>
      <c r="I84" s="182" t="s">
        <v>2896</v>
      </c>
      <c r="J84" s="137"/>
      <c r="K84" s="191" t="s">
        <v>1202</v>
      </c>
      <c r="L84" s="139">
        <f t="shared" si="3"/>
        <v>7.5</v>
      </c>
      <c r="M84" s="140">
        <f t="shared" si="4"/>
        <v>1</v>
      </c>
      <c r="N84" s="141">
        <f t="shared" si="5"/>
        <v>7.5</v>
      </c>
      <c r="O84" s="188" t="s">
        <v>1156</v>
      </c>
      <c r="P84" s="260" t="s">
        <v>1780</v>
      </c>
      <c r="Q84" s="264"/>
    </row>
    <row r="85" spans="2:17" s="144" customFormat="1" ht="27">
      <c r="B85" s="127" t="s">
        <v>2192</v>
      </c>
      <c r="C85" s="133">
        <v>80</v>
      </c>
      <c r="D85" s="134" t="s">
        <v>2804</v>
      </c>
      <c r="E85" s="181" t="s">
        <v>2893</v>
      </c>
      <c r="F85" s="228" t="s">
        <v>3200</v>
      </c>
      <c r="G85" s="181" t="s">
        <v>2894</v>
      </c>
      <c r="H85" s="181" t="s">
        <v>2897</v>
      </c>
      <c r="I85" s="182" t="s">
        <v>2898</v>
      </c>
      <c r="J85" s="137"/>
      <c r="K85" s="138" t="s">
        <v>2899</v>
      </c>
      <c r="L85" s="139">
        <f t="shared" si="3"/>
        <v>5.2</v>
      </c>
      <c r="M85" s="140">
        <f t="shared" si="4"/>
        <v>1</v>
      </c>
      <c r="N85" s="141">
        <f t="shared" si="5"/>
        <v>5.2</v>
      </c>
      <c r="O85" s="188" t="s">
        <v>1156</v>
      </c>
      <c r="P85" s="260" t="s">
        <v>1780</v>
      </c>
      <c r="Q85" s="264"/>
    </row>
    <row r="86" spans="2:17" s="144" customFormat="1" ht="27">
      <c r="B86" s="127" t="s">
        <v>2192</v>
      </c>
      <c r="C86" s="133">
        <v>81</v>
      </c>
      <c r="D86" s="134" t="s">
        <v>2804</v>
      </c>
      <c r="E86" s="181" t="s">
        <v>2893</v>
      </c>
      <c r="F86" s="228" t="s">
        <v>3201</v>
      </c>
      <c r="G86" s="181" t="s">
        <v>2894</v>
      </c>
      <c r="H86" s="181" t="s">
        <v>2900</v>
      </c>
      <c r="I86" s="182" t="s">
        <v>2901</v>
      </c>
      <c r="J86" s="137"/>
      <c r="K86" s="138" t="s">
        <v>2899</v>
      </c>
      <c r="L86" s="139">
        <f t="shared" si="3"/>
        <v>5.2</v>
      </c>
      <c r="M86" s="140">
        <f t="shared" si="4"/>
        <v>1</v>
      </c>
      <c r="N86" s="141">
        <f t="shared" si="5"/>
        <v>5.2</v>
      </c>
      <c r="O86" s="188" t="s">
        <v>1156</v>
      </c>
      <c r="P86" s="260" t="s">
        <v>1780</v>
      </c>
      <c r="Q86" s="264"/>
    </row>
    <row r="87" spans="2:17" s="144" customFormat="1" ht="27">
      <c r="B87" s="127" t="s">
        <v>2192</v>
      </c>
      <c r="C87" s="133">
        <v>82</v>
      </c>
      <c r="D87" s="134" t="s">
        <v>2804</v>
      </c>
      <c r="E87" s="181" t="s">
        <v>2893</v>
      </c>
      <c r="F87" s="228" t="s">
        <v>3202</v>
      </c>
      <c r="G87" s="181" t="s">
        <v>2894</v>
      </c>
      <c r="H87" s="181" t="s">
        <v>2902</v>
      </c>
      <c r="I87" s="182" t="s">
        <v>2903</v>
      </c>
      <c r="J87" s="137"/>
      <c r="K87" s="138" t="s">
        <v>1487</v>
      </c>
      <c r="L87" s="139">
        <f t="shared" si="3"/>
        <v>5.4</v>
      </c>
      <c r="M87" s="140">
        <f t="shared" si="4"/>
        <v>1</v>
      </c>
      <c r="N87" s="141">
        <f t="shared" si="5"/>
        <v>5.4</v>
      </c>
      <c r="O87" s="188" t="s">
        <v>1156</v>
      </c>
      <c r="P87" s="260" t="s">
        <v>1780</v>
      </c>
      <c r="Q87" s="264"/>
    </row>
    <row r="88" spans="2:17" s="144" customFormat="1" ht="27">
      <c r="B88" s="127" t="s">
        <v>2192</v>
      </c>
      <c r="C88" s="133">
        <v>83</v>
      </c>
      <c r="D88" s="134" t="s">
        <v>2804</v>
      </c>
      <c r="E88" s="181" t="s">
        <v>2893</v>
      </c>
      <c r="F88" s="228" t="s">
        <v>3203</v>
      </c>
      <c r="G88" s="181" t="s">
        <v>2894</v>
      </c>
      <c r="H88" s="181" t="s">
        <v>2904</v>
      </c>
      <c r="I88" s="182" t="s">
        <v>2905</v>
      </c>
      <c r="J88" s="137"/>
      <c r="K88" s="138" t="s">
        <v>1487</v>
      </c>
      <c r="L88" s="139">
        <f t="shared" si="3"/>
        <v>5.4</v>
      </c>
      <c r="M88" s="140">
        <f t="shared" si="4"/>
        <v>1</v>
      </c>
      <c r="N88" s="141">
        <f t="shared" si="5"/>
        <v>5.4</v>
      </c>
      <c r="O88" s="188" t="s">
        <v>1156</v>
      </c>
      <c r="P88" s="260" t="s">
        <v>1780</v>
      </c>
      <c r="Q88" s="264"/>
    </row>
    <row r="89" spans="2:17" s="144" customFormat="1" ht="27">
      <c r="B89" s="127" t="s">
        <v>2192</v>
      </c>
      <c r="C89" s="133">
        <v>84</v>
      </c>
      <c r="D89" s="134" t="s">
        <v>2804</v>
      </c>
      <c r="E89" s="181" t="s">
        <v>2893</v>
      </c>
      <c r="F89" s="228" t="s">
        <v>3204</v>
      </c>
      <c r="G89" s="181" t="s">
        <v>2894</v>
      </c>
      <c r="H89" s="181" t="s">
        <v>2906</v>
      </c>
      <c r="I89" s="182" t="s">
        <v>2907</v>
      </c>
      <c r="J89" s="137"/>
      <c r="K89" s="138" t="s">
        <v>1487</v>
      </c>
      <c r="L89" s="139">
        <f t="shared" si="3"/>
        <v>5.4</v>
      </c>
      <c r="M89" s="140">
        <f t="shared" si="4"/>
        <v>1</v>
      </c>
      <c r="N89" s="141">
        <f t="shared" si="5"/>
        <v>5.4</v>
      </c>
      <c r="O89" s="188" t="s">
        <v>1156</v>
      </c>
      <c r="P89" s="260" t="s">
        <v>1780</v>
      </c>
      <c r="Q89" s="264"/>
    </row>
    <row r="90" spans="2:17" s="144" customFormat="1" ht="27">
      <c r="B90" s="127" t="s">
        <v>2192</v>
      </c>
      <c r="C90" s="133">
        <v>85</v>
      </c>
      <c r="D90" s="134" t="s">
        <v>2804</v>
      </c>
      <c r="E90" s="181" t="s">
        <v>2893</v>
      </c>
      <c r="F90" s="228" t="s">
        <v>3205</v>
      </c>
      <c r="G90" s="181" t="s">
        <v>2894</v>
      </c>
      <c r="H90" s="181" t="s">
        <v>2908</v>
      </c>
      <c r="I90" s="182" t="s">
        <v>2909</v>
      </c>
      <c r="J90" s="137"/>
      <c r="K90" s="191" t="s">
        <v>1202</v>
      </c>
      <c r="L90" s="139">
        <f t="shared" si="3"/>
        <v>7.5</v>
      </c>
      <c r="M90" s="140">
        <f t="shared" si="4"/>
        <v>1</v>
      </c>
      <c r="N90" s="141">
        <f t="shared" si="5"/>
        <v>7.5</v>
      </c>
      <c r="O90" s="188" t="s">
        <v>1156</v>
      </c>
      <c r="P90" s="260" t="s">
        <v>1780</v>
      </c>
      <c r="Q90" s="264"/>
    </row>
    <row r="91" spans="2:17" s="144" customFormat="1" ht="27">
      <c r="B91" s="127" t="s">
        <v>2192</v>
      </c>
      <c r="C91" s="133">
        <v>86</v>
      </c>
      <c r="D91" s="134" t="s">
        <v>2804</v>
      </c>
      <c r="E91" s="181" t="s">
        <v>2893</v>
      </c>
      <c r="F91" s="228" t="s">
        <v>3206</v>
      </c>
      <c r="G91" s="181" t="s">
        <v>2894</v>
      </c>
      <c r="H91" s="181" t="s">
        <v>2910</v>
      </c>
      <c r="I91" s="182" t="s">
        <v>2911</v>
      </c>
      <c r="J91" s="137"/>
      <c r="K91" s="138" t="s">
        <v>1487</v>
      </c>
      <c r="L91" s="139">
        <f t="shared" si="3"/>
        <v>5.4</v>
      </c>
      <c r="M91" s="140">
        <f t="shared" si="4"/>
        <v>1</v>
      </c>
      <c r="N91" s="141">
        <f t="shared" si="5"/>
        <v>5.4</v>
      </c>
      <c r="O91" s="188" t="s">
        <v>1156</v>
      </c>
      <c r="P91" s="260" t="s">
        <v>1780</v>
      </c>
      <c r="Q91" s="264"/>
    </row>
    <row r="92" spans="2:17" s="144" customFormat="1" ht="27">
      <c r="B92" s="127" t="s">
        <v>2192</v>
      </c>
      <c r="C92" s="133">
        <v>87</v>
      </c>
      <c r="D92" s="134" t="s">
        <v>2804</v>
      </c>
      <c r="E92" s="181" t="s">
        <v>2893</v>
      </c>
      <c r="F92" s="228" t="s">
        <v>3207</v>
      </c>
      <c r="G92" s="181" t="s">
        <v>2894</v>
      </c>
      <c r="H92" s="181" t="s">
        <v>2912</v>
      </c>
      <c r="I92" s="182" t="s">
        <v>2913</v>
      </c>
      <c r="J92" s="137"/>
      <c r="K92" s="138" t="s">
        <v>1487</v>
      </c>
      <c r="L92" s="139">
        <f t="shared" si="3"/>
        <v>5.4</v>
      </c>
      <c r="M92" s="140">
        <f t="shared" si="4"/>
        <v>1</v>
      </c>
      <c r="N92" s="141">
        <f t="shared" si="5"/>
        <v>5.4</v>
      </c>
      <c r="O92" s="188" t="s">
        <v>1156</v>
      </c>
      <c r="P92" s="260" t="s">
        <v>1780</v>
      </c>
      <c r="Q92" s="264"/>
    </row>
    <row r="93" spans="2:17" s="144" customFormat="1">
      <c r="B93" s="127" t="s">
        <v>2192</v>
      </c>
      <c r="C93" s="133">
        <v>88</v>
      </c>
      <c r="D93" s="134" t="s">
        <v>2804</v>
      </c>
      <c r="E93" s="181" t="s">
        <v>2893</v>
      </c>
      <c r="F93" s="228" t="s">
        <v>3208</v>
      </c>
      <c r="G93" s="181" t="s">
        <v>2914</v>
      </c>
      <c r="H93" s="181" t="s">
        <v>2915</v>
      </c>
      <c r="I93" s="182" t="s">
        <v>2916</v>
      </c>
      <c r="J93" s="137"/>
      <c r="K93" s="138" t="s">
        <v>1487</v>
      </c>
      <c r="L93" s="139">
        <f t="shared" si="3"/>
        <v>5.4</v>
      </c>
      <c r="M93" s="140">
        <f t="shared" si="4"/>
        <v>1</v>
      </c>
      <c r="N93" s="141">
        <f t="shared" si="5"/>
        <v>5.4</v>
      </c>
      <c r="O93" s="188" t="s">
        <v>1156</v>
      </c>
      <c r="P93" s="260" t="s">
        <v>1780</v>
      </c>
      <c r="Q93" s="264"/>
    </row>
    <row r="94" spans="2:17" s="144" customFormat="1">
      <c r="B94" s="127" t="s">
        <v>2192</v>
      </c>
      <c r="C94" s="133">
        <v>89</v>
      </c>
      <c r="D94" s="134" t="s">
        <v>2804</v>
      </c>
      <c r="E94" s="181" t="s">
        <v>2893</v>
      </c>
      <c r="F94" s="228" t="s">
        <v>3209</v>
      </c>
      <c r="G94" s="181" t="s">
        <v>2914</v>
      </c>
      <c r="H94" s="181" t="s">
        <v>2917</v>
      </c>
      <c r="I94" s="182" t="s">
        <v>2918</v>
      </c>
      <c r="J94" s="137"/>
      <c r="K94" s="138" t="s">
        <v>1487</v>
      </c>
      <c r="L94" s="139">
        <f t="shared" si="3"/>
        <v>5.4</v>
      </c>
      <c r="M94" s="140">
        <f t="shared" si="4"/>
        <v>1</v>
      </c>
      <c r="N94" s="141">
        <f t="shared" si="5"/>
        <v>5.4</v>
      </c>
      <c r="O94" s="188" t="s">
        <v>1156</v>
      </c>
      <c r="P94" s="260" t="s">
        <v>1780</v>
      </c>
      <c r="Q94" s="264"/>
    </row>
    <row r="95" spans="2:17" s="144" customFormat="1">
      <c r="B95" s="127" t="s">
        <v>2192</v>
      </c>
      <c r="C95" s="133">
        <v>90</v>
      </c>
      <c r="D95" s="134" t="s">
        <v>2804</v>
      </c>
      <c r="E95" s="181" t="s">
        <v>2893</v>
      </c>
      <c r="F95" s="228" t="s">
        <v>3210</v>
      </c>
      <c r="G95" s="181" t="s">
        <v>2914</v>
      </c>
      <c r="H95" s="181" t="s">
        <v>2919</v>
      </c>
      <c r="I95" s="182" t="s">
        <v>2920</v>
      </c>
      <c r="J95" s="137"/>
      <c r="K95" s="138" t="s">
        <v>1487</v>
      </c>
      <c r="L95" s="139">
        <f t="shared" si="3"/>
        <v>5.4</v>
      </c>
      <c r="M95" s="140">
        <f t="shared" si="4"/>
        <v>1</v>
      </c>
      <c r="N95" s="141">
        <f t="shared" si="5"/>
        <v>5.4</v>
      </c>
      <c r="O95" s="188" t="s">
        <v>1156</v>
      </c>
      <c r="P95" s="260" t="s">
        <v>1780</v>
      </c>
      <c r="Q95" s="264"/>
    </row>
    <row r="96" spans="2:17" s="144" customFormat="1" ht="27">
      <c r="B96" s="127" t="s">
        <v>2192</v>
      </c>
      <c r="C96" s="267">
        <v>91</v>
      </c>
      <c r="D96" s="268" t="s">
        <v>2804</v>
      </c>
      <c r="E96" s="269" t="s">
        <v>2893</v>
      </c>
      <c r="F96" s="283" t="s">
        <v>3211</v>
      </c>
      <c r="G96" s="269" t="s">
        <v>2914</v>
      </c>
      <c r="H96" s="269" t="s">
        <v>2921</v>
      </c>
      <c r="I96" s="277" t="s">
        <v>2922</v>
      </c>
      <c r="J96" s="137"/>
      <c r="K96" s="191" t="s">
        <v>1202</v>
      </c>
      <c r="L96" s="139">
        <f t="shared" si="3"/>
        <v>7.5</v>
      </c>
      <c r="M96" s="140">
        <f t="shared" si="4"/>
        <v>1</v>
      </c>
      <c r="N96" s="141">
        <f t="shared" si="5"/>
        <v>7.5</v>
      </c>
      <c r="O96" s="188" t="s">
        <v>1156</v>
      </c>
      <c r="P96" s="260" t="s">
        <v>1780</v>
      </c>
      <c r="Q96" s="264"/>
    </row>
    <row r="97" spans="2:17" s="144" customFormat="1">
      <c r="B97" s="127" t="s">
        <v>2192</v>
      </c>
      <c r="C97" s="133">
        <v>92</v>
      </c>
      <c r="D97" s="134" t="s">
        <v>2804</v>
      </c>
      <c r="E97" s="181" t="s">
        <v>2893</v>
      </c>
      <c r="F97" s="228" t="s">
        <v>3212</v>
      </c>
      <c r="G97" s="181" t="s">
        <v>2923</v>
      </c>
      <c r="H97" s="181" t="s">
        <v>2924</v>
      </c>
      <c r="I97" s="182" t="s">
        <v>2925</v>
      </c>
      <c r="J97" s="137"/>
      <c r="K97" s="191" t="s">
        <v>1202</v>
      </c>
      <c r="L97" s="139">
        <f t="shared" si="3"/>
        <v>7.5</v>
      </c>
      <c r="M97" s="140">
        <f t="shared" si="4"/>
        <v>1</v>
      </c>
      <c r="N97" s="141">
        <f t="shared" si="5"/>
        <v>7.5</v>
      </c>
      <c r="O97" s="188" t="s">
        <v>1156</v>
      </c>
      <c r="P97" s="260" t="s">
        <v>1780</v>
      </c>
      <c r="Q97" s="264"/>
    </row>
    <row r="98" spans="2:17" s="144" customFormat="1" ht="18.600000000000001" customHeight="1">
      <c r="B98" s="127" t="s">
        <v>2192</v>
      </c>
      <c r="C98" s="133">
        <v>93</v>
      </c>
      <c r="D98" s="134" t="s">
        <v>2804</v>
      </c>
      <c r="E98" s="181" t="s">
        <v>2893</v>
      </c>
      <c r="F98" s="228" t="s">
        <v>3213</v>
      </c>
      <c r="G98" s="181" t="s">
        <v>2923</v>
      </c>
      <c r="H98" s="181" t="s">
        <v>2926</v>
      </c>
      <c r="I98" s="182" t="s">
        <v>2927</v>
      </c>
      <c r="J98" s="137"/>
      <c r="K98" s="138" t="s">
        <v>1487</v>
      </c>
      <c r="L98" s="139">
        <f t="shared" si="3"/>
        <v>5.4</v>
      </c>
      <c r="M98" s="140">
        <f t="shared" si="4"/>
        <v>1</v>
      </c>
      <c r="N98" s="141">
        <f t="shared" si="5"/>
        <v>5.4</v>
      </c>
      <c r="O98" s="188" t="s">
        <v>1156</v>
      </c>
      <c r="P98" s="260" t="s">
        <v>1780</v>
      </c>
      <c r="Q98" s="264"/>
    </row>
    <row r="99" spans="2:17" s="144" customFormat="1" ht="18.600000000000001" customHeight="1">
      <c r="B99" s="127" t="s">
        <v>2192</v>
      </c>
      <c r="C99" s="133">
        <v>94</v>
      </c>
      <c r="D99" s="134" t="s">
        <v>2804</v>
      </c>
      <c r="E99" s="181" t="s">
        <v>2893</v>
      </c>
      <c r="F99" s="228" t="s">
        <v>3214</v>
      </c>
      <c r="G99" s="181" t="s">
        <v>2923</v>
      </c>
      <c r="H99" s="181" t="s">
        <v>2928</v>
      </c>
      <c r="I99" s="182" t="s">
        <v>2911</v>
      </c>
      <c r="J99" s="137"/>
      <c r="K99" s="138" t="s">
        <v>1487</v>
      </c>
      <c r="L99" s="139">
        <f t="shared" si="3"/>
        <v>5.4</v>
      </c>
      <c r="M99" s="140">
        <f t="shared" si="4"/>
        <v>1</v>
      </c>
      <c r="N99" s="141">
        <f t="shared" si="5"/>
        <v>5.4</v>
      </c>
      <c r="O99" s="188" t="s">
        <v>1156</v>
      </c>
      <c r="P99" s="260" t="s">
        <v>1780</v>
      </c>
      <c r="Q99" s="264"/>
    </row>
    <row r="100" spans="2:17" s="144" customFormat="1" ht="18.600000000000001" customHeight="1">
      <c r="B100" s="127" t="s">
        <v>2192</v>
      </c>
      <c r="C100" s="133">
        <v>95</v>
      </c>
      <c r="D100" s="134" t="s">
        <v>2804</v>
      </c>
      <c r="E100" s="181" t="s">
        <v>2929</v>
      </c>
      <c r="F100" s="228" t="s">
        <v>3215</v>
      </c>
      <c r="G100" s="181" t="s">
        <v>2930</v>
      </c>
      <c r="H100" s="289" t="s">
        <v>2931</v>
      </c>
      <c r="I100" s="290" t="s">
        <v>2932</v>
      </c>
      <c r="J100" s="257"/>
      <c r="K100" s="138" t="s">
        <v>1155</v>
      </c>
      <c r="L100" s="139">
        <f t="shared" si="3"/>
        <v>7.5</v>
      </c>
      <c r="M100" s="140">
        <f t="shared" si="4"/>
        <v>1</v>
      </c>
      <c r="N100" s="141">
        <f t="shared" si="5"/>
        <v>7.5</v>
      </c>
      <c r="O100" s="188" t="s">
        <v>1156</v>
      </c>
      <c r="P100" s="260" t="s">
        <v>1780</v>
      </c>
      <c r="Q100" s="264"/>
    </row>
    <row r="101" spans="2:17" s="144" customFormat="1">
      <c r="B101" s="127" t="s">
        <v>2192</v>
      </c>
      <c r="C101" s="133">
        <v>96</v>
      </c>
      <c r="D101" s="134" t="s">
        <v>2804</v>
      </c>
      <c r="E101" s="181" t="s">
        <v>2929</v>
      </c>
      <c r="F101" s="228" t="s">
        <v>3216</v>
      </c>
      <c r="G101" s="181" t="s">
        <v>2930</v>
      </c>
      <c r="H101" s="291" t="s">
        <v>2898</v>
      </c>
      <c r="I101" s="182" t="s">
        <v>2933</v>
      </c>
      <c r="J101" s="192"/>
      <c r="K101" s="138" t="s">
        <v>1163</v>
      </c>
      <c r="L101" s="139">
        <f t="shared" si="3"/>
        <v>4</v>
      </c>
      <c r="M101" s="140">
        <f t="shared" si="4"/>
        <v>0.25</v>
      </c>
      <c r="N101" s="141">
        <f t="shared" si="5"/>
        <v>1</v>
      </c>
      <c r="O101" s="188" t="s">
        <v>1776</v>
      </c>
      <c r="P101" s="260" t="s">
        <v>1780</v>
      </c>
      <c r="Q101" s="264"/>
    </row>
    <row r="102" spans="2:17" s="144" customFormat="1">
      <c r="B102" s="127" t="s">
        <v>2192</v>
      </c>
      <c r="C102" s="133">
        <v>97</v>
      </c>
      <c r="D102" s="134" t="s">
        <v>2804</v>
      </c>
      <c r="E102" s="181" t="s">
        <v>2929</v>
      </c>
      <c r="F102" s="228" t="s">
        <v>3217</v>
      </c>
      <c r="G102" s="181" t="s">
        <v>2930</v>
      </c>
      <c r="H102" s="275" t="s">
        <v>2934</v>
      </c>
      <c r="I102" s="292" t="s">
        <v>2935</v>
      </c>
      <c r="J102" s="137"/>
      <c r="K102" s="138" t="s">
        <v>1487</v>
      </c>
      <c r="L102" s="139">
        <f t="shared" si="3"/>
        <v>5.4</v>
      </c>
      <c r="M102" s="140">
        <f t="shared" si="4"/>
        <v>1</v>
      </c>
      <c r="N102" s="141">
        <f t="shared" si="5"/>
        <v>5.4</v>
      </c>
      <c r="O102" s="188" t="s">
        <v>1156</v>
      </c>
      <c r="P102" s="260" t="s">
        <v>1780</v>
      </c>
      <c r="Q102" s="264"/>
    </row>
    <row r="103" spans="2:17" s="144" customFormat="1">
      <c r="B103" s="127" t="s">
        <v>2192</v>
      </c>
      <c r="C103" s="133">
        <v>98</v>
      </c>
      <c r="D103" s="134" t="s">
        <v>2804</v>
      </c>
      <c r="E103" s="181" t="s">
        <v>2929</v>
      </c>
      <c r="F103" s="228" t="s">
        <v>3218</v>
      </c>
      <c r="G103" s="181" t="s">
        <v>2930</v>
      </c>
      <c r="H103" s="181" t="s">
        <v>2936</v>
      </c>
      <c r="I103" s="182" t="s">
        <v>2937</v>
      </c>
      <c r="J103" s="192"/>
      <c r="K103" s="138" t="s">
        <v>1487</v>
      </c>
      <c r="L103" s="139">
        <f t="shared" si="3"/>
        <v>5.4</v>
      </c>
      <c r="M103" s="140">
        <f t="shared" si="4"/>
        <v>0.25</v>
      </c>
      <c r="N103" s="141">
        <f t="shared" si="5"/>
        <v>1.35</v>
      </c>
      <c r="O103" s="188" t="s">
        <v>1776</v>
      </c>
      <c r="P103" s="260" t="s">
        <v>1780</v>
      </c>
      <c r="Q103" s="264"/>
    </row>
    <row r="104" spans="2:17" s="144" customFormat="1" ht="27">
      <c r="B104" s="127" t="s">
        <v>2192</v>
      </c>
      <c r="C104" s="133">
        <v>99</v>
      </c>
      <c r="D104" s="134" t="s">
        <v>2804</v>
      </c>
      <c r="E104" s="181" t="s">
        <v>2929</v>
      </c>
      <c r="F104" s="228" t="s">
        <v>3219</v>
      </c>
      <c r="G104" s="181" t="s">
        <v>2930</v>
      </c>
      <c r="H104" s="181" t="s">
        <v>2938</v>
      </c>
      <c r="I104" s="182" t="s">
        <v>2939</v>
      </c>
      <c r="J104" s="137"/>
      <c r="K104" s="138" t="s">
        <v>1487</v>
      </c>
      <c r="L104" s="139">
        <f t="shared" si="3"/>
        <v>5.4</v>
      </c>
      <c r="M104" s="140">
        <f t="shared" si="4"/>
        <v>1</v>
      </c>
      <c r="N104" s="141">
        <f t="shared" si="5"/>
        <v>5.4</v>
      </c>
      <c r="O104" s="188" t="s">
        <v>1156</v>
      </c>
      <c r="P104" s="260" t="s">
        <v>1780</v>
      </c>
      <c r="Q104" s="264"/>
    </row>
    <row r="105" spans="2:17" s="144" customFormat="1">
      <c r="B105" s="127" t="s">
        <v>2192</v>
      </c>
      <c r="C105" s="133">
        <v>100</v>
      </c>
      <c r="D105" s="134" t="s">
        <v>2804</v>
      </c>
      <c r="E105" s="181" t="s">
        <v>2929</v>
      </c>
      <c r="F105" s="228" t="s">
        <v>3220</v>
      </c>
      <c r="G105" s="181" t="s">
        <v>2930</v>
      </c>
      <c r="H105" s="181" t="s">
        <v>2940</v>
      </c>
      <c r="I105" s="182" t="s">
        <v>2941</v>
      </c>
      <c r="J105" s="192"/>
      <c r="K105" s="152" t="s">
        <v>1236</v>
      </c>
      <c r="L105" s="139">
        <f t="shared" si="3"/>
        <v>5.2</v>
      </c>
      <c r="M105" s="140">
        <f t="shared" si="4"/>
        <v>0.25</v>
      </c>
      <c r="N105" s="141">
        <f t="shared" si="5"/>
        <v>1.3</v>
      </c>
      <c r="O105" s="188" t="s">
        <v>1776</v>
      </c>
      <c r="P105" s="260" t="s">
        <v>1780</v>
      </c>
      <c r="Q105" s="264"/>
    </row>
    <row r="106" spans="2:17" s="144" customFormat="1">
      <c r="B106" s="127" t="s">
        <v>2192</v>
      </c>
      <c r="C106" s="133">
        <v>101</v>
      </c>
      <c r="D106" s="134" t="s">
        <v>2804</v>
      </c>
      <c r="E106" s="181" t="s">
        <v>2929</v>
      </c>
      <c r="F106" s="228" t="s">
        <v>3221</v>
      </c>
      <c r="G106" s="181" t="s">
        <v>2930</v>
      </c>
      <c r="H106" s="181" t="s">
        <v>2942</v>
      </c>
      <c r="I106" s="182" t="s">
        <v>2943</v>
      </c>
      <c r="J106" s="192"/>
      <c r="K106" s="152" t="s">
        <v>1236</v>
      </c>
      <c r="L106" s="139">
        <f t="shared" si="3"/>
        <v>5.2</v>
      </c>
      <c r="M106" s="140">
        <f t="shared" si="4"/>
        <v>0.25</v>
      </c>
      <c r="N106" s="141">
        <f t="shared" si="5"/>
        <v>1.3</v>
      </c>
      <c r="O106" s="188" t="s">
        <v>1776</v>
      </c>
      <c r="P106" s="260" t="s">
        <v>1780</v>
      </c>
      <c r="Q106" s="264"/>
    </row>
    <row r="107" spans="2:17" s="144" customFormat="1" ht="18.600000000000001" customHeight="1">
      <c r="B107" s="127" t="s">
        <v>2192</v>
      </c>
      <c r="C107" s="133">
        <v>102</v>
      </c>
      <c r="D107" s="134" t="s">
        <v>2804</v>
      </c>
      <c r="E107" s="181" t="s">
        <v>2929</v>
      </c>
      <c r="F107" s="228" t="s">
        <v>3222</v>
      </c>
      <c r="G107" s="181" t="s">
        <v>2930</v>
      </c>
      <c r="H107" s="181" t="s">
        <v>2944</v>
      </c>
      <c r="I107" s="182" t="s">
        <v>2945</v>
      </c>
      <c r="J107" s="137"/>
      <c r="K107" s="138" t="s">
        <v>1487</v>
      </c>
      <c r="L107" s="139">
        <f t="shared" si="3"/>
        <v>5.4</v>
      </c>
      <c r="M107" s="140">
        <f t="shared" si="4"/>
        <v>1</v>
      </c>
      <c r="N107" s="141">
        <f t="shared" si="5"/>
        <v>5.4</v>
      </c>
      <c r="O107" s="188" t="s">
        <v>1156</v>
      </c>
      <c r="P107" s="260" t="s">
        <v>1780</v>
      </c>
      <c r="Q107" s="264"/>
    </row>
    <row r="108" spans="2:17" s="144" customFormat="1" ht="18.600000000000001" customHeight="1">
      <c r="B108" s="127" t="s">
        <v>2192</v>
      </c>
      <c r="C108" s="133">
        <v>103</v>
      </c>
      <c r="D108" s="134" t="s">
        <v>2804</v>
      </c>
      <c r="E108" s="181" t="s">
        <v>2929</v>
      </c>
      <c r="F108" s="228" t="s">
        <v>3223</v>
      </c>
      <c r="G108" s="181" t="s">
        <v>2930</v>
      </c>
      <c r="H108" s="181" t="s">
        <v>2946</v>
      </c>
      <c r="I108" s="182" t="s">
        <v>2947</v>
      </c>
      <c r="J108" s="137"/>
      <c r="K108" s="138" t="s">
        <v>1487</v>
      </c>
      <c r="L108" s="139">
        <f t="shared" si="3"/>
        <v>5.4</v>
      </c>
      <c r="M108" s="140">
        <f t="shared" si="4"/>
        <v>1</v>
      </c>
      <c r="N108" s="141">
        <f t="shared" si="5"/>
        <v>5.4</v>
      </c>
      <c r="O108" s="188" t="s">
        <v>1156</v>
      </c>
      <c r="P108" s="260" t="s">
        <v>1780</v>
      </c>
      <c r="Q108" s="264"/>
    </row>
    <row r="109" spans="2:17" s="144" customFormat="1" ht="18.600000000000001" customHeight="1">
      <c r="B109" s="127" t="s">
        <v>2192</v>
      </c>
      <c r="C109" s="133">
        <v>104</v>
      </c>
      <c r="D109" s="134" t="s">
        <v>2804</v>
      </c>
      <c r="E109" s="181" t="s">
        <v>2929</v>
      </c>
      <c r="F109" s="228" t="s">
        <v>3224</v>
      </c>
      <c r="G109" s="181" t="s">
        <v>2930</v>
      </c>
      <c r="H109" s="181" t="s">
        <v>2948</v>
      </c>
      <c r="I109" s="182" t="s">
        <v>2949</v>
      </c>
      <c r="J109" s="137"/>
      <c r="K109" s="138" t="s">
        <v>1487</v>
      </c>
      <c r="L109" s="139">
        <f t="shared" si="3"/>
        <v>5.4</v>
      </c>
      <c r="M109" s="140">
        <f t="shared" si="4"/>
        <v>1</v>
      </c>
      <c r="N109" s="141">
        <f t="shared" si="5"/>
        <v>5.4</v>
      </c>
      <c r="O109" s="188" t="s">
        <v>1156</v>
      </c>
      <c r="P109" s="260" t="s">
        <v>1780</v>
      </c>
      <c r="Q109" s="264"/>
    </row>
    <row r="110" spans="2:17" s="144" customFormat="1" ht="18.600000000000001" customHeight="1">
      <c r="B110" s="127" t="s">
        <v>2192</v>
      </c>
      <c r="C110" s="133">
        <v>105</v>
      </c>
      <c r="D110" s="134" t="s">
        <v>2804</v>
      </c>
      <c r="E110" s="181" t="s">
        <v>2929</v>
      </c>
      <c r="F110" s="228" t="s">
        <v>3225</v>
      </c>
      <c r="G110" s="181" t="s">
        <v>2930</v>
      </c>
      <c r="H110" s="181" t="s">
        <v>2950</v>
      </c>
      <c r="I110" s="182" t="s">
        <v>2951</v>
      </c>
      <c r="J110" s="137"/>
      <c r="K110" s="138" t="s">
        <v>1487</v>
      </c>
      <c r="L110" s="139">
        <f t="shared" si="3"/>
        <v>5.4</v>
      </c>
      <c r="M110" s="140">
        <f t="shared" si="4"/>
        <v>1</v>
      </c>
      <c r="N110" s="141">
        <f t="shared" si="5"/>
        <v>5.4</v>
      </c>
      <c r="O110" s="188" t="s">
        <v>1156</v>
      </c>
      <c r="P110" s="260" t="s">
        <v>1780</v>
      </c>
      <c r="Q110" s="264"/>
    </row>
    <row r="111" spans="2:17" s="144" customFormat="1" ht="18.600000000000001" customHeight="1">
      <c r="B111" s="127" t="s">
        <v>2192</v>
      </c>
      <c r="C111" s="133">
        <v>106</v>
      </c>
      <c r="D111" s="134" t="s">
        <v>2804</v>
      </c>
      <c r="E111" s="181" t="s">
        <v>2929</v>
      </c>
      <c r="F111" s="228" t="s">
        <v>3226</v>
      </c>
      <c r="G111" s="181" t="s">
        <v>2930</v>
      </c>
      <c r="H111" s="181" t="s">
        <v>2952</v>
      </c>
      <c r="I111" s="182" t="s">
        <v>2953</v>
      </c>
      <c r="J111" s="192"/>
      <c r="K111" s="152" t="s">
        <v>1236</v>
      </c>
      <c r="L111" s="139">
        <f t="shared" si="3"/>
        <v>5.2</v>
      </c>
      <c r="M111" s="140">
        <f t="shared" si="4"/>
        <v>0.25</v>
      </c>
      <c r="N111" s="141">
        <f t="shared" si="5"/>
        <v>1.3</v>
      </c>
      <c r="O111" s="188" t="s">
        <v>1776</v>
      </c>
      <c r="P111" s="260" t="s">
        <v>1780</v>
      </c>
      <c r="Q111" s="264"/>
    </row>
    <row r="112" spans="2:17" s="144" customFormat="1" ht="18.600000000000001" customHeight="1">
      <c r="B112" s="127" t="s">
        <v>2192</v>
      </c>
      <c r="C112" s="133">
        <v>107</v>
      </c>
      <c r="D112" s="134" t="s">
        <v>2804</v>
      </c>
      <c r="E112" s="181" t="s">
        <v>2929</v>
      </c>
      <c r="F112" s="228" t="s">
        <v>3227</v>
      </c>
      <c r="G112" s="181" t="s">
        <v>2930</v>
      </c>
      <c r="H112" s="181" t="s">
        <v>2954</v>
      </c>
      <c r="I112" s="182" t="s">
        <v>2955</v>
      </c>
      <c r="J112" s="137"/>
      <c r="K112" s="152" t="s">
        <v>1236</v>
      </c>
      <c r="L112" s="139">
        <f t="shared" si="3"/>
        <v>5.2</v>
      </c>
      <c r="M112" s="140">
        <f t="shared" si="4"/>
        <v>1</v>
      </c>
      <c r="N112" s="141">
        <f t="shared" si="5"/>
        <v>5.2</v>
      </c>
      <c r="O112" s="188" t="s">
        <v>1156</v>
      </c>
      <c r="P112" s="260" t="s">
        <v>1780</v>
      </c>
      <c r="Q112" s="264"/>
    </row>
    <row r="113" spans="2:17" s="144" customFormat="1" ht="27">
      <c r="B113" s="127" t="s">
        <v>2192</v>
      </c>
      <c r="C113" s="133">
        <v>108</v>
      </c>
      <c r="D113" s="134" t="s">
        <v>2804</v>
      </c>
      <c r="E113" s="181" t="s">
        <v>2956</v>
      </c>
      <c r="F113" s="228" t="s">
        <v>3228</v>
      </c>
      <c r="G113" s="181" t="s">
        <v>2957</v>
      </c>
      <c r="H113" s="181" t="s">
        <v>2958</v>
      </c>
      <c r="I113" s="182" t="s">
        <v>2959</v>
      </c>
      <c r="J113" s="137"/>
      <c r="K113" s="138" t="s">
        <v>1155</v>
      </c>
      <c r="L113" s="139">
        <f t="shared" si="3"/>
        <v>7.5</v>
      </c>
      <c r="M113" s="140">
        <f t="shared" si="4"/>
        <v>1</v>
      </c>
      <c r="N113" s="141">
        <f t="shared" si="5"/>
        <v>7.5</v>
      </c>
      <c r="O113" s="188" t="s">
        <v>1156</v>
      </c>
      <c r="P113" s="260" t="s">
        <v>1780</v>
      </c>
      <c r="Q113" s="264"/>
    </row>
    <row r="114" spans="2:17" s="144" customFormat="1" ht="27">
      <c r="B114" s="127" t="s">
        <v>2192</v>
      </c>
      <c r="C114" s="133">
        <v>109</v>
      </c>
      <c r="D114" s="134" t="s">
        <v>2804</v>
      </c>
      <c r="E114" s="181" t="s">
        <v>2956</v>
      </c>
      <c r="F114" s="228" t="s">
        <v>3229</v>
      </c>
      <c r="G114" s="181" t="s">
        <v>2957</v>
      </c>
      <c r="H114" s="181" t="s">
        <v>2898</v>
      </c>
      <c r="I114" s="182" t="s">
        <v>2960</v>
      </c>
      <c r="J114" s="137"/>
      <c r="K114" s="138" t="s">
        <v>1163</v>
      </c>
      <c r="L114" s="139">
        <f t="shared" si="3"/>
        <v>4</v>
      </c>
      <c r="M114" s="140">
        <f t="shared" si="4"/>
        <v>0.25</v>
      </c>
      <c r="N114" s="141">
        <f t="shared" si="5"/>
        <v>1</v>
      </c>
      <c r="O114" s="188" t="s">
        <v>1776</v>
      </c>
      <c r="P114" s="260" t="s">
        <v>1780</v>
      </c>
      <c r="Q114" s="264"/>
    </row>
    <row r="115" spans="2:17" s="144" customFormat="1" ht="27">
      <c r="B115" s="127" t="s">
        <v>2192</v>
      </c>
      <c r="C115" s="133">
        <v>110</v>
      </c>
      <c r="D115" s="134" t="s">
        <v>2804</v>
      </c>
      <c r="E115" s="181" t="s">
        <v>2956</v>
      </c>
      <c r="F115" s="228" t="s">
        <v>3230</v>
      </c>
      <c r="G115" s="181" t="s">
        <v>2957</v>
      </c>
      <c r="H115" s="181" t="s">
        <v>2961</v>
      </c>
      <c r="I115" s="182" t="s">
        <v>2962</v>
      </c>
      <c r="J115" s="137"/>
      <c r="K115" s="152" t="s">
        <v>1236</v>
      </c>
      <c r="L115" s="139">
        <f t="shared" si="3"/>
        <v>5.2</v>
      </c>
      <c r="M115" s="140">
        <f t="shared" si="4"/>
        <v>0.25</v>
      </c>
      <c r="N115" s="141">
        <f t="shared" si="5"/>
        <v>1.3</v>
      </c>
      <c r="O115" s="188" t="s">
        <v>1776</v>
      </c>
      <c r="P115" s="260" t="s">
        <v>1780</v>
      </c>
      <c r="Q115" s="264"/>
    </row>
    <row r="116" spans="2:17" s="144" customFormat="1" ht="27">
      <c r="B116" s="127" t="s">
        <v>2192</v>
      </c>
      <c r="C116" s="133">
        <v>111</v>
      </c>
      <c r="D116" s="134" t="s">
        <v>2804</v>
      </c>
      <c r="E116" s="181" t="s">
        <v>2956</v>
      </c>
      <c r="F116" s="228" t="s">
        <v>3231</v>
      </c>
      <c r="G116" s="181" t="s">
        <v>2957</v>
      </c>
      <c r="H116" s="181" t="s">
        <v>2963</v>
      </c>
      <c r="I116" s="182" t="s">
        <v>2964</v>
      </c>
      <c r="J116" s="137"/>
      <c r="K116" s="152" t="s">
        <v>1236</v>
      </c>
      <c r="L116" s="139">
        <f t="shared" si="3"/>
        <v>5.2</v>
      </c>
      <c r="M116" s="140">
        <f t="shared" si="4"/>
        <v>1</v>
      </c>
      <c r="N116" s="141">
        <f t="shared" si="5"/>
        <v>5.2</v>
      </c>
      <c r="O116" s="188" t="s">
        <v>1156</v>
      </c>
      <c r="P116" s="260" t="s">
        <v>1780</v>
      </c>
      <c r="Q116" s="264"/>
    </row>
    <row r="117" spans="2:17" s="144" customFormat="1" ht="27">
      <c r="B117" s="127" t="s">
        <v>2192</v>
      </c>
      <c r="C117" s="133">
        <v>112</v>
      </c>
      <c r="D117" s="134" t="s">
        <v>2804</v>
      </c>
      <c r="E117" s="181" t="s">
        <v>2956</v>
      </c>
      <c r="F117" s="228" t="s">
        <v>3232</v>
      </c>
      <c r="G117" s="181" t="s">
        <v>2957</v>
      </c>
      <c r="H117" s="181" t="s">
        <v>2965</v>
      </c>
      <c r="I117" s="182" t="s">
        <v>2966</v>
      </c>
      <c r="J117" s="137"/>
      <c r="K117" s="138" t="s">
        <v>1487</v>
      </c>
      <c r="L117" s="139">
        <f t="shared" si="3"/>
        <v>5.4</v>
      </c>
      <c r="M117" s="140">
        <f t="shared" si="4"/>
        <v>1</v>
      </c>
      <c r="N117" s="141">
        <f t="shared" si="5"/>
        <v>5.4</v>
      </c>
      <c r="O117" s="188" t="s">
        <v>1156</v>
      </c>
      <c r="P117" s="260" t="s">
        <v>1780</v>
      </c>
      <c r="Q117" s="264"/>
    </row>
    <row r="118" spans="2:17" s="144" customFormat="1" ht="27">
      <c r="B118" s="127" t="s">
        <v>2192</v>
      </c>
      <c r="C118" s="133">
        <v>113</v>
      </c>
      <c r="D118" s="134" t="s">
        <v>2804</v>
      </c>
      <c r="E118" s="181" t="s">
        <v>2956</v>
      </c>
      <c r="F118" s="228" t="s">
        <v>3233</v>
      </c>
      <c r="G118" s="181" t="s">
        <v>2957</v>
      </c>
      <c r="H118" s="181" t="s">
        <v>2967</v>
      </c>
      <c r="I118" s="182" t="s">
        <v>2968</v>
      </c>
      <c r="J118" s="137"/>
      <c r="K118" s="152" t="s">
        <v>1236</v>
      </c>
      <c r="L118" s="139">
        <f t="shared" si="3"/>
        <v>5.2</v>
      </c>
      <c r="M118" s="140">
        <f t="shared" si="4"/>
        <v>1</v>
      </c>
      <c r="N118" s="141">
        <f t="shared" si="5"/>
        <v>5.2</v>
      </c>
      <c r="O118" s="188" t="s">
        <v>1156</v>
      </c>
      <c r="P118" s="260" t="s">
        <v>1780</v>
      </c>
      <c r="Q118" s="264"/>
    </row>
    <row r="119" spans="2:17" s="144" customFormat="1" ht="40.5">
      <c r="B119" s="127" t="s">
        <v>2192</v>
      </c>
      <c r="C119" s="133">
        <v>114</v>
      </c>
      <c r="D119" s="134" t="s">
        <v>2804</v>
      </c>
      <c r="E119" s="181" t="s">
        <v>2956</v>
      </c>
      <c r="F119" s="228" t="s">
        <v>3234</v>
      </c>
      <c r="G119" s="181" t="s">
        <v>2957</v>
      </c>
      <c r="H119" s="181" t="s">
        <v>2969</v>
      </c>
      <c r="I119" s="182" t="s">
        <v>2970</v>
      </c>
      <c r="J119" s="137"/>
      <c r="K119" s="138" t="s">
        <v>1487</v>
      </c>
      <c r="L119" s="139">
        <f t="shared" si="3"/>
        <v>5.4</v>
      </c>
      <c r="M119" s="140">
        <f t="shared" si="4"/>
        <v>1</v>
      </c>
      <c r="N119" s="141">
        <f t="shared" si="5"/>
        <v>5.4</v>
      </c>
      <c r="O119" s="188" t="s">
        <v>1156</v>
      </c>
      <c r="P119" s="260" t="s">
        <v>1780</v>
      </c>
      <c r="Q119" s="264"/>
    </row>
    <row r="120" spans="2:17" s="144" customFormat="1" ht="27">
      <c r="B120" s="127" t="s">
        <v>2192</v>
      </c>
      <c r="C120" s="133">
        <v>115</v>
      </c>
      <c r="D120" s="134" t="s">
        <v>2804</v>
      </c>
      <c r="E120" s="181" t="s">
        <v>2956</v>
      </c>
      <c r="F120" s="228" t="s">
        <v>3235</v>
      </c>
      <c r="G120" s="181" t="s">
        <v>2957</v>
      </c>
      <c r="H120" s="181" t="s">
        <v>2971</v>
      </c>
      <c r="I120" s="182" t="s">
        <v>2972</v>
      </c>
      <c r="J120" s="137"/>
      <c r="K120" s="152" t="s">
        <v>1236</v>
      </c>
      <c r="L120" s="139">
        <f t="shared" si="3"/>
        <v>5.2</v>
      </c>
      <c r="M120" s="140">
        <f t="shared" si="4"/>
        <v>1</v>
      </c>
      <c r="N120" s="141">
        <f t="shared" si="5"/>
        <v>5.2</v>
      </c>
      <c r="O120" s="188" t="s">
        <v>1156</v>
      </c>
      <c r="P120" s="260" t="s">
        <v>1780</v>
      </c>
      <c r="Q120" s="264"/>
    </row>
    <row r="121" spans="2:17" s="144" customFormat="1" ht="27">
      <c r="B121" s="127" t="s">
        <v>2192</v>
      </c>
      <c r="C121" s="133">
        <v>116</v>
      </c>
      <c r="D121" s="134" t="s">
        <v>2804</v>
      </c>
      <c r="E121" s="181" t="s">
        <v>2956</v>
      </c>
      <c r="F121" s="228" t="s">
        <v>3236</v>
      </c>
      <c r="G121" s="181" t="s">
        <v>2957</v>
      </c>
      <c r="H121" s="275" t="s">
        <v>2973</v>
      </c>
      <c r="I121" s="182" t="s">
        <v>2974</v>
      </c>
      <c r="J121" s="137"/>
      <c r="K121" s="138" t="s">
        <v>1487</v>
      </c>
      <c r="L121" s="139">
        <f t="shared" si="3"/>
        <v>5.4</v>
      </c>
      <c r="M121" s="140">
        <f t="shared" si="4"/>
        <v>1</v>
      </c>
      <c r="N121" s="141">
        <f t="shared" si="5"/>
        <v>5.4</v>
      </c>
      <c r="O121" s="188" t="s">
        <v>1156</v>
      </c>
      <c r="P121" s="260" t="s">
        <v>1780</v>
      </c>
      <c r="Q121" s="264"/>
    </row>
    <row r="122" spans="2:17" s="144" customFormat="1" ht="27">
      <c r="B122" s="127" t="s">
        <v>2192</v>
      </c>
      <c r="C122" s="133">
        <v>117</v>
      </c>
      <c r="D122" s="134" t="s">
        <v>2804</v>
      </c>
      <c r="E122" s="181" t="s">
        <v>2956</v>
      </c>
      <c r="F122" s="228" t="s">
        <v>3237</v>
      </c>
      <c r="G122" s="181" t="s">
        <v>2957</v>
      </c>
      <c r="H122" s="181" t="s">
        <v>2975</v>
      </c>
      <c r="I122" s="182" t="s">
        <v>2976</v>
      </c>
      <c r="J122" s="137"/>
      <c r="K122" s="152" t="s">
        <v>1236</v>
      </c>
      <c r="L122" s="139">
        <f t="shared" si="3"/>
        <v>5.2</v>
      </c>
      <c r="M122" s="140">
        <f t="shared" si="4"/>
        <v>1</v>
      </c>
      <c r="N122" s="141">
        <f t="shared" si="5"/>
        <v>5.2</v>
      </c>
      <c r="O122" s="188" t="s">
        <v>1156</v>
      </c>
      <c r="P122" s="260" t="s">
        <v>1780</v>
      </c>
      <c r="Q122" s="264"/>
    </row>
    <row r="123" spans="2:17" s="144" customFormat="1" ht="27">
      <c r="B123" s="127" t="s">
        <v>2192</v>
      </c>
      <c r="C123" s="133">
        <v>118</v>
      </c>
      <c r="D123" s="134" t="s">
        <v>2804</v>
      </c>
      <c r="E123" s="181" t="s">
        <v>2956</v>
      </c>
      <c r="F123" s="228" t="s">
        <v>3238</v>
      </c>
      <c r="G123" s="181" t="s">
        <v>2957</v>
      </c>
      <c r="H123" s="181" t="s">
        <v>2977</v>
      </c>
      <c r="I123" s="182" t="s">
        <v>2978</v>
      </c>
      <c r="J123" s="137"/>
      <c r="K123" s="152" t="s">
        <v>1236</v>
      </c>
      <c r="L123" s="139">
        <f t="shared" si="3"/>
        <v>5.2</v>
      </c>
      <c r="M123" s="140">
        <f t="shared" si="4"/>
        <v>1</v>
      </c>
      <c r="N123" s="141">
        <f t="shared" si="5"/>
        <v>5.2</v>
      </c>
      <c r="O123" s="188" t="s">
        <v>1156</v>
      </c>
      <c r="P123" s="260" t="s">
        <v>1780</v>
      </c>
      <c r="Q123" s="264"/>
    </row>
    <row r="124" spans="2:17" s="144" customFormat="1" ht="27">
      <c r="B124" s="127" t="s">
        <v>2192</v>
      </c>
      <c r="C124" s="133">
        <v>119</v>
      </c>
      <c r="D124" s="134" t="s">
        <v>2804</v>
      </c>
      <c r="E124" s="181" t="s">
        <v>2956</v>
      </c>
      <c r="F124" s="228" t="s">
        <v>3239</v>
      </c>
      <c r="G124" s="181" t="s">
        <v>2957</v>
      </c>
      <c r="H124" s="181" t="s">
        <v>2979</v>
      </c>
      <c r="I124" s="182" t="s">
        <v>2980</v>
      </c>
      <c r="J124" s="137"/>
      <c r="K124" s="152" t="s">
        <v>1236</v>
      </c>
      <c r="L124" s="139">
        <f t="shared" si="3"/>
        <v>5.2</v>
      </c>
      <c r="M124" s="140">
        <f t="shared" si="4"/>
        <v>1</v>
      </c>
      <c r="N124" s="141">
        <f t="shared" si="5"/>
        <v>5.2</v>
      </c>
      <c r="O124" s="188" t="s">
        <v>1156</v>
      </c>
      <c r="P124" s="260" t="s">
        <v>1780</v>
      </c>
      <c r="Q124" s="264"/>
    </row>
    <row r="125" spans="2:17" s="144" customFormat="1" ht="27">
      <c r="B125" s="127" t="s">
        <v>2192</v>
      </c>
      <c r="C125" s="133">
        <v>120</v>
      </c>
      <c r="D125" s="134" t="s">
        <v>2804</v>
      </c>
      <c r="E125" s="181" t="s">
        <v>2956</v>
      </c>
      <c r="F125" s="228" t="s">
        <v>3240</v>
      </c>
      <c r="G125" s="181" t="s">
        <v>2957</v>
      </c>
      <c r="H125" s="181" t="s">
        <v>2981</v>
      </c>
      <c r="I125" s="182" t="s">
        <v>2982</v>
      </c>
      <c r="J125" s="137"/>
      <c r="K125" s="152" t="s">
        <v>1236</v>
      </c>
      <c r="L125" s="139">
        <f t="shared" si="3"/>
        <v>5.2</v>
      </c>
      <c r="M125" s="140">
        <f t="shared" si="4"/>
        <v>1</v>
      </c>
      <c r="N125" s="141">
        <f t="shared" si="5"/>
        <v>5.2</v>
      </c>
      <c r="O125" s="188" t="s">
        <v>1156</v>
      </c>
      <c r="P125" s="260" t="s">
        <v>1780</v>
      </c>
      <c r="Q125" s="264"/>
    </row>
    <row r="126" spans="2:17" s="144" customFormat="1" ht="27">
      <c r="B126" s="127" t="s">
        <v>2192</v>
      </c>
      <c r="C126" s="133">
        <v>121</v>
      </c>
      <c r="D126" s="134" t="s">
        <v>2804</v>
      </c>
      <c r="E126" s="181" t="s">
        <v>2956</v>
      </c>
      <c r="F126" s="228" t="s">
        <v>3241</v>
      </c>
      <c r="G126" s="181" t="s">
        <v>2983</v>
      </c>
      <c r="H126" s="181" t="s">
        <v>2984</v>
      </c>
      <c r="I126" s="182" t="s">
        <v>2985</v>
      </c>
      <c r="J126" s="137"/>
      <c r="K126" s="152" t="s">
        <v>1236</v>
      </c>
      <c r="L126" s="139">
        <f t="shared" si="3"/>
        <v>5.2</v>
      </c>
      <c r="M126" s="140">
        <f t="shared" si="4"/>
        <v>1</v>
      </c>
      <c r="N126" s="141">
        <f t="shared" si="5"/>
        <v>5.2</v>
      </c>
      <c r="O126" s="188" t="s">
        <v>1156</v>
      </c>
      <c r="P126" s="260" t="s">
        <v>1780</v>
      </c>
      <c r="Q126" s="264"/>
    </row>
    <row r="127" spans="2:17" s="144" customFormat="1" ht="27">
      <c r="B127" s="127" t="s">
        <v>2192</v>
      </c>
      <c r="C127" s="133">
        <v>122</v>
      </c>
      <c r="D127" s="134" t="s">
        <v>2804</v>
      </c>
      <c r="E127" s="181" t="s">
        <v>2956</v>
      </c>
      <c r="F127" s="228" t="s">
        <v>3242</v>
      </c>
      <c r="G127" s="181" t="s">
        <v>2983</v>
      </c>
      <c r="H127" s="181" t="s">
        <v>2986</v>
      </c>
      <c r="I127" s="182" t="s">
        <v>2987</v>
      </c>
      <c r="J127" s="137"/>
      <c r="K127" s="138" t="s">
        <v>1487</v>
      </c>
      <c r="L127" s="139">
        <f t="shared" si="3"/>
        <v>5.4</v>
      </c>
      <c r="M127" s="140">
        <f t="shared" si="4"/>
        <v>1</v>
      </c>
      <c r="N127" s="141">
        <f t="shared" si="5"/>
        <v>5.4</v>
      </c>
      <c r="O127" s="188" t="s">
        <v>1156</v>
      </c>
      <c r="P127" s="260" t="s">
        <v>1780</v>
      </c>
      <c r="Q127" s="264"/>
    </row>
    <row r="128" spans="2:17" s="144" customFormat="1" ht="27">
      <c r="B128" s="127" t="s">
        <v>2192</v>
      </c>
      <c r="C128" s="133">
        <v>123</v>
      </c>
      <c r="D128" s="134" t="s">
        <v>2804</v>
      </c>
      <c r="E128" s="181" t="s">
        <v>2956</v>
      </c>
      <c r="F128" s="228" t="s">
        <v>3243</v>
      </c>
      <c r="G128" s="181" t="s">
        <v>2983</v>
      </c>
      <c r="H128" s="181" t="s">
        <v>2988</v>
      </c>
      <c r="I128" s="182" t="s">
        <v>2989</v>
      </c>
      <c r="J128" s="137"/>
      <c r="K128" s="152" t="s">
        <v>1236</v>
      </c>
      <c r="L128" s="139">
        <f t="shared" si="3"/>
        <v>5.2</v>
      </c>
      <c r="M128" s="140">
        <f t="shared" si="4"/>
        <v>1</v>
      </c>
      <c r="N128" s="141">
        <f t="shared" si="5"/>
        <v>5.2</v>
      </c>
      <c r="O128" s="188" t="s">
        <v>1156</v>
      </c>
      <c r="P128" s="260" t="s">
        <v>1780</v>
      </c>
      <c r="Q128" s="264"/>
    </row>
    <row r="129" spans="2:17" s="144" customFormat="1" ht="27">
      <c r="B129" s="127" t="s">
        <v>2192</v>
      </c>
      <c r="C129" s="133">
        <v>124</v>
      </c>
      <c r="D129" s="134" t="s">
        <v>2804</v>
      </c>
      <c r="E129" s="181" t="s">
        <v>2956</v>
      </c>
      <c r="F129" s="228" t="s">
        <v>3244</v>
      </c>
      <c r="G129" s="181" t="s">
        <v>2983</v>
      </c>
      <c r="H129" s="181" t="s">
        <v>2990</v>
      </c>
      <c r="I129" s="182" t="s">
        <v>2991</v>
      </c>
      <c r="J129" s="137"/>
      <c r="K129" s="138" t="s">
        <v>1487</v>
      </c>
      <c r="L129" s="139">
        <f t="shared" si="3"/>
        <v>5.4</v>
      </c>
      <c r="M129" s="140">
        <f t="shared" si="4"/>
        <v>1</v>
      </c>
      <c r="N129" s="141">
        <f t="shared" si="5"/>
        <v>5.4</v>
      </c>
      <c r="O129" s="188" t="s">
        <v>1156</v>
      </c>
      <c r="P129" s="260" t="s">
        <v>1780</v>
      </c>
      <c r="Q129" s="264"/>
    </row>
    <row r="130" spans="2:17" s="144" customFormat="1">
      <c r="B130" s="127" t="s">
        <v>2192</v>
      </c>
      <c r="C130" s="133">
        <v>125</v>
      </c>
      <c r="D130" s="134" t="s">
        <v>2804</v>
      </c>
      <c r="E130" s="181" t="s">
        <v>2956</v>
      </c>
      <c r="F130" s="228" t="s">
        <v>3245</v>
      </c>
      <c r="G130" s="181" t="s">
        <v>2983</v>
      </c>
      <c r="H130" s="181" t="s">
        <v>2992</v>
      </c>
      <c r="I130" s="182" t="s">
        <v>2993</v>
      </c>
      <c r="J130" s="137"/>
      <c r="K130" s="138" t="s">
        <v>1487</v>
      </c>
      <c r="L130" s="139">
        <f t="shared" si="3"/>
        <v>5.4</v>
      </c>
      <c r="M130" s="140">
        <f t="shared" si="4"/>
        <v>1</v>
      </c>
      <c r="N130" s="141">
        <f t="shared" si="5"/>
        <v>5.4</v>
      </c>
      <c r="O130" s="188" t="s">
        <v>1156</v>
      </c>
      <c r="P130" s="260" t="s">
        <v>1780</v>
      </c>
      <c r="Q130" s="264"/>
    </row>
    <row r="131" spans="2:17" s="144" customFormat="1">
      <c r="B131" s="127" t="s">
        <v>2192</v>
      </c>
      <c r="C131" s="133">
        <v>126</v>
      </c>
      <c r="D131" s="134" t="s">
        <v>2804</v>
      </c>
      <c r="E131" s="181" t="s">
        <v>2956</v>
      </c>
      <c r="F131" s="228" t="s">
        <v>3246</v>
      </c>
      <c r="G131" s="181" t="s">
        <v>2983</v>
      </c>
      <c r="H131" s="181" t="s">
        <v>2994</v>
      </c>
      <c r="I131" s="182" t="s">
        <v>2995</v>
      </c>
      <c r="J131" s="137"/>
      <c r="K131" s="138" t="s">
        <v>1487</v>
      </c>
      <c r="L131" s="139">
        <f t="shared" si="3"/>
        <v>5.4</v>
      </c>
      <c r="M131" s="140">
        <f t="shared" si="4"/>
        <v>1</v>
      </c>
      <c r="N131" s="141">
        <f t="shared" si="5"/>
        <v>5.4</v>
      </c>
      <c r="O131" s="188" t="s">
        <v>1156</v>
      </c>
      <c r="P131" s="260" t="s">
        <v>1780</v>
      </c>
      <c r="Q131" s="264"/>
    </row>
    <row r="132" spans="2:17" s="144" customFormat="1" ht="27">
      <c r="B132" s="127" t="s">
        <v>2192</v>
      </c>
      <c r="C132" s="133">
        <v>127</v>
      </c>
      <c r="D132" s="134" t="s">
        <v>2804</v>
      </c>
      <c r="E132" s="181" t="s">
        <v>2956</v>
      </c>
      <c r="F132" s="228" t="s">
        <v>3247</v>
      </c>
      <c r="G132" s="181" t="s">
        <v>2983</v>
      </c>
      <c r="H132" s="181" t="s">
        <v>2996</v>
      </c>
      <c r="I132" s="182" t="s">
        <v>2997</v>
      </c>
      <c r="J132" s="137"/>
      <c r="K132" s="138" t="s">
        <v>1487</v>
      </c>
      <c r="L132" s="139">
        <f t="shared" si="3"/>
        <v>5.4</v>
      </c>
      <c r="M132" s="140">
        <f t="shared" si="4"/>
        <v>1</v>
      </c>
      <c r="N132" s="141">
        <f t="shared" si="5"/>
        <v>5.4</v>
      </c>
      <c r="O132" s="188" t="s">
        <v>1156</v>
      </c>
      <c r="P132" s="260" t="s">
        <v>1780</v>
      </c>
      <c r="Q132" s="264"/>
    </row>
    <row r="133" spans="2:17" s="144" customFormat="1" ht="27">
      <c r="B133" s="127" t="s">
        <v>2192</v>
      </c>
      <c r="C133" s="133">
        <v>128</v>
      </c>
      <c r="D133" s="134" t="s">
        <v>2804</v>
      </c>
      <c r="E133" s="181" t="s">
        <v>2956</v>
      </c>
      <c r="F133" s="228" t="s">
        <v>3248</v>
      </c>
      <c r="G133" s="181" t="s">
        <v>2983</v>
      </c>
      <c r="H133" s="181" t="s">
        <v>2998</v>
      </c>
      <c r="I133" s="182" t="s">
        <v>2999</v>
      </c>
      <c r="J133" s="137"/>
      <c r="K133" s="138" t="s">
        <v>1487</v>
      </c>
      <c r="L133" s="139">
        <f t="shared" si="3"/>
        <v>5.4</v>
      </c>
      <c r="M133" s="140">
        <f t="shared" si="4"/>
        <v>1</v>
      </c>
      <c r="N133" s="141">
        <f t="shared" si="5"/>
        <v>5.4</v>
      </c>
      <c r="O133" s="188" t="s">
        <v>1156</v>
      </c>
      <c r="P133" s="260" t="s">
        <v>1780</v>
      </c>
      <c r="Q133" s="264"/>
    </row>
    <row r="134" spans="2:17" s="144" customFormat="1">
      <c r="B134" s="127" t="s">
        <v>2192</v>
      </c>
      <c r="C134" s="133">
        <v>129</v>
      </c>
      <c r="D134" s="134" t="s">
        <v>2804</v>
      </c>
      <c r="E134" s="181" t="s">
        <v>2956</v>
      </c>
      <c r="F134" s="228" t="s">
        <v>3249</v>
      </c>
      <c r="G134" s="181" t="s">
        <v>3000</v>
      </c>
      <c r="H134" s="181" t="s">
        <v>3001</v>
      </c>
      <c r="I134" s="182" t="s">
        <v>3002</v>
      </c>
      <c r="J134" s="137"/>
      <c r="K134" s="152" t="s">
        <v>1236</v>
      </c>
      <c r="L134" s="139">
        <f t="shared" ref="L134:L142" si="6">IF(K134="","",IF(K134="EI",4,IF(K134="EO",5.2,IF(K134="EQ",3.9,IF(K134="ILF",7.5,IF(K134="EIF",5.4))))))</f>
        <v>5.2</v>
      </c>
      <c r="M134" s="140">
        <f t="shared" ref="M134:M142" si="7">IF(O134="","",IF(O134="신규",1,IF(O134="고도화",1.04,IF(O134="재사용",0.25))))</f>
        <v>1</v>
      </c>
      <c r="N134" s="141">
        <f t="shared" ref="N134:N142" si="8">L134*M134</f>
        <v>5.2</v>
      </c>
      <c r="O134" s="188" t="s">
        <v>1156</v>
      </c>
      <c r="P134" s="260" t="s">
        <v>1780</v>
      </c>
      <c r="Q134" s="264"/>
    </row>
    <row r="135" spans="2:17" s="144" customFormat="1" ht="18.600000000000001" customHeight="1">
      <c r="B135" s="127" t="s">
        <v>2192</v>
      </c>
      <c r="C135" s="133">
        <v>130</v>
      </c>
      <c r="D135" s="134" t="s">
        <v>2804</v>
      </c>
      <c r="E135" s="181" t="s">
        <v>2956</v>
      </c>
      <c r="F135" s="228" t="s">
        <v>3250</v>
      </c>
      <c r="G135" s="181" t="s">
        <v>3000</v>
      </c>
      <c r="H135" s="275" t="s">
        <v>3003</v>
      </c>
      <c r="I135" s="182" t="s">
        <v>3004</v>
      </c>
      <c r="J135" s="137"/>
      <c r="K135" s="152" t="s">
        <v>1236</v>
      </c>
      <c r="L135" s="139">
        <f t="shared" si="6"/>
        <v>5.2</v>
      </c>
      <c r="M135" s="140">
        <f t="shared" si="7"/>
        <v>1</v>
      </c>
      <c r="N135" s="141">
        <f t="shared" si="8"/>
        <v>5.2</v>
      </c>
      <c r="O135" s="188" t="s">
        <v>1156</v>
      </c>
      <c r="P135" s="260" t="s">
        <v>1780</v>
      </c>
      <c r="Q135" s="264"/>
    </row>
    <row r="136" spans="2:17" s="144" customFormat="1" ht="18.600000000000001" customHeight="1">
      <c r="B136" s="127" t="s">
        <v>2192</v>
      </c>
      <c r="C136" s="133">
        <v>131</v>
      </c>
      <c r="D136" s="134" t="s">
        <v>2804</v>
      </c>
      <c r="E136" s="181" t="s">
        <v>2956</v>
      </c>
      <c r="F136" s="228" t="s">
        <v>3251</v>
      </c>
      <c r="G136" s="181" t="s">
        <v>3000</v>
      </c>
      <c r="H136" s="181" t="s">
        <v>3005</v>
      </c>
      <c r="I136" s="182" t="s">
        <v>3005</v>
      </c>
      <c r="J136" s="137"/>
      <c r="K136" s="138" t="s">
        <v>1487</v>
      </c>
      <c r="L136" s="139">
        <f t="shared" si="6"/>
        <v>5.4</v>
      </c>
      <c r="M136" s="140">
        <f t="shared" si="7"/>
        <v>1</v>
      </c>
      <c r="N136" s="141">
        <f t="shared" si="8"/>
        <v>5.4</v>
      </c>
      <c r="O136" s="188" t="s">
        <v>1156</v>
      </c>
      <c r="P136" s="260" t="s">
        <v>1780</v>
      </c>
      <c r="Q136" s="264"/>
    </row>
    <row r="137" spans="2:17" s="144" customFormat="1">
      <c r="B137" s="127" t="s">
        <v>2192</v>
      </c>
      <c r="C137" s="133">
        <v>132</v>
      </c>
      <c r="D137" s="134" t="s">
        <v>2804</v>
      </c>
      <c r="E137" s="181" t="s">
        <v>2956</v>
      </c>
      <c r="F137" s="228" t="s">
        <v>3252</v>
      </c>
      <c r="G137" s="181" t="s">
        <v>3006</v>
      </c>
      <c r="H137" s="181" t="s">
        <v>3007</v>
      </c>
      <c r="I137" s="182" t="s">
        <v>3008</v>
      </c>
      <c r="J137" s="137"/>
      <c r="K137" s="152" t="s">
        <v>1236</v>
      </c>
      <c r="L137" s="139">
        <f t="shared" si="6"/>
        <v>5.2</v>
      </c>
      <c r="M137" s="140">
        <f t="shared" si="7"/>
        <v>1</v>
      </c>
      <c r="N137" s="141">
        <f t="shared" si="8"/>
        <v>5.2</v>
      </c>
      <c r="O137" s="188" t="s">
        <v>1156</v>
      </c>
      <c r="P137" s="260" t="s">
        <v>1780</v>
      </c>
      <c r="Q137" s="264"/>
    </row>
    <row r="138" spans="2:17" s="144" customFormat="1">
      <c r="B138" s="127" t="s">
        <v>2192</v>
      </c>
      <c r="C138" s="133">
        <v>133</v>
      </c>
      <c r="D138" s="134" t="s">
        <v>2804</v>
      </c>
      <c r="E138" s="181" t="s">
        <v>2956</v>
      </c>
      <c r="F138" s="228" t="s">
        <v>3253</v>
      </c>
      <c r="G138" s="181" t="s">
        <v>3006</v>
      </c>
      <c r="H138" s="181" t="s">
        <v>3009</v>
      </c>
      <c r="I138" s="182" t="s">
        <v>3010</v>
      </c>
      <c r="J138" s="137"/>
      <c r="K138" s="138" t="s">
        <v>1487</v>
      </c>
      <c r="L138" s="139">
        <f t="shared" si="6"/>
        <v>5.4</v>
      </c>
      <c r="M138" s="140">
        <f t="shared" si="7"/>
        <v>1</v>
      </c>
      <c r="N138" s="141">
        <f t="shared" si="8"/>
        <v>5.4</v>
      </c>
      <c r="O138" s="188" t="s">
        <v>1156</v>
      </c>
      <c r="P138" s="260" t="s">
        <v>1780</v>
      </c>
      <c r="Q138" s="264"/>
    </row>
    <row r="139" spans="2:17" s="144" customFormat="1" ht="27">
      <c r="B139" s="127" t="s">
        <v>2192</v>
      </c>
      <c r="C139" s="133">
        <v>134</v>
      </c>
      <c r="D139" s="134" t="s">
        <v>2804</v>
      </c>
      <c r="E139" s="181" t="s">
        <v>2956</v>
      </c>
      <c r="F139" s="228" t="s">
        <v>3254</v>
      </c>
      <c r="G139" s="181" t="s">
        <v>3006</v>
      </c>
      <c r="H139" s="181" t="s">
        <v>3011</v>
      </c>
      <c r="I139" s="182" t="s">
        <v>3012</v>
      </c>
      <c r="J139" s="137"/>
      <c r="K139" s="138" t="s">
        <v>1487</v>
      </c>
      <c r="L139" s="139">
        <f t="shared" si="6"/>
        <v>5.4</v>
      </c>
      <c r="M139" s="140">
        <f t="shared" si="7"/>
        <v>1</v>
      </c>
      <c r="N139" s="141">
        <f t="shared" si="8"/>
        <v>5.4</v>
      </c>
      <c r="O139" s="188" t="s">
        <v>1156</v>
      </c>
      <c r="P139" s="260" t="s">
        <v>1780</v>
      </c>
      <c r="Q139" s="264"/>
    </row>
    <row r="140" spans="2:17" s="144" customFormat="1">
      <c r="B140" s="127" t="s">
        <v>2192</v>
      </c>
      <c r="C140" s="133">
        <v>135</v>
      </c>
      <c r="D140" s="134" t="s">
        <v>2804</v>
      </c>
      <c r="E140" s="181" t="s">
        <v>2956</v>
      </c>
      <c r="F140" s="228" t="s">
        <v>3255</v>
      </c>
      <c r="G140" s="181" t="s">
        <v>3013</v>
      </c>
      <c r="H140" s="181" t="s">
        <v>3014</v>
      </c>
      <c r="I140" s="182" t="s">
        <v>3015</v>
      </c>
      <c r="J140" s="137"/>
      <c r="K140" s="152" t="s">
        <v>1236</v>
      </c>
      <c r="L140" s="139">
        <f t="shared" si="6"/>
        <v>5.2</v>
      </c>
      <c r="M140" s="140">
        <f t="shared" si="7"/>
        <v>1</v>
      </c>
      <c r="N140" s="141">
        <f t="shared" si="8"/>
        <v>5.2</v>
      </c>
      <c r="O140" s="188" t="s">
        <v>1156</v>
      </c>
      <c r="P140" s="260" t="s">
        <v>1780</v>
      </c>
      <c r="Q140" s="264"/>
    </row>
    <row r="141" spans="2:17" s="144" customFormat="1">
      <c r="B141" s="127" t="s">
        <v>2192</v>
      </c>
      <c r="C141" s="133">
        <v>136</v>
      </c>
      <c r="D141" s="134" t="s">
        <v>2804</v>
      </c>
      <c r="E141" s="181" t="s">
        <v>2956</v>
      </c>
      <c r="F141" s="228" t="s">
        <v>3256</v>
      </c>
      <c r="G141" s="181" t="s">
        <v>3016</v>
      </c>
      <c r="H141" s="181" t="s">
        <v>3017</v>
      </c>
      <c r="I141" s="182" t="s">
        <v>3018</v>
      </c>
      <c r="J141" s="137"/>
      <c r="K141" s="152" t="s">
        <v>1236</v>
      </c>
      <c r="L141" s="139">
        <f t="shared" si="6"/>
        <v>5.2</v>
      </c>
      <c r="M141" s="140">
        <f t="shared" si="7"/>
        <v>1</v>
      </c>
      <c r="N141" s="141">
        <f t="shared" si="8"/>
        <v>5.2</v>
      </c>
      <c r="O141" s="188" t="s">
        <v>1156</v>
      </c>
      <c r="P141" s="260" t="s">
        <v>1780</v>
      </c>
      <c r="Q141" s="264"/>
    </row>
    <row r="142" spans="2:17" s="144" customFormat="1" ht="27">
      <c r="B142" s="127" t="s">
        <v>2192</v>
      </c>
      <c r="C142" s="133">
        <v>137</v>
      </c>
      <c r="D142" s="285" t="s">
        <v>2804</v>
      </c>
      <c r="E142" s="204" t="s">
        <v>2956</v>
      </c>
      <c r="F142" s="228" t="s">
        <v>3257</v>
      </c>
      <c r="G142" s="204" t="s">
        <v>3006</v>
      </c>
      <c r="H142" s="204" t="s">
        <v>3019</v>
      </c>
      <c r="I142" s="293" t="s">
        <v>3020</v>
      </c>
      <c r="J142" s="137"/>
      <c r="K142" s="138" t="s">
        <v>1487</v>
      </c>
      <c r="L142" s="139">
        <f t="shared" si="6"/>
        <v>5.4</v>
      </c>
      <c r="M142" s="171">
        <f t="shared" si="7"/>
        <v>1</v>
      </c>
      <c r="N142" s="141">
        <f t="shared" si="8"/>
        <v>5.4</v>
      </c>
      <c r="O142" s="294" t="s">
        <v>1156</v>
      </c>
      <c r="P142" s="260" t="s">
        <v>1780</v>
      </c>
      <c r="Q142" s="264"/>
    </row>
  </sheetData>
  <mergeCells count="10">
    <mergeCell ref="I4:I5"/>
    <mergeCell ref="K4:M4"/>
    <mergeCell ref="O4:O5"/>
    <mergeCell ref="P4:P5"/>
    <mergeCell ref="C4:C5"/>
    <mergeCell ref="D4:D5"/>
    <mergeCell ref="E4:E5"/>
    <mergeCell ref="F4:F5"/>
    <mergeCell ref="G4:G5"/>
    <mergeCell ref="H4:H5"/>
  </mergeCells>
  <phoneticPr fontId="15" type="noConversion"/>
  <conditionalFormatting sqref="K4:K5">
    <cfRule type="cellIs" dxfId="28" priority="72" operator="equal">
      <formula>"EIF"</formula>
    </cfRule>
    <cfRule type="cellIs" dxfId="27" priority="73" operator="equal">
      <formula>"ILF"</formula>
    </cfRule>
  </conditionalFormatting>
  <conditionalFormatting sqref="K105:K106">
    <cfRule type="cellIs" dxfId="26" priority="1" operator="equal">
      <formula>"EIF"</formula>
    </cfRule>
    <cfRule type="cellIs" dxfId="25" priority="2" operator="equal">
      <formula>"ILF"</formula>
    </cfRule>
  </conditionalFormatting>
  <conditionalFormatting sqref="K111:K112">
    <cfRule type="cellIs" dxfId="24" priority="61" operator="equal">
      <formula>"EIF"</formula>
    </cfRule>
    <cfRule type="cellIs" dxfId="23" priority="62" operator="equal">
      <formula>"ILF"</formula>
    </cfRule>
  </conditionalFormatting>
  <conditionalFormatting sqref="K115:K116">
    <cfRule type="cellIs" dxfId="22" priority="55" operator="equal">
      <formula>"EIF"</formula>
    </cfRule>
    <cfRule type="cellIs" dxfId="21" priority="56" operator="equal">
      <formula>"ILF"</formula>
    </cfRule>
  </conditionalFormatting>
  <conditionalFormatting sqref="K118">
    <cfRule type="cellIs" dxfId="20" priority="49" operator="equal">
      <formula>"EIF"</formula>
    </cfRule>
    <cfRule type="cellIs" dxfId="19" priority="50" operator="equal">
      <formula>"ILF"</formula>
    </cfRule>
  </conditionalFormatting>
  <conditionalFormatting sqref="K120">
    <cfRule type="cellIs" dxfId="18" priority="43" operator="equal">
      <formula>"EIF"</formula>
    </cfRule>
    <cfRule type="cellIs" dxfId="17" priority="44" operator="equal">
      <formula>"ILF"</formula>
    </cfRule>
  </conditionalFormatting>
  <conditionalFormatting sqref="K122:K126">
    <cfRule type="cellIs" dxfId="16" priority="37" operator="equal">
      <formula>"EIF"</formula>
    </cfRule>
    <cfRule type="cellIs" dxfId="15" priority="38" operator="equal">
      <formula>"ILF"</formula>
    </cfRule>
  </conditionalFormatting>
  <conditionalFormatting sqref="K128">
    <cfRule type="cellIs" dxfId="14" priority="31" operator="equal">
      <formula>"EIF"</formula>
    </cfRule>
    <cfRule type="cellIs" dxfId="13" priority="32" operator="equal">
      <formula>"ILF"</formula>
    </cfRule>
  </conditionalFormatting>
  <conditionalFormatting sqref="K134:K135">
    <cfRule type="cellIs" dxfId="12" priority="25" operator="equal">
      <formula>"EIF"</formula>
    </cfRule>
    <cfRule type="cellIs" dxfId="11" priority="26" operator="equal">
      <formula>"ILF"</formula>
    </cfRule>
  </conditionalFormatting>
  <conditionalFormatting sqref="K137">
    <cfRule type="cellIs" dxfId="10" priority="13" operator="equal">
      <formula>"EIF"</formula>
    </cfRule>
    <cfRule type="cellIs" dxfId="9" priority="14" operator="equal">
      <formula>"ILF"</formula>
    </cfRule>
  </conditionalFormatting>
  <conditionalFormatting sqref="K140:K141">
    <cfRule type="cellIs" dxfId="8" priority="19" operator="equal">
      <formula>"EIF"</formula>
    </cfRule>
    <cfRule type="cellIs" dxfId="7" priority="20" operator="equal">
      <formula>"ILF"</formula>
    </cfRule>
  </conditionalFormatting>
  <dataValidations count="1">
    <dataValidation type="list" allowBlank="1" showInputMessage="1" showErrorMessage="1" sqref="K113:K114 K91:K95 K138:K139 K136 K129:K133 K127 K142 K121 K119 K117 K85:K89 K107:K110 K98:K104 K6:K83">
      <formula1>"ILF,EIF,EI,EO,EQ"</formula1>
    </dataValidation>
  </dataValidations>
  <pageMargins left="0.19685039370078741" right="0.19685039370078741" top="0.27559055118110237" bottom="0.35433070866141736" header="0.19685039370078741" footer="0.23622047244094491"/>
  <pageSetup paperSize="9" scale="47" orientation="landscape" r:id="rId1"/>
  <extLst>
    <ext xmlns:x14="http://schemas.microsoft.com/office/spreadsheetml/2009/9/main" uri="{78C0D931-6437-407d-A8EE-F0AAD7539E65}">
      <x14:conditionalFormattings>
        <x14:conditionalFormatting xmlns:xm="http://schemas.microsoft.com/office/excel/2006/main">
          <x14:cfRule type="cellIs" priority="68" operator="equal" id="{DCC1C504-CAA4-481A-AA64-C9D02EE64622}">
            <xm:f>'\\DS_NAS\homes\00. LX플랫폼 고도화 사업\00. 프로젝트 착수 전\03_산출내역서\[산출내역서_LX플랫폼 고도화 사업_v0.7_230413.xlsx]1-1.클라우드 FP'!#REF!</xm:f>
            <x14:dxf>
              <font>
                <color rgb="FF9C0006"/>
              </font>
              <fill>
                <patternFill>
                  <bgColor rgb="FFFFC7CE"/>
                </patternFill>
              </fill>
            </x14:dxf>
          </x14:cfRule>
          <xm:sqref>O6:O61</xm:sqref>
        </x14:conditionalFormatting>
        <x14:conditionalFormatting xmlns:xm="http://schemas.microsoft.com/office/excel/2006/main">
          <x14:cfRule type="containsText" priority="70" operator="containsText" id="{11F624EB-2DFD-4905-9800-4ACFC43FBC91}">
            <xm:f>NOT(ISERROR(SEARCH('\\DS_NAS\homes\00.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xm:f>
            <xm:f>'\\DS_NAS\homes\00. LX플랫폼 고도화 사업\00. 프로젝트 착수 전\03_산출내역서\[산출내역서_LX플랫폼 고도화 사업_v0.7_230413.xlsx]1-1.클라우드 FP'!#REF!</xm:f>
            <x14:dxf>
              <font>
                <color theme="9" tint="-0.499984740745262"/>
              </font>
              <fill>
                <patternFill>
                  <bgColor rgb="FFFFFF00"/>
                </patternFill>
              </fill>
            </x14:dxf>
          </x14:cfRule>
          <x14:cfRule type="containsText" priority="71" operator="containsText" id="{67D3E613-DCD2-476C-B045-E95D8ECB0154}">
            <xm:f>NOT(ISERROR(SEARCH('\\DS_NAS\homes\00.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xm:f>
            <xm:f>'\\DS_NAS\homes\00.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xm:f>
            <x14:dxf>
              <font>
                <color rgb="FF002060"/>
              </font>
              <fill>
                <patternFill>
                  <bgColor theme="3" tint="0.59996337778862885"/>
                </patternFill>
              </fill>
            </x14:dxf>
          </x14:cfRule>
          <xm:sqref>O6:O103</xm:sqref>
        </x14:conditionalFormatting>
        <x14:conditionalFormatting xmlns:xm="http://schemas.microsoft.com/office/excel/2006/main">
          <x14:cfRule type="cellIs" priority="67" operator="equal" id="{6F32B1CE-3A5D-41D0-A9FE-0835E36F8434}">
            <xm:f>'\\DS_NAS\homes\00. LX플랫폼 고도화 사업\00. 프로젝트 착수 전\03_산출내역서\[산출내역서_LX플랫폼 고도화 사업_v0.7_230413.xlsx]1-1.클라우드 FP'!#REF!</xm:f>
            <x14:dxf>
              <font>
                <color rgb="FF9C0006"/>
              </font>
              <fill>
                <patternFill>
                  <bgColor rgb="FFFFC7CE"/>
                </patternFill>
              </fill>
            </x14:dxf>
          </x14:cfRule>
          <xm:sqref>O62:O83</xm:sqref>
        </x14:conditionalFormatting>
        <x14:conditionalFormatting xmlns:xm="http://schemas.microsoft.com/office/excel/2006/main">
          <x14:cfRule type="cellIs" priority="69" operator="equal" id="{A820DFE5-5923-419D-BE13-7C6C4ABCEE0E}">
            <xm:f>'\\DS_NAS\homes\00. LX플랫폼 고도화 사업\00. 프로젝트 착수 전\03_산출내역서\[산출내역서_LX플랫폼 고도화 사업_v0.7_230413.xlsx]1-1.클라우드 FP'!#REF!</xm:f>
            <x14:dxf>
              <font>
                <color rgb="FF9C0006"/>
              </font>
              <fill>
                <patternFill>
                  <bgColor rgb="FFFFC7CE"/>
                </patternFill>
              </fill>
            </x14:dxf>
          </x14:cfRule>
          <xm:sqref>O84:O142</xm:sqref>
        </x14:conditionalFormatting>
        <x14:conditionalFormatting xmlns:xm="http://schemas.microsoft.com/office/excel/2006/main">
          <x14:cfRule type="containsText" priority="74" operator="containsText" id="{2D9F0071-3CB8-47C9-A445-BF8C7FCCAF8C}">
            <xm:f>NOT(ISERROR(SEARCH('\\DS_NAS\homes\00. LX플랫폼 고도화 사업\00. 프로젝트 착수 전\03_산출내역서\[산출내역서_LX플랫폼 고도화 사업_v0.7_230413.xlsx]1-1.클라우드 FP'!#REF!,O6)))</xm:f>
            <xm:f>'\\DS_NAS\homes\00. LX플랫폼 고도화 사업\00. 프로젝트 착수 전\03_산출내역서\[산출내역서_LX플랫폼 고도화 사업_v0.7_230413.xlsx]1-1.클라우드 FP'!#REF!</xm:f>
            <x14:dxf>
              <font>
                <color theme="9" tint="-0.499984740745262"/>
              </font>
              <fill>
                <patternFill>
                  <bgColor rgb="FFFFFF00"/>
                </patternFill>
              </fill>
            </x14:dxf>
          </x14:cfRule>
          <x14:cfRule type="containsText" priority="75" operator="containsText" id="{32530B8E-3190-4044-96FF-1F86E0E7D73D}">
            <xm:f>NOT(ISERROR(SEARCH('\\DS_NAS\homes\00.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FP'!#REF!,O6)))</xm:f>
            <xm:f>'\\DS_NAS\homes\00. LX플랫폼 고도화 사업\00. 프로젝트 착수 전\03_산출내역서\[산출내역서_LX플랫폼 고도화 사업_v0.7_230413.xlsx]1-1.클라우드 FP'!#REF!+'\\DS_NAS\homes\00. LX플랫폼 고도화 사업\00. 프로젝트 착수 전\03_산출내역서\[산출내역서_LX플랫폼 고도화 사업_v0.7_230413.xlsx]1-1.클라우드 FP'!#REF!</xm:f>
            <x14:dxf>
              <font>
                <color rgb="FF002060"/>
              </font>
              <fill>
                <patternFill>
                  <bgColor theme="3" tint="0.59996337778862885"/>
                </patternFill>
              </fill>
            </x14:dxf>
          </x14:cfRule>
          <xm:sqref>O104:O142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이름이 지정된 범위</vt:lpstr>
      </vt:variant>
      <vt:variant>
        <vt:i4>25</vt:i4>
      </vt:variant>
    </vt:vector>
  </HeadingPairs>
  <TitlesOfParts>
    <vt:vector size="40" baseType="lpstr">
      <vt:lpstr>표지</vt:lpstr>
      <vt:lpstr>문서정보</vt:lpstr>
      <vt:lpstr>4.아키텍쳐 및 개발환경</vt:lpstr>
      <vt:lpstr>5.인프라</vt:lpstr>
      <vt:lpstr>6.3D 기능 고도화</vt:lpstr>
      <vt:lpstr>7.2D 기능 고도화</vt:lpstr>
      <vt:lpstr>8.데이터 고도화</vt:lpstr>
      <vt:lpstr>9.비기능</vt:lpstr>
      <vt:lpstr>아키텍처 및 개발환경 변경 FP</vt:lpstr>
      <vt:lpstr>1-1.클라우드 FP</vt:lpstr>
      <vt:lpstr>2-1.데이터관리체계 FP</vt:lpstr>
      <vt:lpstr>3-1.통합 개발환경 FP</vt:lpstr>
      <vt:lpstr>4-1.지자체 플랫폼 통합 FP</vt:lpstr>
      <vt:lpstr>5-1.데이터서비스 FP</vt:lpstr>
      <vt:lpstr>6-1.가시화시뮬 FP</vt:lpstr>
      <vt:lpstr>'1-1.클라우드 FP'!Print_Area</vt:lpstr>
      <vt:lpstr>'2-1.데이터관리체계 FP'!Print_Area</vt:lpstr>
      <vt:lpstr>'3-1.통합 개발환경 FP'!Print_Area</vt:lpstr>
      <vt:lpstr>'4.아키텍쳐 및 개발환경'!Print_Area</vt:lpstr>
      <vt:lpstr>'4-1.지자체 플랫폼 통합 FP'!Print_Area</vt:lpstr>
      <vt:lpstr>'5.인프라'!Print_Area</vt:lpstr>
      <vt:lpstr>'5-1.데이터서비스 FP'!Print_Area</vt:lpstr>
      <vt:lpstr>'6.3D 기능 고도화'!Print_Area</vt:lpstr>
      <vt:lpstr>'6-1.가시화시뮬 FP'!Print_Area</vt:lpstr>
      <vt:lpstr>'7.2D 기능 고도화'!Print_Area</vt:lpstr>
      <vt:lpstr>'8.데이터 고도화'!Print_Area</vt:lpstr>
      <vt:lpstr>'9.비기능'!Print_Area</vt:lpstr>
      <vt:lpstr>표지!Print_Area</vt:lpstr>
      <vt:lpstr>'1-1.클라우드 FP'!Print_Titles</vt:lpstr>
      <vt:lpstr>'2-1.데이터관리체계 FP'!Print_Titles</vt:lpstr>
      <vt:lpstr>'3-1.통합 개발환경 FP'!Print_Titles</vt:lpstr>
      <vt:lpstr>'4.아키텍쳐 및 개발환경'!Print_Titles</vt:lpstr>
      <vt:lpstr>'4-1.지자체 플랫폼 통합 FP'!Print_Titles</vt:lpstr>
      <vt:lpstr>'5.인프라'!Print_Titles</vt:lpstr>
      <vt:lpstr>'5-1.데이터서비스 FP'!Print_Titles</vt:lpstr>
      <vt:lpstr>'6.3D 기능 고도화'!Print_Titles</vt:lpstr>
      <vt:lpstr>'6-1.가시화시뮬 FP'!Print_Titles</vt:lpstr>
      <vt:lpstr>'7.2D 기능 고도화'!Print_Titles</vt:lpstr>
      <vt:lpstr>'8.데이터 고도화'!Print_Titles</vt:lpstr>
      <vt:lpstr>'9.비기능'!Print_Titles</vt:lpstr>
    </vt:vector>
  </TitlesOfParts>
  <Manager>CMMI TFT</Manager>
  <Company>대우정보시스템(주)</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Service Delivery 능력 향상(CMMI ML3 추진)</dc:subject>
  <dc:creator>EPG</dc:creator>
  <cp:lastModifiedBy>AST</cp:lastModifiedBy>
  <cp:lastPrinted>2016-08-03T05:22:32Z</cp:lastPrinted>
  <dcterms:created xsi:type="dcterms:W3CDTF">2000-08-16T20:55:29Z</dcterms:created>
  <dcterms:modified xsi:type="dcterms:W3CDTF">2024-06-22T09:08:17Z</dcterms:modified>
</cp:coreProperties>
</file>