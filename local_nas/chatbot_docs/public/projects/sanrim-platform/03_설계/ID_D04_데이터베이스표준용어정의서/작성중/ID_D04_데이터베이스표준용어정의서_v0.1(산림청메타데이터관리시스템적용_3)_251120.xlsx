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4_데이터베이스표준용어정의서\작성중\"/>
    </mc:Choice>
  </mc:AlternateContent>
  <bookViews>
    <workbookView xWindow="0" yWindow="0" windowWidth="32070" windowHeight="13665" activeTab="2"/>
  </bookViews>
  <sheets>
    <sheet name="1.갑지" sheetId="5" r:id="rId1"/>
    <sheet name="2.개정이력" sheetId="6" r:id="rId2"/>
    <sheet name="3.표준용어목록" sheetId="1" r:id="rId3"/>
    <sheet name="4.작성방법(필독)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4" i="1"/>
  <c r="H85" i="1"/>
  <c r="H86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7" i="1"/>
  <c r="H128" i="1"/>
  <c r="H129" i="1"/>
  <c r="H130" i="1"/>
  <c r="H131" i="1"/>
  <c r="H132" i="1"/>
  <c r="H133" i="1"/>
  <c r="H134" i="1"/>
  <c r="H135" i="1"/>
  <c r="H136" i="1"/>
  <c r="H138" i="1"/>
  <c r="H140" i="1"/>
  <c r="H141" i="1"/>
  <c r="H142" i="1"/>
  <c r="H143" i="1"/>
  <c r="H144" i="1"/>
  <c r="H145" i="1"/>
  <c r="H146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80" i="1"/>
  <c r="H381" i="1"/>
  <c r="H382" i="1"/>
  <c r="H383" i="1"/>
  <c r="H384" i="1"/>
  <c r="H385" i="1"/>
  <c r="H386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5" i="1"/>
  <c r="H126" i="1"/>
</calcChain>
</file>

<file path=xl/sharedStrings.xml><?xml version="1.0" encoding="utf-8"?>
<sst xmlns="http://schemas.openxmlformats.org/spreadsheetml/2006/main" count="5260" uniqueCount="2131">
  <si>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</si>
  <si>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</si>
  <si>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</si>
  <si>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</si>
  <si>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</si>
  <si>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</si>
  <si>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</si>
  <si>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</si>
  <si>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</si>
  <si>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</si>
  <si>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</si>
  <si>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No</t>
    <phoneticPr fontId="2" type="noConversion"/>
  </si>
  <si>
    <t>※ 주의사항</t>
    <phoneticPr fontId="2" type="noConversion"/>
  </si>
  <si>
    <t>허용값</t>
    <phoneticPr fontId="2" type="noConversion"/>
  </si>
  <si>
    <t>※ 허용값</t>
    <phoneticPr fontId="2" type="noConversion"/>
  </si>
  <si>
    <t xml:space="preserve"> - 데이터베이스표준용어에 기술하지 않은 용어는 DB모델링 시 활용할 수 없음</t>
  </si>
  <si>
    <t>※ 용어 설명</t>
  </si>
  <si>
    <t xml:space="preserve"> - 해당 용어에 대한 정의 및 설명 기재</t>
  </si>
  <si>
    <t xml:space="preserve"> - 해당 용어가 가질 수 있는 최대/최소값이나 유효값을 기재</t>
  </si>
  <si>
    <t xml:space="preserve"> - 데이터베이스표준용어(이하 용어로 기술)는 반드시 '공통표준용어' 및 '기관표준용어'을 준용하여야 함 </t>
    <phoneticPr fontId="2" type="noConversion"/>
  </si>
  <si>
    <t xml:space="preserve">   &gt; '공통표준용어' 및 '기관표준용어'에 유사용어가 식별되는 경우, 반드시 해당 용어의 적용을 우선검토하여야 함</t>
    <phoneticPr fontId="2" type="noConversion"/>
  </si>
  <si>
    <t xml:space="preserve">   &gt; '공통표준용어'과 '기관표준용어' 모두에서 유사용어가 식별되는 경우, 공통표준용어의 적용을 우선검토하여야 함</t>
    <phoneticPr fontId="2" type="noConversion"/>
  </si>
  <si>
    <t xml:space="preserve"> - 엔티티, 앤트리뷰트 등 데이터 요소의 명명에 사용될 용어를 기재</t>
    <phoneticPr fontId="2" type="noConversion"/>
  </si>
  <si>
    <t>※ 용어명</t>
    <phoneticPr fontId="2" type="noConversion"/>
  </si>
  <si>
    <t xml:space="preserve"> - 한글이 원칙이며, 특수문자 및 공백 적용 불가</t>
    <phoneticPr fontId="2" type="noConversion"/>
  </si>
  <si>
    <t>※ 용어영문명</t>
    <phoneticPr fontId="2" type="noConversion"/>
  </si>
  <si>
    <t xml:space="preserve"> - 대문자를 사용하여 풀네임으로 기재</t>
    <phoneticPr fontId="2" type="noConversion"/>
  </si>
  <si>
    <t>※ 영문약어명</t>
    <phoneticPr fontId="2" type="noConversion"/>
  </si>
  <si>
    <t xml:space="preserve"> - 대문자로 작성하고, 불가피한 경우를 제외하고는 특수문자는 사용하지 않도록 유의</t>
    <phoneticPr fontId="2" type="noConversion"/>
  </si>
  <si>
    <t xml:space="preserve"> - 자체적인 영문약어 명명규칙을 정하여 해당 용어에 대한 영문약어명을 기재</t>
    <phoneticPr fontId="2" type="noConversion"/>
  </si>
  <si>
    <t>※ 관리부서명</t>
    <phoneticPr fontId="2" type="noConversion"/>
  </si>
  <si>
    <t xml:space="preserve"> - 해당 용어를 생성 및 관리하는 주체인 부서명을 기재</t>
    <phoneticPr fontId="2" type="noConversion"/>
  </si>
  <si>
    <t>※ 표준코드명</t>
    <phoneticPr fontId="2" type="noConversion"/>
  </si>
  <si>
    <t>※ 업무분야</t>
    <phoneticPr fontId="2" type="noConversion"/>
  </si>
  <si>
    <t xml:space="preserve"> - 해당 용어의 내용과 관련된 BRM 분류체계를 기재</t>
    <phoneticPr fontId="2" type="noConversion"/>
  </si>
  <si>
    <t xml:space="preserve"> - 해당 용어가 다수의 업무분야에서 일상적으로 사용되는 경우에는 "공통영역"으로 기재, 그 외에는 정부업무분류체계(BRM) 1단계 수준으로 분류하여 기재</t>
    <phoneticPr fontId="2" type="noConversion"/>
  </si>
  <si>
    <t xml:space="preserve"> - 데이터베이스표준도메인 정의서에 정의된 용어의 경우 해당 도메인명을 기재</t>
    <phoneticPr fontId="2" type="noConversion"/>
  </si>
  <si>
    <t xml:space="preserve"> - 해당 용어가 행정표준코드에 해당하는 경우, 해당 표준코드명을 기재</t>
    <phoneticPr fontId="2" type="noConversion"/>
  </si>
  <si>
    <t xml:space="preserve"> - 행정표준코드는 행정표준코드관리시스템(https://www.code.go.kr)에서 확인 가능</t>
    <phoneticPr fontId="2" type="noConversion"/>
  </si>
  <si>
    <t>용어명</t>
    <phoneticPr fontId="2" type="noConversion"/>
  </si>
  <si>
    <t>용어영문명</t>
    <phoneticPr fontId="2" type="noConversion"/>
  </si>
  <si>
    <t>영문약어명</t>
    <phoneticPr fontId="2" type="noConversion"/>
  </si>
  <si>
    <t>용어 설명</t>
    <phoneticPr fontId="2" type="noConversion"/>
  </si>
  <si>
    <t>※ 데이터베이스표준도메인명(이하 표준도메인명)</t>
    <phoneticPr fontId="2" type="noConversion"/>
  </si>
  <si>
    <t>표준도메인명</t>
    <phoneticPr fontId="2" type="noConversion"/>
  </si>
  <si>
    <t>표준코드명</t>
    <phoneticPr fontId="2" type="noConversion"/>
  </si>
  <si>
    <t>관리부서명</t>
    <phoneticPr fontId="2" type="noConversion"/>
  </si>
  <si>
    <t>업무분야(BRM 1level)</t>
    <phoneticPr fontId="2" type="noConversion"/>
  </si>
  <si>
    <t>4. 표준용어 목록 작성방법</t>
    <phoneticPr fontId="2" type="noConversion"/>
  </si>
  <si>
    <t>데이터베이스명(한글)</t>
    <phoneticPr fontId="2" type="noConversion"/>
  </si>
  <si>
    <t>작성일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</si>
  <si>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</si>
  <si>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</si>
  <si>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</si>
  <si>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표준용어를 관리하는 관리단위이며 통상 데이터베이스명 또는 정보시스템명으로 구분할 수 있음</t>
    <phoneticPr fontId="2" type="noConversion"/>
  </si>
  <si>
    <t xml:space="preserve"> - 데이터베이스 개별 표준인 경우 데이터베이스명을 기입하거나 공백으로 둠</t>
    <phoneticPr fontId="2" type="noConversion"/>
  </si>
  <si>
    <t xml:space="preserve"> - 데이터베이스표준용어는 반드시 산림청메타데이터관리시스템 및 행정안전부 표준관리시스템 등록하여 관리하여야 함(예외 없음)</t>
    <phoneticPr fontId="2" type="noConversion"/>
  </si>
  <si>
    <t xml:space="preserve"> - 관용적으로 널리 알려진 영문약어(예 : URL, IP 등)에 한하여 표준용어로 사용 가능</t>
    <phoneticPr fontId="2" type="noConversion"/>
  </si>
  <si>
    <t>2025.11.20</t>
    <phoneticPr fontId="2" type="noConversion"/>
  </si>
  <si>
    <t>최초작성</t>
    <phoneticPr fontId="2" type="noConversion"/>
  </si>
  <si>
    <t>3D객체결과파일경로명</t>
  </si>
  <si>
    <t>3D객체레이어명</t>
  </si>
  <si>
    <t>3D객체레이어아이디</t>
  </si>
  <si>
    <t>3D객체레이어일련번호</t>
  </si>
  <si>
    <t>3D객체작업경로명</t>
  </si>
  <si>
    <t>3D건물생성SHP일련번호</t>
  </si>
  <si>
    <t>3D건물생성항목SHP일련번호</t>
  </si>
  <si>
    <t>3D건물생성항목일련번호</t>
  </si>
  <si>
    <t>3D건물항목값</t>
  </si>
  <si>
    <t>3D건물항목명</t>
  </si>
  <si>
    <t>3D모델URL주소값</t>
  </si>
  <si>
    <t>3D자동모델결과층수</t>
  </si>
  <si>
    <t>3D자동모델경도</t>
  </si>
  <si>
    <t>3D자동모델공간폭값</t>
  </si>
  <si>
    <t>3D자동모델배치일련번호</t>
  </si>
  <si>
    <t>3D자동모델위도</t>
  </si>
  <si>
    <t>3D자동모델위치값</t>
  </si>
  <si>
    <t>3D자동모델제목</t>
  </si>
  <si>
    <t>3D자동화모델상세아이디</t>
  </si>
  <si>
    <t>3D자동화모델상세일련번호</t>
  </si>
  <si>
    <t>3D자동화모델일련번호</t>
  </si>
  <si>
    <t xml:space="preserve">3D프로그램버전값 </t>
  </si>
  <si>
    <t>APIURL주소</t>
  </si>
  <si>
    <t>API개발여부</t>
  </si>
  <si>
    <t>API구분값</t>
  </si>
  <si>
    <t>API그룹구분값</t>
  </si>
  <si>
    <t>API그룹명</t>
  </si>
  <si>
    <t>API그룹일련번호</t>
  </si>
  <si>
    <t>API그룹키워드명</t>
  </si>
  <si>
    <t>API데이터번호값</t>
  </si>
  <si>
    <t>API명</t>
  </si>
  <si>
    <t>API분류값</t>
  </si>
  <si>
    <t>API분류여부</t>
  </si>
  <si>
    <t>API분류코드</t>
  </si>
  <si>
    <t>API상세일련번호</t>
  </si>
  <si>
    <t>API설명</t>
  </si>
  <si>
    <t>API수신아이디</t>
  </si>
  <si>
    <t>API스케줄아이디</t>
  </si>
  <si>
    <t>API실행분</t>
  </si>
  <si>
    <t>API실행시간</t>
  </si>
  <si>
    <t>API실행유형값</t>
  </si>
  <si>
    <t>API실행일자</t>
  </si>
  <si>
    <t>API실행주기값</t>
  </si>
  <si>
    <t>API실행초값</t>
  </si>
  <si>
    <t>API요청유형값</t>
  </si>
  <si>
    <t>API응답속성명</t>
  </si>
  <si>
    <t>API응답속성설명</t>
  </si>
  <si>
    <t>API응답속성유형값</t>
  </si>
  <si>
    <t>API응답속성한글명</t>
  </si>
  <si>
    <t>API응답유형값</t>
  </si>
  <si>
    <t>API일련번호</t>
  </si>
  <si>
    <t>API제공기관아이디</t>
  </si>
  <si>
    <t>API키워드값</t>
  </si>
  <si>
    <t>CPU유형명</t>
  </si>
  <si>
    <t>DEM파일경로명</t>
  </si>
  <si>
    <t>DEM파일명</t>
  </si>
  <si>
    <t>GLB변환여부</t>
  </si>
  <si>
    <t>RAM유형명</t>
  </si>
  <si>
    <t>SHP파일값</t>
  </si>
  <si>
    <t>shp파일경로명</t>
  </si>
  <si>
    <t>SHP파일명</t>
  </si>
  <si>
    <t>SHP파일유형값</t>
  </si>
  <si>
    <t>SHP행총수</t>
  </si>
  <si>
    <t>SWAGGERURL주소</t>
  </si>
  <si>
    <t>URL매핑값</t>
  </si>
  <si>
    <t>X축회전수</t>
  </si>
  <si>
    <t>Y축회전수</t>
  </si>
  <si>
    <t>Z축회전수</t>
  </si>
  <si>
    <t>개발자URL주소</t>
  </si>
  <si>
    <t>검색바색상값</t>
  </si>
  <si>
    <t>검색버튼색상값</t>
  </si>
  <si>
    <t>검색버튼여부</t>
  </si>
  <si>
    <t>게시물URL주소</t>
  </si>
  <si>
    <t>게시물공개여부</t>
  </si>
  <si>
    <t>게시물공지여부</t>
  </si>
  <si>
    <t>게시물내용</t>
  </si>
  <si>
    <t>게시물노출여부</t>
  </si>
  <si>
    <t>게시물답변일시</t>
  </si>
  <si>
    <t>게시물답변자아이디</t>
  </si>
  <si>
    <t>게시물등록자IP값</t>
  </si>
  <si>
    <t>게시물삭제여부</t>
  </si>
  <si>
    <t>게시물삭제일시</t>
  </si>
  <si>
    <t>게시물삭제일자</t>
  </si>
  <si>
    <t>게시물상태값</t>
  </si>
  <si>
    <t>게시물원본첨부파일명</t>
  </si>
  <si>
    <t>게시물이전내용</t>
  </si>
  <si>
    <t>게시물일련번호</t>
  </si>
  <si>
    <t>게시물임시내용</t>
  </si>
  <si>
    <t>게시물임시작성일시</t>
  </si>
  <si>
    <t>게시물임시제목</t>
  </si>
  <si>
    <t>게시물작성자명</t>
  </si>
  <si>
    <t>게시물제목</t>
  </si>
  <si>
    <t>게시물조회수</t>
  </si>
  <si>
    <t>게시물질문내용</t>
  </si>
  <si>
    <t>게시물첨부파일경로명</t>
  </si>
  <si>
    <t>게시물첨부파일수</t>
  </si>
  <si>
    <t>게시물파일경로명</t>
  </si>
  <si>
    <t>게시물파일크기수</t>
  </si>
  <si>
    <t>게시판명</t>
  </si>
  <si>
    <t>게시판번호</t>
  </si>
  <si>
    <t>게시판분류코드</t>
  </si>
  <si>
    <t>게시판사용여부</t>
  </si>
  <si>
    <t>게시판설명</t>
  </si>
  <si>
    <t>게시판아이디</t>
  </si>
  <si>
    <t>게시판영어명</t>
  </si>
  <si>
    <t>게시판유형구분값</t>
  </si>
  <si>
    <t>결과메시지내용</t>
  </si>
  <si>
    <t>경도</t>
  </si>
  <si>
    <t>경로명</t>
  </si>
  <si>
    <t>경사벽여부</t>
  </si>
  <si>
    <t>고용목표인원수</t>
  </si>
  <si>
    <t>고용변경율</t>
  </si>
  <si>
    <t>고용율값</t>
  </si>
  <si>
    <t>고용정책URL주소</t>
  </si>
  <si>
    <t>공간데이터SHP명</t>
  </si>
  <si>
    <t>공간데이터SHP아이디</t>
  </si>
  <si>
    <t>공간데이터SHP일련번호</t>
  </si>
  <si>
    <t>공간데이터WKT내용</t>
  </si>
  <si>
    <t>공간데이터값</t>
  </si>
  <si>
    <t>공간데이터시각화유형수</t>
  </si>
  <si>
    <t>공간데이터시각화일련번호</t>
  </si>
  <si>
    <t>공간데이터일련번호</t>
  </si>
  <si>
    <t>공간데이터좌표계값</t>
  </si>
  <si>
    <t>공간정보속성값</t>
  </si>
  <si>
    <t>공간정보속성배열내용</t>
  </si>
  <si>
    <t>공개계획유형값</t>
  </si>
  <si>
    <t>공개계획일련번호</t>
  </si>
  <si>
    <t>공개메시지내용</t>
  </si>
  <si>
    <t>공개성공여부</t>
  </si>
  <si>
    <t>공개승인아이디</t>
  </si>
  <si>
    <t>공개승인일시</t>
  </si>
  <si>
    <t>공개여부</t>
  </si>
  <si>
    <t>공개일시</t>
  </si>
  <si>
    <t>공용부가설명</t>
  </si>
  <si>
    <t>공통그룹코드</t>
  </si>
  <si>
    <t>공통그룹코드명</t>
  </si>
  <si>
    <t>공통그룹코드설명</t>
  </si>
  <si>
    <t>공통분류명</t>
  </si>
  <si>
    <t>공통분류설명</t>
  </si>
  <si>
    <t>공통분류코드</t>
  </si>
  <si>
    <t>공통상세코드</t>
  </si>
  <si>
    <t>공통상세코드명</t>
  </si>
  <si>
    <t>공통상세코드설명</t>
  </si>
  <si>
    <t>공통코드명</t>
  </si>
  <si>
    <t>공통코드설명</t>
  </si>
  <si>
    <t>공통코드일련번호</t>
  </si>
  <si>
    <t>관계일련번호</t>
  </si>
  <si>
    <t>관계테이블명</t>
  </si>
  <si>
    <t>관리자사용여부</t>
  </si>
  <si>
    <t>관리자아이디</t>
  </si>
  <si>
    <t>관리자일련번호</t>
  </si>
  <si>
    <t>구명</t>
  </si>
  <si>
    <t>구인URL주소</t>
  </si>
  <si>
    <t>군명</t>
  </si>
  <si>
    <t>그룹명</t>
  </si>
  <si>
    <t>기관구분값</t>
  </si>
  <si>
    <t>기관명</t>
  </si>
  <si>
    <t>기관소재지명</t>
  </si>
  <si>
    <t>기관전화번호</t>
  </si>
  <si>
    <t>기점컬럼명</t>
  </si>
  <si>
    <t>기하WKT내용</t>
  </si>
  <si>
    <t>기하데이터내용</t>
  </si>
  <si>
    <t>기하파일경로명</t>
  </si>
  <si>
    <t>기하파일명</t>
  </si>
  <si>
    <t>깃URL주소</t>
  </si>
  <si>
    <t>깃비밀번호</t>
  </si>
  <si>
    <t>깃아이디</t>
  </si>
  <si>
    <t>깃오류내용</t>
  </si>
  <si>
    <t>깃토큰내용</t>
  </si>
  <si>
    <t>깃프로젝트명</t>
  </si>
  <si>
    <t>내부IP메뉴여부</t>
  </si>
  <si>
    <t>내부IP확인여부</t>
  </si>
  <si>
    <t>높이값</t>
  </si>
  <si>
    <t>다운로드콘텐츠명</t>
  </si>
  <si>
    <t>담당업무명</t>
  </si>
  <si>
    <t>대메뉴명</t>
  </si>
  <si>
    <t>데이터명</t>
  </si>
  <si>
    <t>데이터아이디</t>
  </si>
  <si>
    <t>데이터유형명</t>
  </si>
  <si>
    <t>등록일시</t>
  </si>
  <si>
    <t>등록일자</t>
  </si>
  <si>
    <t>등록자아이디</t>
  </si>
  <si>
    <t>라벨내용</t>
  </si>
  <si>
    <t>라이노결과요청일련번호</t>
  </si>
  <si>
    <t>라이노결과일련번호</t>
  </si>
  <si>
    <t>라이노결과파일경로명</t>
  </si>
  <si>
    <t>라이노결과항목일련번호</t>
  </si>
  <si>
    <t>라이노분석결과명</t>
  </si>
  <si>
    <t>라이노분석신청명</t>
  </si>
  <si>
    <t>라이노분석요청일련번호</t>
  </si>
  <si>
    <t>라이노옵션명</t>
  </si>
  <si>
    <t>라이노파일용량</t>
  </si>
  <si>
    <t>레이어XY순서정상여부</t>
  </si>
  <si>
    <t>레이어그룹명</t>
  </si>
  <si>
    <t>레이어그룹설명</t>
  </si>
  <si>
    <t>레이어그룹일련번호</t>
  </si>
  <si>
    <t>레이어기점컬럼명</t>
  </si>
  <si>
    <t>레이어명</t>
  </si>
  <si>
    <t>레이어발행상태값</t>
  </si>
  <si>
    <t xml:space="preserve">레이어분류값 </t>
  </si>
  <si>
    <t>레이어분류구분값</t>
  </si>
  <si>
    <t>레이어설명</t>
  </si>
  <si>
    <t>레이어소유구분값</t>
  </si>
  <si>
    <t>레이어속성그룹값</t>
  </si>
  <si>
    <t>레이어속성명</t>
  </si>
  <si>
    <t>레이어속성아이디</t>
  </si>
  <si>
    <t>레이어스타일내용</t>
  </si>
  <si>
    <t>레이어식별자아이디</t>
  </si>
  <si>
    <t>레이어아이디</t>
  </si>
  <si>
    <t>레이어알림상태값</t>
  </si>
  <si>
    <t>레이어알림시각</t>
  </si>
  <si>
    <t>레이어알림시기수</t>
  </si>
  <si>
    <t>레이어유형값</t>
  </si>
  <si>
    <t>레이어유형구분값</t>
  </si>
  <si>
    <t>레이어유형구분코드</t>
  </si>
  <si>
    <t>로그인버튼색상값</t>
  </si>
  <si>
    <t>링크URL주소</t>
  </si>
  <si>
    <t>매핑일련번호</t>
  </si>
  <si>
    <t>메뉴URL주소</t>
  </si>
  <si>
    <t>메뉴URL주소패턴내용</t>
  </si>
  <si>
    <t>메뉴경로유형번호</t>
  </si>
  <si>
    <t>메뉴명</t>
  </si>
  <si>
    <t>메뉴문구정렬값</t>
  </si>
  <si>
    <t>메뉴문구폰트색상값</t>
  </si>
  <si>
    <t>메뉴문구폰트수</t>
  </si>
  <si>
    <t>메뉴배경색상값</t>
  </si>
  <si>
    <t>메뉴배경색상투명도수</t>
  </si>
  <si>
    <t>메뉴배경여부</t>
  </si>
  <si>
    <t>메뉴배경파일아이디</t>
  </si>
  <si>
    <t>메뉴새창여부</t>
  </si>
  <si>
    <t>메뉴아이디</t>
  </si>
  <si>
    <t>메뉴아이콘명</t>
  </si>
  <si>
    <t>메뉴아이콘색상값</t>
  </si>
  <si>
    <t>메뉴아이콘여부</t>
  </si>
  <si>
    <t>메뉴아이콘파일아이디</t>
  </si>
  <si>
    <t>메뉴여부</t>
  </si>
  <si>
    <t>메뉴영문명</t>
  </si>
  <si>
    <t>메뉴유형값</t>
  </si>
  <si>
    <t>메뉴일련번호</t>
  </si>
  <si>
    <t>메뉴정보설명</t>
  </si>
  <si>
    <t>메뉴폰트강조색상값</t>
  </si>
  <si>
    <t>메뉴폰트색상값</t>
  </si>
  <si>
    <t>모델크기율</t>
  </si>
  <si>
    <t>문자메시지수신여부</t>
  </si>
  <si>
    <t>바로가기메뉴아이디</t>
  </si>
  <si>
    <t>바로가기문구정렬값</t>
  </si>
  <si>
    <t>바로가기문구폰트색상값</t>
  </si>
  <si>
    <t>바로가기문구폰트수</t>
  </si>
  <si>
    <t>바로가기배경색상값</t>
  </si>
  <si>
    <t>바로가기배경색상투명도수</t>
  </si>
  <si>
    <t>바로가기배경여부</t>
  </si>
  <si>
    <t>바로가기배경파일아이디</t>
  </si>
  <si>
    <t>바로가기버튼색상값</t>
  </si>
  <si>
    <t>바로가기버튼아이디</t>
  </si>
  <si>
    <t>바로가기버튼폰트강조색상값</t>
  </si>
  <si>
    <t>바로가기버튼폰트색상값</t>
  </si>
  <si>
    <t>바로가기폰트강조색상값</t>
  </si>
  <si>
    <t>바로가기폰트색상값</t>
  </si>
  <si>
    <t>반려사유</t>
  </si>
  <si>
    <t>반려아이디</t>
  </si>
  <si>
    <t>반려일시</t>
  </si>
  <si>
    <t>반려자아이디</t>
  </si>
  <si>
    <t>방음벽명</t>
  </si>
  <si>
    <t>방음벽수</t>
  </si>
  <si>
    <t>방음벽일련번호</t>
  </si>
  <si>
    <t>배경색상2값</t>
  </si>
  <si>
    <t>배경색상값</t>
  </si>
  <si>
    <t>배경색상여부</t>
  </si>
  <si>
    <t>배경색상투명도수</t>
  </si>
  <si>
    <t>배경설정2사용여부</t>
  </si>
  <si>
    <t>배경파일2아이디</t>
  </si>
  <si>
    <t>배경파일아이디</t>
  </si>
  <si>
    <t>배너유형값</t>
  </si>
  <si>
    <t>배너이미지일련번호</t>
  </si>
  <si>
    <t>배너콘텐츠아이디</t>
  </si>
  <si>
    <t>배너파일여부</t>
  </si>
  <si>
    <t>버튼번호</t>
  </si>
  <si>
    <t>범용고유식별자아이디</t>
  </si>
  <si>
    <t>변경유형값</t>
  </si>
  <si>
    <t>부메뉴폰트강조색상값</t>
  </si>
  <si>
    <t>부서구분값</t>
  </si>
  <si>
    <t>부서명</t>
  </si>
  <si>
    <t>부제목색상값</t>
  </si>
  <si>
    <t>부제목정렬번호</t>
  </si>
  <si>
    <t>부제목폰트수</t>
  </si>
  <si>
    <t>분류배열내용</t>
  </si>
  <si>
    <t>분석결과내용</t>
  </si>
  <si>
    <t>분석결과명</t>
  </si>
  <si>
    <t>분석결과아이디</t>
  </si>
  <si>
    <t>분석결과유형값</t>
  </si>
  <si>
    <t>분석모델아이디</t>
  </si>
  <si>
    <t>분석모델유형내용</t>
  </si>
  <si>
    <t>분석모델유형명</t>
  </si>
  <si>
    <t>분석서비스종류명</t>
  </si>
  <si>
    <t>분석설정내용</t>
  </si>
  <si>
    <t>분석설정명</t>
  </si>
  <si>
    <t>분석설정아이디</t>
  </si>
  <si>
    <t>분석시간값</t>
  </si>
  <si>
    <t>분석알림번호</t>
  </si>
  <si>
    <t>분석알림일련번호</t>
  </si>
  <si>
    <t>분석요청유형값</t>
  </si>
  <si>
    <t>분석컴퓨테이션간격값</t>
  </si>
  <si>
    <t>비고내용</t>
  </si>
  <si>
    <t>사용공유여부</t>
  </si>
  <si>
    <t>사용브라우저명</t>
  </si>
  <si>
    <t>사용여부</t>
  </si>
  <si>
    <t>사용자데이터명</t>
  </si>
  <si>
    <t>사용자데이터아이디</t>
  </si>
  <si>
    <t>사용자등록수</t>
  </si>
  <si>
    <t>사용자명</t>
  </si>
  <si>
    <t>사용자비밀번호</t>
  </si>
  <si>
    <t>사용자에이전트설명</t>
  </si>
  <si>
    <t>사용자역할명</t>
  </si>
  <si>
    <t>사용자역할일련번호</t>
  </si>
  <si>
    <t>사용자유형</t>
  </si>
  <si>
    <t>사용자일련번호</t>
  </si>
  <si>
    <t>사용자콘텐츠값</t>
  </si>
  <si>
    <t>사용자콘텐츠명</t>
  </si>
  <si>
    <t>사용자콘텐츠일련번호</t>
  </si>
  <si>
    <t>사용자콘텐츠활성화일련번호</t>
  </si>
  <si>
    <t>사용자휴대전화번호</t>
  </si>
  <si>
    <t>사이트API일련번호</t>
  </si>
  <si>
    <t>삭제여부</t>
  </si>
  <si>
    <t>삭제일시</t>
  </si>
  <si>
    <t>삭제일자</t>
  </si>
  <si>
    <t>상위메뉴아이디</t>
  </si>
  <si>
    <t>상위메뉴일련번호</t>
  </si>
  <si>
    <t>상위영문제목</t>
  </si>
  <si>
    <t>상위제목</t>
  </si>
  <si>
    <t>상태값</t>
  </si>
  <si>
    <t>상품명</t>
  </si>
  <si>
    <t>상품일련번호</t>
  </si>
  <si>
    <t>색상인덱스일련번호</t>
  </si>
  <si>
    <t>서브메뉴배경색상값</t>
  </si>
  <si>
    <t>서브메뉴배경색상수</t>
  </si>
  <si>
    <t>서브메뉴배경색상투명도수</t>
  </si>
  <si>
    <t>서브메뉴아이디</t>
  </si>
  <si>
    <t>서브메뉴폰트색상값</t>
  </si>
  <si>
    <t>서비스URL주소값</t>
  </si>
  <si>
    <t>서비스명</t>
  </si>
  <si>
    <t>서비스번호</t>
  </si>
  <si>
    <t>서비스설명</t>
  </si>
  <si>
    <t>서비스신청번호</t>
  </si>
  <si>
    <t>서비스신청상세일련번호</t>
  </si>
  <si>
    <t>서비스신청승인아이디</t>
  </si>
  <si>
    <t>서비스신청승인일시</t>
  </si>
  <si>
    <t>서비스신청일련번호</t>
  </si>
  <si>
    <t>서비스신청일일련번호</t>
  </si>
  <si>
    <t>서비스신청코드</t>
  </si>
  <si>
    <t>서비스영문명</t>
  </si>
  <si>
    <t>서비스유형구분코드</t>
  </si>
  <si>
    <t>서비스일련번호</t>
  </si>
  <si>
    <t>서비스키워드값</t>
  </si>
  <si>
    <t>소음등급값</t>
  </si>
  <si>
    <t>소음등급상세일련번호</t>
  </si>
  <si>
    <t>소음원명</t>
  </si>
  <si>
    <t>소음원수</t>
  </si>
  <si>
    <t>소음원일련번호</t>
  </si>
  <si>
    <t>소음최대값</t>
  </si>
  <si>
    <t>소음최소값</t>
  </si>
  <si>
    <t>소음테라헤르츠1값</t>
  </si>
  <si>
    <t>소음테라헤르츠2값</t>
  </si>
  <si>
    <t>소음테라헤르츠4값</t>
  </si>
  <si>
    <t>소음테라헤르츠5값</t>
  </si>
  <si>
    <t>소음헤르츠125값</t>
  </si>
  <si>
    <t>소음헤르츠250값</t>
  </si>
  <si>
    <t>소음헤르츠500값</t>
  </si>
  <si>
    <t>소음헤르츠63값</t>
  </si>
  <si>
    <t>소음흡수율값</t>
  </si>
  <si>
    <t>수신파일경로명</t>
  </si>
  <si>
    <t>수정일시</t>
  </si>
  <si>
    <t>수정자아이디</t>
  </si>
  <si>
    <t>순서일련번호</t>
  </si>
  <si>
    <t>스키마내용</t>
  </si>
  <si>
    <t>스키마명</t>
  </si>
  <si>
    <t>스타일명</t>
  </si>
  <si>
    <t>스타일식별자아이디</t>
  </si>
  <si>
    <t>스타일유형값</t>
  </si>
  <si>
    <t>승인일시</t>
  </si>
  <si>
    <t>승인자아이디</t>
  </si>
  <si>
    <t>승인자유형값</t>
  </si>
  <si>
    <t>시뮬레이션일련번호</t>
  </si>
  <si>
    <t>시뮬레이션최대값</t>
  </si>
  <si>
    <t>시뮬레이션최소값</t>
  </si>
  <si>
    <t>시스템구분값</t>
  </si>
  <si>
    <t>시스템그룹코드</t>
  </si>
  <si>
    <t>시스템유형값</t>
  </si>
  <si>
    <t>시스템코드값</t>
  </si>
  <si>
    <t>시정데이터구분값</t>
  </si>
  <si>
    <t>시정데이터메뉴여부</t>
  </si>
  <si>
    <t>시정데이터사용여부</t>
  </si>
  <si>
    <t>신청사유</t>
  </si>
  <si>
    <t>신청상태값</t>
  </si>
  <si>
    <t>신청여부</t>
  </si>
  <si>
    <t>신청일련번호</t>
  </si>
  <si>
    <t>신청자아이디</t>
  </si>
  <si>
    <t>심볼스타일명</t>
  </si>
  <si>
    <t>심볼조건내용</t>
  </si>
  <si>
    <t>안내파일명</t>
  </si>
  <si>
    <t>안내파일유형값</t>
  </si>
  <si>
    <t>안내파일일련번호</t>
  </si>
  <si>
    <t>업데이트테이블명</t>
  </si>
  <si>
    <t>업무분류값</t>
  </si>
  <si>
    <t>외벽색상값</t>
  </si>
  <si>
    <t>원본데이터번호</t>
  </si>
  <si>
    <t>원본차트번호</t>
  </si>
  <si>
    <t>원본파일명</t>
  </si>
  <si>
    <t>원본파일아이디</t>
  </si>
  <si>
    <t>원파일명</t>
  </si>
  <si>
    <t>웹맵레이어전체필터설명</t>
  </si>
  <si>
    <t>웹맵설정객체식별자아이디</t>
  </si>
  <si>
    <t>웹맵설정객체유형값</t>
  </si>
  <si>
    <t>웹앱이력유형값</t>
  </si>
  <si>
    <t>웹앱이력일련번호</t>
  </si>
  <si>
    <t>웹앱템플릿아이디</t>
  </si>
  <si>
    <t>웹템플릿이력내용</t>
  </si>
  <si>
    <t>위도</t>
  </si>
  <si>
    <t>위젯대분류값</t>
  </si>
  <si>
    <t>위젯명</t>
  </si>
  <si>
    <t>위젯식별자아이디</t>
  </si>
  <si>
    <t>위젯영문명</t>
  </si>
  <si>
    <t>위젯중분류값</t>
  </si>
  <si>
    <t>위치값</t>
  </si>
  <si>
    <t>유량수문곡선파일경로명</t>
  </si>
  <si>
    <t>유량수문곡선파일명</t>
  </si>
  <si>
    <t>유리색상값</t>
  </si>
  <si>
    <t>유리투명도값</t>
  </si>
  <si>
    <t>유속최대값</t>
  </si>
  <si>
    <t>유속최소값</t>
  </si>
  <si>
    <t>이메일주소</t>
  </si>
  <si>
    <t>이미지파일일련번호</t>
  </si>
  <si>
    <t>이전공통코드</t>
  </si>
  <si>
    <t>인프라대분류명</t>
  </si>
  <si>
    <t>인프라대분류일련번호</t>
  </si>
  <si>
    <t>인프라상세일련번호</t>
  </si>
  <si>
    <t>인프라상품품목일련번호</t>
  </si>
  <si>
    <t>인프라소분류명</t>
  </si>
  <si>
    <t>인프라소분류비용금액</t>
  </si>
  <si>
    <t>인프라소분류설명</t>
  </si>
  <si>
    <t>인프라소분류유형값</t>
  </si>
  <si>
    <t>인프라소분류일련번호</t>
  </si>
  <si>
    <t>인프라신청처리상태값</t>
  </si>
  <si>
    <t>인프라중분류명</t>
  </si>
  <si>
    <t>인프라중분류일련번호</t>
  </si>
  <si>
    <t>인프라추가여부</t>
  </si>
  <si>
    <t>인프라품목명</t>
  </si>
  <si>
    <t>인프라품목유형값</t>
  </si>
  <si>
    <t>인프라품목유형코드</t>
  </si>
  <si>
    <t>인프라품목일련번호</t>
  </si>
  <si>
    <t>인프라품목총수량</t>
  </si>
  <si>
    <t>읽기여부</t>
  </si>
  <si>
    <t>자동화모델일련번호</t>
  </si>
  <si>
    <t>작업내용</t>
  </si>
  <si>
    <t>작업로그일련번호</t>
  </si>
  <si>
    <t>작업처리구분값</t>
  </si>
  <si>
    <t>작업함수상태값</t>
  </si>
  <si>
    <t>작업함수아이디</t>
  </si>
  <si>
    <t>저장파일경로명</t>
  </si>
  <si>
    <t>저장파일명</t>
  </si>
  <si>
    <t>전처리처리상태값</t>
  </si>
  <si>
    <t>접근이력IP값</t>
  </si>
  <si>
    <t>접근이력URL주소</t>
  </si>
  <si>
    <t>접근이력도메인명</t>
  </si>
  <si>
    <t>접근이력연도</t>
  </si>
  <si>
    <t>접근이력월</t>
  </si>
  <si>
    <t>접근이력일수</t>
  </si>
  <si>
    <t>접근이력장비명</t>
  </si>
  <si>
    <t>접근이력페이지명</t>
  </si>
  <si>
    <t>정보유형값</t>
  </si>
  <si>
    <t>정제컬럼내용</t>
  </si>
  <si>
    <t>정제함수컬럼값</t>
  </si>
  <si>
    <t>제목명</t>
  </si>
  <si>
    <t>제목색상값</t>
  </si>
  <si>
    <t>제목정렬번호</t>
  </si>
  <si>
    <t>제목폰트수</t>
  </si>
  <si>
    <t>제방선명</t>
  </si>
  <si>
    <t>제방선일련번호</t>
  </si>
  <si>
    <t>제방선파일경로명</t>
  </si>
  <si>
    <t>제방선파일명</t>
  </si>
  <si>
    <t>제한값</t>
  </si>
  <si>
    <t>조도계수값</t>
  </si>
  <si>
    <t>조회수</t>
  </si>
  <si>
    <t>좌표계구분코드</t>
  </si>
  <si>
    <t>중메뉴명</t>
  </si>
  <si>
    <t>즐겨찾기배경색상값</t>
  </si>
  <si>
    <t>즐겨찾기배경색상투명도수</t>
  </si>
  <si>
    <t>즐겨찾기서비스아이디</t>
  </si>
  <si>
    <t>즐겨찾기여부</t>
  </si>
  <si>
    <t>즐겨찾기폰트색상값</t>
  </si>
  <si>
    <t>지도URL주소</t>
  </si>
  <si>
    <t>지도URL파라미터내용</t>
  </si>
  <si>
    <t>지자체상세코드</t>
  </si>
  <si>
    <t>지자체코드</t>
  </si>
  <si>
    <t>차트X축내용</t>
  </si>
  <si>
    <t>차트Y축내용</t>
  </si>
  <si>
    <t>차트Z축내용</t>
  </si>
  <si>
    <t>차트번호</t>
  </si>
  <si>
    <t>차트스타일명</t>
  </si>
  <si>
    <t>차트아이디</t>
  </si>
  <si>
    <t>차트여부</t>
  </si>
  <si>
    <t>차트제목</t>
  </si>
  <si>
    <t>차트코드</t>
  </si>
  <si>
    <t>첨부파일경로명</t>
  </si>
  <si>
    <t>첨부파일상세일련번호</t>
  </si>
  <si>
    <t>첨부파일일련번호</t>
  </si>
  <si>
    <t>최대X좌표</t>
  </si>
  <si>
    <t>최대Y좌표</t>
  </si>
  <si>
    <t>최대용량값</t>
  </si>
  <si>
    <t>최소X좌표</t>
  </si>
  <si>
    <t>최소Y좌표</t>
  </si>
  <si>
    <t>최종로그인일시</t>
  </si>
  <si>
    <t>출력순서일련번호</t>
  </si>
  <si>
    <t>취업율</t>
  </si>
  <si>
    <t>캐드파일경로명</t>
  </si>
  <si>
    <t>캐드파일명</t>
  </si>
  <si>
    <t>캐드파일용량</t>
  </si>
  <si>
    <t>컬럼비교조건내용</t>
  </si>
  <si>
    <t>콘텐츠번호</t>
  </si>
  <si>
    <t>테마지도URL주소</t>
  </si>
  <si>
    <t>테마지도내용</t>
  </si>
  <si>
    <t>테마지도명</t>
  </si>
  <si>
    <t>테마지도일련번호</t>
  </si>
  <si>
    <t>테마차트아이디</t>
  </si>
  <si>
    <t>테스트URL주소</t>
  </si>
  <si>
    <t>테이블영문명</t>
  </si>
  <si>
    <t>템플릿메뉴일련번호</t>
  </si>
  <si>
    <t>템플릿명</t>
  </si>
  <si>
    <t>템플릿바로가기일련번호</t>
  </si>
  <si>
    <t>템플릿부제목명</t>
  </si>
  <si>
    <t>템플릿부제목일련번호</t>
  </si>
  <si>
    <t>템플릿사용여부</t>
  </si>
  <si>
    <t>템플릿서브메뉴일련번호</t>
  </si>
  <si>
    <t>템플릿설명</t>
  </si>
  <si>
    <t>템플릿아이디</t>
  </si>
  <si>
    <t>템플릿유형값</t>
  </si>
  <si>
    <t>템플릿제목일련번호</t>
  </si>
  <si>
    <t>툴바위젯구분값</t>
  </si>
  <si>
    <t>파라미터기간설정값</t>
  </si>
  <si>
    <t>파라미터내용</t>
  </si>
  <si>
    <t>파라미터명</t>
  </si>
  <si>
    <t>파라미터아이디</t>
  </si>
  <si>
    <t>파라미터유형값</t>
  </si>
  <si>
    <t>파라미터필수여부</t>
  </si>
  <si>
    <t>파일경로명</t>
  </si>
  <si>
    <t>파일내용</t>
  </si>
  <si>
    <t>파일다운로드건수</t>
  </si>
  <si>
    <t>파일다운로드목적명</t>
  </si>
  <si>
    <t>파일다운로드사유</t>
  </si>
  <si>
    <t>파일다운로드유형명</t>
  </si>
  <si>
    <t>파일로고유형값</t>
  </si>
  <si>
    <t>파일명</t>
  </si>
  <si>
    <t>파일설명</t>
  </si>
  <si>
    <t>파일순서일련번호</t>
  </si>
  <si>
    <t>파일아이디</t>
  </si>
  <si>
    <t>파일용량</t>
  </si>
  <si>
    <t>파일일련번호</t>
  </si>
  <si>
    <t>파일크기수</t>
  </si>
  <si>
    <t>파일확장자명</t>
  </si>
  <si>
    <t>팝업여부</t>
  </si>
  <si>
    <t>푸터내용</t>
  </si>
  <si>
    <t>푸터내용배경색상값</t>
  </si>
  <si>
    <t>푸터내용배경색상투명도수</t>
  </si>
  <si>
    <t>푸터내용폰트색상값</t>
  </si>
  <si>
    <t>푸터내용폰트정렬값</t>
  </si>
  <si>
    <t>푸터로고파일아이디</t>
  </si>
  <si>
    <t>풍속값</t>
  </si>
  <si>
    <t>풍향값</t>
  </si>
  <si>
    <t>프레임구분값</t>
  </si>
  <si>
    <t>프레임아이디</t>
  </si>
  <si>
    <t>프레임유형값</t>
  </si>
  <si>
    <t>프레임일련번호</t>
  </si>
  <si>
    <t>프레임제목내용</t>
  </si>
  <si>
    <t>프레임제목색상값</t>
  </si>
  <si>
    <t>프레임제목정렬값</t>
  </si>
  <si>
    <t>프레임제목폰트수</t>
  </si>
  <si>
    <t>프레임컴포넌트번호</t>
  </si>
  <si>
    <t>프레임컴포넌트일련번호</t>
  </si>
  <si>
    <t>프로그램URL주소</t>
  </si>
  <si>
    <t>프로그램명</t>
  </si>
  <si>
    <t>프로그램설명</t>
  </si>
  <si>
    <t>프로그램아이디</t>
  </si>
  <si>
    <t>플랫폼API유형코드</t>
  </si>
  <si>
    <t>플랫폼구분값</t>
  </si>
  <si>
    <t>플랫폼일련번호</t>
  </si>
  <si>
    <t>피처아이디</t>
  </si>
  <si>
    <t>필지여부</t>
  </si>
  <si>
    <t>하드디스크유형명</t>
  </si>
  <si>
    <t>하위영문제목</t>
  </si>
  <si>
    <t>하위제목</t>
  </si>
  <si>
    <t>하천경계유형값</t>
  </si>
  <si>
    <t>하천경계일련번호</t>
  </si>
  <si>
    <t>하천경계파일경로명</t>
  </si>
  <si>
    <t>하천경계파일명</t>
  </si>
  <si>
    <t>하천경사값</t>
  </si>
  <si>
    <t>하천범람일련번호</t>
  </si>
  <si>
    <t>하천수심최대값</t>
  </si>
  <si>
    <t>하천수심최소값</t>
  </si>
  <si>
    <t>하천유량최대값</t>
  </si>
  <si>
    <t>하천유량최소값</t>
  </si>
  <si>
    <t>하천중심선파일경로명</t>
  </si>
  <si>
    <t>하천중심선파일명</t>
  </si>
  <si>
    <t>함수아이디</t>
  </si>
  <si>
    <t>함수정제아이디</t>
  </si>
  <si>
    <t>행정구역명</t>
  </si>
  <si>
    <t>헤더로고파일아이디</t>
  </si>
  <si>
    <t>헤더메뉴아이디</t>
  </si>
  <si>
    <t>헤더메뉴폰트강조색상값</t>
  </si>
  <si>
    <t>헤더메뉴폰트색상값</t>
  </si>
  <si>
    <t>헤더배경사용여부</t>
  </si>
  <si>
    <t>헤더배경색상값</t>
  </si>
  <si>
    <t>헤더배경색상여부</t>
  </si>
  <si>
    <t>헤더배경색상투명도수</t>
  </si>
  <si>
    <t>헤더배경파일아이디</t>
  </si>
  <si>
    <t>현장조사레이어명</t>
  </si>
  <si>
    <t>현장조사보고서내용</t>
  </si>
  <si>
    <t>현장조사보고서소제목</t>
  </si>
  <si>
    <t>현장조사보고서소제목아이디</t>
  </si>
  <si>
    <t>현장조사보고서아이디</t>
  </si>
  <si>
    <t>현장조사보고서양식명</t>
  </si>
  <si>
    <t>현장조사보고서양식소제목내용</t>
  </si>
  <si>
    <t>현장조사보고서양식아이디</t>
  </si>
  <si>
    <t>현장조사보고서양식유형값</t>
  </si>
  <si>
    <t>현장조사보고서제목</t>
  </si>
  <si>
    <t>현장조사양식소제목</t>
  </si>
  <si>
    <t>현장조사양식소제목일련번호</t>
  </si>
  <si>
    <t>현장조사원본파일명</t>
  </si>
  <si>
    <t>현장조사작성일시</t>
  </si>
  <si>
    <t>현장조사파일경로명</t>
  </si>
  <si>
    <t>현장조사파일명</t>
  </si>
  <si>
    <t>현장조사파일설명</t>
  </si>
  <si>
    <t>현장조사파일아이디</t>
  </si>
  <si>
    <t>현장조사파일용량</t>
  </si>
  <si>
    <t>현장조사파일일련번호</t>
  </si>
  <si>
    <t>현장조사파일확장자명</t>
  </si>
  <si>
    <t>현장조사피처아이디</t>
  </si>
  <si>
    <t>현장조사피처유형명</t>
  </si>
  <si>
    <t>현장주소</t>
  </si>
  <si>
    <t>화면데이터내용</t>
  </si>
  <si>
    <t>화면데이터번호</t>
  </si>
  <si>
    <t>화면데이터일련번호</t>
  </si>
  <si>
    <t>화면버튼번호</t>
  </si>
  <si>
    <t>화면소메뉴명</t>
  </si>
  <si>
    <t>확인여부</t>
  </si>
  <si>
    <t>활성화여부</t>
  </si>
  <si>
    <t>게시물첨부파일명</t>
  </si>
  <si>
    <t>게시물첨부파일일련번호</t>
  </si>
  <si>
    <t>사용자아이디</t>
  </si>
  <si>
    <t>사용자메뉴구분값</t>
  </si>
  <si>
    <t>운영 체제, 프로그래밍 언어 등에 있는 라이브러리를 응용 프로그램 개발 시 이용할 수 있도록 규칙들을 정의해 놓은 인터페이스의 이름</t>
  </si>
  <si>
    <t>운영 체제, 프로그래밍 언어 등에 있는 라이브러리를 응용 프로그램 개발 시 이용할 수 있도록 규칙들을 정의해 놓은 인터페이스에 대한 설명</t>
  </si>
  <si>
    <t>여러 사람에게 알리기 위하여 내붙이거나 내걸어 두루 보게 한 물건이나 글의 내용</t>
  </si>
  <si>
    <t>여러 사람에게 알리기 위하여 내붙이거나 내걸어 두루 보게 한 물건이나 글을 지워 버렸는지 여부</t>
  </si>
  <si>
    <t>여러 사람에게 알리기 위하여 내붙이거나 내걸어 두루 보게 한 물건이나 글에 일정한 방식으로 연속되게 매긴 번호</t>
  </si>
  <si>
    <t>여러 사람에게 알리기 위하여 두루 보게 한 물건이나 글의 내용을 대표하여 붙이는 이름</t>
  </si>
  <si>
    <t>여러 사람에게 알리기 위하여 내붙이거나 내걸어 두루 보게 한 물건이나 글을 확인한 횟수</t>
  </si>
  <si>
    <t>게시믈첨부파일일련번호</t>
  </si>
  <si>
    <t>여러 사람에게 알릴 내용을 내붙이거나 내걸어 두루 보게 붙이는 판 또는 웹페이지의 이름</t>
  </si>
  <si>
    <t>여러 사람에게 알릴 내용을 내붙이거나 내걸어 두루 보게 붙이는 판 또는 웹페이지를 사용할지 여부</t>
  </si>
  <si>
    <t>여러 사람에게 알릴 내용을 내붙이거나 내걸어 두루 보게 붙이는 판 또는 웹페이지에 대한 설명</t>
  </si>
  <si>
    <t>어떤 일에 대해 잘 살펴서 조사한 결론을 알리기 위해 전하는 내용</t>
  </si>
  <si>
    <t>지구 위의 위치를 나타내는 좌표축 중에서 세로로 된 것. 한 지점의 경도는 그 지점을 지나는 자오선과 런던의 그리니치 천문대를 지나는 본초 자오선이 이루는 각도</t>
  </si>
  <si>
    <t>지나는 길이나 방법, 순서 등의 이름</t>
  </si>
  <si>
    <t>어떤 사실이나 사물, 내용 등을 여러 사람에게 널리 터놓을지 여부</t>
  </si>
  <si>
    <t>어떤 사실이나 사물, 내용 등을 여러 사람에게 널리 알린 날짜와 시각</t>
  </si>
  <si>
    <t>둘 또는 그 이상의 여러 개의 데이터베이스에서 사용되는 코드에 대한 설명</t>
  </si>
  <si>
    <t>서로 관련을 맺거나 관련이 있는 것에 일정한 방식으로 연속되게 매긴 번호</t>
  </si>
  <si>
    <t>소유자로부터 위탁 받아 시설을 관리하는 사람에게 일정한 방식으로 연속되게 매긴 번호</t>
  </si>
  <si>
    <t>함께 행동하거나 공통점이 있어 한데 묶일 수 있는 사람들이나 사물의 무리의 이름</t>
  </si>
  <si>
    <t>사회생활의 영역에서 일정한 역할과 목적을 위하여 설치한 기구나 조직의 이름</t>
  </si>
  <si>
    <t>사회생활의 영역에서 일정한 역할과 목적을 위하여 설치한 기구나 조직의 전화번호</t>
  </si>
  <si>
    <t>직장 같은 곳에서 어떠한 일을 맡아서 하는 것에 붙인 이름</t>
  </si>
  <si>
    <t>일정한 자격이나 조건을 갖추려고 단체나 기관 등에 문서, 서류 등을 올린 날짜와 시각</t>
  </si>
  <si>
    <t>일정한 자격이나 조건을 갖추려고 단체나 기관 등에 문서, 서류 등을 올린 날짜</t>
  </si>
  <si>
    <t>하나의 값을 다른 값으로 또는 한 데이터 집합을 다른 데이터 집합으로 번역하거나, 2개의 데이터 집합 사이에 1:1 대응 관계를 설정하는 것에 일정한 방식으로 연속되게 매긴 번호</t>
  </si>
  <si>
    <t>사용자가 마우스나 키보드를 이용하여 명령을 선택하도록 한 조작 순서 일람표의 명칭으로 디스플레이 장치 위에 표시한 이름</t>
  </si>
  <si>
    <t>사용자가 마우스나 키보드를 이용하여 명령을 선택하도록 한 조작 순서 명세표의 영문 이름</t>
  </si>
  <si>
    <t>사용자가 마우스나 키보드를 이용하여 명령을 선택하도록 한 조작 순서 일람표에 일정한 방식으로 연속되게 매긴 번호</t>
  </si>
  <si>
    <t>모델크기비율</t>
  </si>
  <si>
    <t>휴대 전화에서, 글자판을 이용하여 문자로 전달한 내용을 상대방이 받았는지 여부</t>
  </si>
  <si>
    <t>주로 윗사람이나 상급 기관에 제출한 문서를 처리하지 않고 되돌려 보낸 이유</t>
  </si>
  <si>
    <t>주로 윗사람이나 상급 기관에 제출한 문서를 처리하지 않고 되돌려 보낸 날짜와 시각</t>
  </si>
  <si>
    <t>기관이나 단체 등에서 일이나 사업의 체계에 따라 나뉜 사무의 각 부문의 이름</t>
  </si>
  <si>
    <t>문서 따위에서, 그 내용에 참고가 될 만한 사항을 담은 내용</t>
  </si>
  <si>
    <t>어떠한 일에 일정한 목적이나 기능에 맞게 사용했는지 여부</t>
  </si>
  <si>
    <t>사용자매뉴구분_값</t>
  </si>
  <si>
    <t>사람을 부리거나 물건을 쓰거나 컴퓨터 프로그램 등을 사용하는 사람의 이름</t>
  </si>
  <si>
    <t>사람을 부리거나 물건을 쓰거나 컴퓨터를 사용하는 사람에게 일정한 방식으로 연속되게 매긴 번호</t>
  </si>
  <si>
    <t>사람을 부리거나 물건을 쓰거나 컴퓨터를 사용하는 사람의 휴대전화번호</t>
  </si>
  <si>
    <t>파일에 저장된 기록을 제거하거나 기억 장치에서 프로그램을 지워 버렸는지 여부</t>
  </si>
  <si>
    <t>파일에 저장된 기록을 제거하거나 기억 장치에서 프로그램을 지운 날짜와 시각</t>
  </si>
  <si>
    <t>파일에 저장된 기록을 제거하거나 기억 장치에서 프로그램을 지운 날짜</t>
  </si>
  <si>
    <t>상위매뉴아이디</t>
  </si>
  <si>
    <t>사용자가 마우스나 키보드로 명령을 선택하도록 한 조작 순서 일람표에서 부모 격의 메뉴에 부여하는 식별 번호</t>
  </si>
  <si>
    <t>사고파는 물품의 이름</t>
  </si>
  <si>
    <t>사고파는 물품에 일정한 방식으로 연속되게 매긴 번호</t>
  </si>
  <si>
    <t>생산된 재화를 운반ㆍ배급하거나 생산ㆍ소비에 필요한 노무를 제공하는 것의 이름</t>
  </si>
  <si>
    <t>생산된 재화를 운반ㆍ배급하거나 생산ㆍ소비에 필요한 노무를 제공하는 것에 대한 설명</t>
  </si>
  <si>
    <t>바로잡아 고친 날짜와 시각</t>
  </si>
  <si>
    <t>데이터베이스에 존재하는 자료의 구조와 내용 그리고 이러한 자료들의 논리적∙물리적 특성에 대한 정보들을 표현하는 데이터베이스의 논리적 구조의 이름</t>
  </si>
  <si>
    <t>어떤 행위를 하도록 승낙이나 동의를 행한 날짜와 시각</t>
  </si>
  <si>
    <t>단체나 기관에 어떤 일이나 물건을 알려 청구한 이유</t>
  </si>
  <si>
    <t>기관이나 단체 등에 어떤 일이나 물건을 알려 청구했는지 여부</t>
  </si>
  <si>
    <t>단체나 기관에 어떠한 일이나 물건을 알려 청구하는 것에 일정한 방식으로 연속되게 매긴 번호</t>
  </si>
  <si>
    <t>베끼거나 고친 것에 대하여 근본이 되는 하나의 단위로 처리되는 서로 관련 있는 레코드 집합의 이름</t>
  </si>
  <si>
    <t>지구 위의 위치를 나타내는 좌표축 중에서 가로로 된 것. 적도를 중심으로 하여 남북으로 평행하게 그은 선</t>
  </si>
  <si>
    <t>컴퓨터 단말기 이용자끼리 통신 회선을 이용하여 글이나 자료를 주고받으려고 부여한 주소 / 인터넷에서 전자 우편을 보낼 때 전자 우편을 수신하는 상대방 호스트를 지정하려고 사용하는 주소</t>
  </si>
  <si>
    <t>일을 함 또는 그 일로 일정한 목적과 계획 아래 하는 일의 내용</t>
  </si>
  <si>
    <t>컴퓨터 하드디스크 등에 기록된 하나의 단위로 처리되는 서로 관련 있는 레코드 집합의 이름</t>
  </si>
  <si>
    <t>인터넷 따위에 올려진 게시물을 확인한 횟수</t>
  </si>
  <si>
    <t>전자 우편이나 문서 따위에 덧붙이는 파일의 경로 이름</t>
  </si>
  <si>
    <t>안건이나 문서 등에 덧붙인 파일에 일정한 방식으로 연속되게 매긴 번호</t>
  </si>
  <si>
    <t>맨 나중에 컴퓨터의 네트워크, 프로그램 등에 접속한 날짜와 시각</t>
  </si>
  <si>
    <t>컴퓨터에서, 하나의 단위로서 처리되는 서로 관련 있는 레코드의 집합인 파일이 위치한 경로의 이름</t>
  </si>
  <si>
    <t>컴퓨터에서, 하나의 단위로서 처리되는 서로 관련 있는 레코드의 집합인 파일의 내용</t>
  </si>
  <si>
    <t>컴퓨터에서, 하나의 단위로서 처리되는 서로 관련 있는 레코드 집합의 이름</t>
  </si>
  <si>
    <t>컴퓨터에서, 하나의 단위로서 처리되는 서로 관련 있는 레코드의 집합인 파일에 대한 설명</t>
  </si>
  <si>
    <t>컴퓨터에서, 하나의 단위로서 처리되는 서로 관련 있는 레코드의 집합인 파일에 일정한 방식으로 연속되게 매긴 번호</t>
  </si>
  <si>
    <t>컴퓨터에서, 파일의 종류를 구분하려고 파일명 마침표 뒤에 붙이는 문자의 이름</t>
  </si>
  <si>
    <t>사용자의 요청 또는 자동으로 열린 웹 브라우저 창(팝업창)의 데이터를 꺼냈는지 여부</t>
  </si>
  <si>
    <t>어떤 문제를 해결하고자 그 처리 방법과 순서를 기술하여 컴퓨터에 주어지는 일련의 명령문 집합체의 이름</t>
  </si>
  <si>
    <t>컴퓨터에서 사용되는 프로그램 또는 진행 계획이나 순서에 대한 설명</t>
  </si>
  <si>
    <t>행정 기관의 권한이 미치는 범위의 일정한 지역의 이름</t>
  </si>
  <si>
    <t>틀림없이 그러한지 알아보거나 인정했는지 여부</t>
  </si>
  <si>
    <t>사회나 조직 등의 기능이 활발하거나 그러한 기능을 활발하게 하는지 여부</t>
  </si>
  <si>
    <t>D3_OBJT_RSLT_FILE_PATH_NM</t>
  </si>
  <si>
    <t>D3_OBJT_LYR_NM</t>
  </si>
  <si>
    <t>D3_OBJT_LYR_ID</t>
  </si>
  <si>
    <t>D3_OBJT_LYR_SN</t>
  </si>
  <si>
    <t>D3_OBJT_JOB_PATH_NM</t>
  </si>
  <si>
    <t>D3_BLDG_CRT_SHP_SN</t>
  </si>
  <si>
    <t>D3_BLDG_CRT_ARTCL_SHP_SN</t>
  </si>
  <si>
    <t>D3_BLDG_CRT_ARTCL_SN</t>
  </si>
  <si>
    <t>D3_BLDG_ARTCL_VL</t>
  </si>
  <si>
    <t>D3_BLDG_ARTCL_NM</t>
  </si>
  <si>
    <t>D3_MDL_URL_ADDR_VL</t>
  </si>
  <si>
    <t>D3_AUTO_MDL_RSLT_NOFL</t>
  </si>
  <si>
    <t>D3_AUTO_MDL_LOT</t>
  </si>
  <si>
    <t>D3_AUTO_MDL_SPCE_WT_VL</t>
  </si>
  <si>
    <t>D3_AUTO_MDL_BTCH_SN</t>
  </si>
  <si>
    <t>D3_AUTO_MDL_LAT</t>
  </si>
  <si>
    <t>D3_AUTO_MDL_PSTN_VL</t>
  </si>
  <si>
    <t>D3_AUTO_MDL_TTL</t>
  </si>
  <si>
    <t>D3_ATMN_MDL_DTL_ID</t>
  </si>
  <si>
    <t>D3_ATMN_MDL_DTL_SN</t>
  </si>
  <si>
    <t>D3_ATMN_MDL_SN</t>
  </si>
  <si>
    <t>D3_PRGRM_VER_VL</t>
  </si>
  <si>
    <t>API_URLR</t>
  </si>
  <si>
    <t>API_DVLP_YN</t>
  </si>
  <si>
    <t>API_SE_VL</t>
  </si>
  <si>
    <t>API_GROUP_SE_VL</t>
  </si>
  <si>
    <t>API_GROUP_NM</t>
  </si>
  <si>
    <t>API_GROUP_SN</t>
  </si>
  <si>
    <t>API_GROUP_KYWD_NM</t>
  </si>
  <si>
    <t>API_DAT_NO_VL</t>
  </si>
  <si>
    <t>API_NM</t>
  </si>
  <si>
    <t>API_CLSF_VL</t>
  </si>
  <si>
    <t>API_CLSF_YN</t>
  </si>
  <si>
    <t>API_CLSF_CD</t>
  </si>
  <si>
    <t>API_DTL_SN</t>
  </si>
  <si>
    <t>API_EXPLN</t>
  </si>
  <si>
    <t>API_RCPTN_ID</t>
  </si>
  <si>
    <t>API_SCHD_ID</t>
  </si>
  <si>
    <t>API_EXCN_MINU</t>
  </si>
  <si>
    <t>API_EXCN_HR</t>
  </si>
  <si>
    <t>API_EXCN_TYPE_VL</t>
  </si>
  <si>
    <t>API_EXCN_YMD</t>
  </si>
  <si>
    <t>API_EXCN_CYLE_VL</t>
  </si>
  <si>
    <t>API_EXCN_SEND_VL</t>
  </si>
  <si>
    <t>API_DMND_TYPE_VL</t>
  </si>
  <si>
    <t>API_RSPNS_ATRB_NM</t>
  </si>
  <si>
    <t>API_RSPNS_ATRB_EXPLN</t>
  </si>
  <si>
    <t>API_RSPNS_ATRB_TYPE_VL</t>
  </si>
  <si>
    <t>API_RSPNS_ATRB_KORN_NM</t>
  </si>
  <si>
    <t>API_RSPNS_TYPE_VL</t>
  </si>
  <si>
    <t>API_SN</t>
  </si>
  <si>
    <t>API_PVSN_INST_ID</t>
  </si>
  <si>
    <t>API_KYWD_VL</t>
  </si>
  <si>
    <t>CPU_TYPE_NM</t>
  </si>
  <si>
    <t>DEM_FILE_PATH_NM</t>
  </si>
  <si>
    <t>DEM_FILE_NM</t>
  </si>
  <si>
    <t>GLB_TRSF_YN</t>
  </si>
  <si>
    <t>RAM_TYPE_NM</t>
  </si>
  <si>
    <t>SHP_FILE_VL</t>
  </si>
  <si>
    <t>SHP_FILE_PATH_NM</t>
  </si>
  <si>
    <t>SHP_FILE_NM</t>
  </si>
  <si>
    <t>SHP_FILE_TYPE_VL</t>
  </si>
  <si>
    <t>SHP_ROW_TOT_CNT</t>
  </si>
  <si>
    <t>SWAR_URLR</t>
  </si>
  <si>
    <t>URL_MPNG_VL</t>
  </si>
  <si>
    <t>AX_RTIN_CNT</t>
  </si>
  <si>
    <t>AY_RTIN_CNT</t>
  </si>
  <si>
    <t>AZ_RTIN_CNT</t>
  </si>
  <si>
    <t>DVLPR_URLR</t>
  </si>
  <si>
    <t>PST_ATCH_FILE_NM</t>
  </si>
  <si>
    <t>SBR_COLR_VL</t>
  </si>
  <si>
    <t>SRCH_BTN_COLR_VL</t>
  </si>
  <si>
    <t>SRCH_BTN_YN</t>
  </si>
  <si>
    <t>PST_URLR</t>
  </si>
  <si>
    <t>PST_RLS_YN</t>
  </si>
  <si>
    <t>PST_NTC_YN</t>
  </si>
  <si>
    <t>PST_CN</t>
  </si>
  <si>
    <t>PST_EXPSR_YN</t>
  </si>
  <si>
    <t>PST_ANS_DT</t>
  </si>
  <si>
    <t>PST_ANSWR_ID</t>
  </si>
  <si>
    <t>PST_RGTR_IP_VL</t>
  </si>
  <si>
    <t>PST_DEL_YN</t>
  </si>
  <si>
    <t>PST_DEL_DT</t>
  </si>
  <si>
    <t>PST_DEL_YMD</t>
  </si>
  <si>
    <t>PST_STTS_VL</t>
  </si>
  <si>
    <t>PST_ORGNL_ATCH_FILE_NM</t>
  </si>
  <si>
    <t>PST_BFR_CN</t>
  </si>
  <si>
    <t>PST_SN</t>
  </si>
  <si>
    <t>PST_TMPR_CN</t>
  </si>
  <si>
    <t>PST_TMPR_WRT_DT</t>
  </si>
  <si>
    <t>PST_TMPR_TTL</t>
  </si>
  <si>
    <t>PST_WRTR_NM</t>
  </si>
  <si>
    <t>PST_TTL</t>
  </si>
  <si>
    <t>PST_INQ_CNT</t>
  </si>
  <si>
    <t>PST_QSTN_CN</t>
  </si>
  <si>
    <t>PST_ATCH_FILE_PATH_NM</t>
  </si>
  <si>
    <t>PST_ATCH_FILE_CNT</t>
  </si>
  <si>
    <t>PST_FILE_PATH_NM</t>
  </si>
  <si>
    <t>PST_FILE_SZ_CNT</t>
  </si>
  <si>
    <t>PST_ATCH_FILE_SN</t>
  </si>
  <si>
    <t>BBS_NM</t>
  </si>
  <si>
    <t>BBS_NO</t>
  </si>
  <si>
    <t>BBS_CLSF_CD</t>
  </si>
  <si>
    <t>BBS_USE_YN</t>
  </si>
  <si>
    <t>BBS_EXPLN</t>
  </si>
  <si>
    <t>BBS_ID</t>
  </si>
  <si>
    <t>BBS_ENGL_NM</t>
  </si>
  <si>
    <t>BBS_TYPE_SE_VL</t>
  </si>
  <si>
    <t>RSLT_MSG_CN</t>
  </si>
  <si>
    <t>LOT</t>
  </si>
  <si>
    <t>PATH_NM</t>
  </si>
  <si>
    <t>SLAT_WALL_YN</t>
  </si>
  <si>
    <t>EPM_GOAL_NMPR_CNT</t>
  </si>
  <si>
    <t>EPM_CHG_RT</t>
  </si>
  <si>
    <t>EPM_RT_VL</t>
  </si>
  <si>
    <t>EPM_PLCY_URLR</t>
  </si>
  <si>
    <t>SPCE_DAT_SHP_NM</t>
  </si>
  <si>
    <t>SPCE_DAT_SHP_ID</t>
  </si>
  <si>
    <t>SPCE_DAT_SHP_SN</t>
  </si>
  <si>
    <t>SPCE_DAT_WKT_CN</t>
  </si>
  <si>
    <t>SPCE_DAT_VL</t>
  </si>
  <si>
    <t>SPCE_DAT_VILZ_TYPE_CNT</t>
  </si>
  <si>
    <t>SPCE_DAT_VILZ_SN</t>
  </si>
  <si>
    <t>SPCE_DAT_SN</t>
  </si>
  <si>
    <t>SPCE_DAT_CNTM_VL</t>
  </si>
  <si>
    <t>SPCE_INFO_ATRB_VL</t>
  </si>
  <si>
    <t>SPCE_INFO_ATRB_ARAG_CN</t>
  </si>
  <si>
    <t>RLS_PLAN_TYPE_VL</t>
  </si>
  <si>
    <t>RLS_PLAN_SN</t>
  </si>
  <si>
    <t>RLS_MSG_CN</t>
  </si>
  <si>
    <t>RLS_SCS_YN</t>
  </si>
  <si>
    <t>RLS_APRV_ID</t>
  </si>
  <si>
    <t>RLS_APRV_DT</t>
  </si>
  <si>
    <t>RLS_YN</t>
  </si>
  <si>
    <t>RLS_DT</t>
  </si>
  <si>
    <t>CMUE_ADI_EXPLN</t>
  </si>
  <si>
    <t>COM_GROUP_CD</t>
  </si>
  <si>
    <t>COM_GROUP_CD_NM</t>
  </si>
  <si>
    <t>COM_GROUP_CD_EXPLN</t>
  </si>
  <si>
    <t>COM_CLSF_NM</t>
  </si>
  <si>
    <t>COM_CLSF_EXPLN</t>
  </si>
  <si>
    <t>COM_CLSF_CD</t>
  </si>
  <si>
    <t>COM_DTL_CD</t>
  </si>
  <si>
    <t>COM_DTL_CD_NM</t>
  </si>
  <si>
    <t>COM_DTL_CD_EXPLN</t>
  </si>
  <si>
    <t>COM_CD_NM</t>
  </si>
  <si>
    <t>COM_CD_EXPLN</t>
  </si>
  <si>
    <t>COM_CD_SN</t>
  </si>
  <si>
    <t>REL_SN</t>
  </si>
  <si>
    <t>REL_TBL_NM</t>
  </si>
  <si>
    <t>MNGR_USE_YN</t>
  </si>
  <si>
    <t>MNGR_ID</t>
  </si>
  <si>
    <t>MNGR_SN</t>
  </si>
  <si>
    <t>GU_NM</t>
  </si>
  <si>
    <t>JOPR_URLR</t>
  </si>
  <si>
    <t>GUN_NM</t>
  </si>
  <si>
    <t>GROUP_NM</t>
  </si>
  <si>
    <t>INST_SE_VL</t>
  </si>
  <si>
    <t>INST_NM</t>
  </si>
  <si>
    <t>INST_LCTN_NM</t>
  </si>
  <si>
    <t>INST_TELNO</t>
  </si>
  <si>
    <t>CDPNT_COL_NM</t>
  </si>
  <si>
    <t>GEOM_WKT_CN</t>
  </si>
  <si>
    <t>GEOM_DAT_CN</t>
  </si>
  <si>
    <t>GEOM_FILE_PATH_NM</t>
  </si>
  <si>
    <t>GEOM_FILE_NM</t>
  </si>
  <si>
    <t>GIT_URLR</t>
  </si>
  <si>
    <t>GIT_PSWD</t>
  </si>
  <si>
    <t>GIT_ID</t>
  </si>
  <si>
    <t>GIT_ERR_CN</t>
  </si>
  <si>
    <t>GIT_TKN_CN</t>
  </si>
  <si>
    <t>GIT_PRCT_NM</t>
  </si>
  <si>
    <t>INSD_IP_MENU_YN</t>
  </si>
  <si>
    <t>INSD_IP_IDNTY_YN</t>
  </si>
  <si>
    <t>HGT_VL</t>
  </si>
  <si>
    <t>DWNLD_CONTS_NM</t>
  </si>
  <si>
    <t>TKCG_TASK_NM</t>
  </si>
  <si>
    <t>BMN_NM</t>
  </si>
  <si>
    <t>DAT_NM</t>
  </si>
  <si>
    <t>DAT_ID</t>
  </si>
  <si>
    <t>DAT_TYPE_NM</t>
  </si>
  <si>
    <t>REG_DT</t>
  </si>
  <si>
    <t>REG_YMD</t>
  </si>
  <si>
    <t>RGTR_ID</t>
  </si>
  <si>
    <t>LBL_CN</t>
  </si>
  <si>
    <t>RHN_RSLT_DMND_SN</t>
  </si>
  <si>
    <t>RHN_RSLT_SN</t>
  </si>
  <si>
    <t>RHN_RSLT_FILE_PATH_NM</t>
  </si>
  <si>
    <t>RHN_RSLT_ARTCL_SN</t>
  </si>
  <si>
    <t>RHN_ANLS_RSLT_NM</t>
  </si>
  <si>
    <t>RHN_ANLS_APLY_NM</t>
  </si>
  <si>
    <t>RHN_ANLS_DMND_SN</t>
  </si>
  <si>
    <t>RHN_OPT_NM</t>
  </si>
  <si>
    <t>RHN_FILE_CAY</t>
  </si>
  <si>
    <t>LYR_XY_SEQ_NML_YN</t>
  </si>
  <si>
    <t>LYR_GROUP_NM</t>
  </si>
  <si>
    <t>LYR_GROUP_EXPLN</t>
  </si>
  <si>
    <t>LYR_GROUP_SN</t>
  </si>
  <si>
    <t>LYR_CDPNT_COL_NM</t>
  </si>
  <si>
    <t>LYR_NM</t>
  </si>
  <si>
    <t>LYR_PBLCN_STTS_VL</t>
  </si>
  <si>
    <t>LYR_CLSF_VL</t>
  </si>
  <si>
    <t>LYR_CLSF_SE_VL</t>
  </si>
  <si>
    <t>LYR_EXPLN</t>
  </si>
  <si>
    <t>LYR_PSN_SE_VL</t>
  </si>
  <si>
    <t>LYR_ATRB_GROUP_VL</t>
  </si>
  <si>
    <t>LYR_ATRB_NM</t>
  </si>
  <si>
    <t>LYR_ATRB_ID</t>
  </si>
  <si>
    <t>LYR_STLY_CN</t>
  </si>
  <si>
    <t>LYR_IDNT_ID</t>
  </si>
  <si>
    <t>LYR_ID</t>
  </si>
  <si>
    <t>LYR_NTCN_STTS_VL</t>
  </si>
  <si>
    <t>LYR_NTCN_TM</t>
  </si>
  <si>
    <t>LYR_NTCN_ERA_CNT</t>
  </si>
  <si>
    <t>LYR_TYPE_VL</t>
  </si>
  <si>
    <t>LYR_TYPE_SE_VL</t>
  </si>
  <si>
    <t>LYR_TYPE_SE_CD</t>
  </si>
  <si>
    <t>LGN_BTN_COLR_VL</t>
  </si>
  <si>
    <t>LNK_URLR</t>
  </si>
  <si>
    <t>MPNG_SN</t>
  </si>
  <si>
    <t>MENU_URLR</t>
  </si>
  <si>
    <t>MENU_URLR_PTRN_CN</t>
  </si>
  <si>
    <t>MENU_PATH_TYPE_NO</t>
  </si>
  <si>
    <t>MENU_NM</t>
  </si>
  <si>
    <t>MENU_WORD_SORT_VL</t>
  </si>
  <si>
    <t>MENU_WORD_FONT_COLR_VL</t>
  </si>
  <si>
    <t>MENU_WORD_FONT_CNT</t>
  </si>
  <si>
    <t>MENU_BCRN_COLR_VL</t>
  </si>
  <si>
    <t>MENU_BCRN_COLR_CLRTY_CNT</t>
  </si>
  <si>
    <t>MENU_BCRN_YN</t>
  </si>
  <si>
    <t>MENU_BCRN_FILE_ID</t>
  </si>
  <si>
    <t>MENU_NPAG_YN</t>
  </si>
  <si>
    <t>MENU_ID</t>
  </si>
  <si>
    <t>MENU_ICON_NM</t>
  </si>
  <si>
    <t>MENU_ICON_COLR_VL</t>
  </si>
  <si>
    <t>MENU_ICON_YN</t>
  </si>
  <si>
    <t>MENU_ICON_FILE_ID</t>
  </si>
  <si>
    <t>MENU_YN</t>
  </si>
  <si>
    <t>MENU_ENG_NM</t>
  </si>
  <si>
    <t>MENU_TYPE_VL</t>
  </si>
  <si>
    <t>MENU_SN</t>
  </si>
  <si>
    <t>MENU_INFO_EXPLN</t>
  </si>
  <si>
    <t>MENU_FONT_MPHS_COLR_VL</t>
  </si>
  <si>
    <t>MENU_FONT_COLR_VL</t>
  </si>
  <si>
    <t>MDL_SZ_RT</t>
  </si>
  <si>
    <t>LTR_MSG_RCPTN_YN</t>
  </si>
  <si>
    <t>FSRT_MENU_ID</t>
  </si>
  <si>
    <t>FSRT_WORD_SORT_VL</t>
  </si>
  <si>
    <t>FSRT_WORD_FONT_COLR_VL</t>
  </si>
  <si>
    <t>FSRT_WORD_FONT_CNT</t>
  </si>
  <si>
    <t>FSRT_BCRN_COLR_VL</t>
  </si>
  <si>
    <t>FSRT_BCRN_COLR_CLRTY_CNT</t>
  </si>
  <si>
    <t>FSRT_BCRN_YN</t>
  </si>
  <si>
    <t>FSRT_BCRN_FILE_ID</t>
  </si>
  <si>
    <t>FSRT_BTN_COLR_VL</t>
  </si>
  <si>
    <t>FSRT_BTN_ID</t>
  </si>
  <si>
    <t>FSRT_BTN_FONT_MPHS_COLR_VL</t>
  </si>
  <si>
    <t>FSRT_BTN_FONT_COLR_VL</t>
  </si>
  <si>
    <t>FSRT_FONT_MPHS_COLR_VL</t>
  </si>
  <si>
    <t>FSRT_FONT_COLR_VL</t>
  </si>
  <si>
    <t>RJCT_RSN</t>
  </si>
  <si>
    <t>RJCT_ID</t>
  </si>
  <si>
    <t>RJCT_DT</t>
  </si>
  <si>
    <t>RETU_ID</t>
  </si>
  <si>
    <t>SOPR_WALL_NM</t>
  </si>
  <si>
    <t>SOPR_WALL_CNT</t>
  </si>
  <si>
    <t>SOPR_WALL_SN</t>
  </si>
  <si>
    <t>BCRN_COLR_2_VL</t>
  </si>
  <si>
    <t>BCRN_COLR_VL</t>
  </si>
  <si>
    <t>BCRN_COLR_YN</t>
  </si>
  <si>
    <t>BCRN_COLR_CLRTY_CNT</t>
  </si>
  <si>
    <t>BCRN_STNG_2_USE_YN</t>
  </si>
  <si>
    <t>BCRN_FILE_2_ID</t>
  </si>
  <si>
    <t>BCRN_FILE_ID</t>
  </si>
  <si>
    <t>BNR_TYPE_VL</t>
  </si>
  <si>
    <t>BNR_IMG_SN</t>
  </si>
  <si>
    <t>BNR_CONTS_ID</t>
  </si>
  <si>
    <t>BNR_FILE_YN</t>
  </si>
  <si>
    <t>BTN_NO</t>
  </si>
  <si>
    <t>UUID_ID</t>
  </si>
  <si>
    <t>CHG_TYPE_VL</t>
  </si>
  <si>
    <t>SUB_MENU_FONT_MPHS_COLR_VL</t>
  </si>
  <si>
    <t>DEPT_SE_VL</t>
  </si>
  <si>
    <t>DEPT_NM</t>
  </si>
  <si>
    <t>SBTTL_COLR_VL</t>
  </si>
  <si>
    <t>SBTTL_SORT_NO</t>
  </si>
  <si>
    <t>SBTTL_FONT_CNT</t>
  </si>
  <si>
    <t>CLSF_ARAG_CN</t>
  </si>
  <si>
    <t>ANLS_RSLT_CN</t>
  </si>
  <si>
    <t>ANLS_RSLT_NM</t>
  </si>
  <si>
    <t>ANLS_RSLT_ID</t>
  </si>
  <si>
    <t>ANLS_RSLT_TYPE_VL</t>
  </si>
  <si>
    <t>ANLS_MDL_ID</t>
  </si>
  <si>
    <t>ANLS_MDL_TYPE_CN</t>
  </si>
  <si>
    <t>ANLS_MDL_TYPE_NM</t>
  </si>
  <si>
    <t>ANLS_SRVC_KND_NM</t>
  </si>
  <si>
    <t>ANLS_STNG_CN</t>
  </si>
  <si>
    <t>ANLS_STNG_NM</t>
  </si>
  <si>
    <t>ANLS_STNG_ID</t>
  </si>
  <si>
    <t>ANLS_HR_VL</t>
  </si>
  <si>
    <t>ANLS_NTCN_NO</t>
  </si>
  <si>
    <t>ANLS_NTCN_SN</t>
  </si>
  <si>
    <t>ANLS_DMND_TYPE_VL</t>
  </si>
  <si>
    <t>ANLS_COMPTN_ITRL_VL</t>
  </si>
  <si>
    <t>RMRK_CN</t>
  </si>
  <si>
    <t>USE_SHRN_YN</t>
  </si>
  <si>
    <t>USE_BRWSR_NM</t>
  </si>
  <si>
    <t>USE_YN</t>
  </si>
  <si>
    <t>USER_ID</t>
  </si>
  <si>
    <t>USER_DAT_NM</t>
  </si>
  <si>
    <t>USER_DAT_ID</t>
  </si>
  <si>
    <t>USER_REG_CNT</t>
  </si>
  <si>
    <t>USER_MENU_SE_VL</t>
  </si>
  <si>
    <t>USER_NM</t>
  </si>
  <si>
    <t>USER_PSWD</t>
  </si>
  <si>
    <t>USER_AGNT_EXPLN</t>
  </si>
  <si>
    <t>USER_ROLE_NM</t>
  </si>
  <si>
    <t>USER_ROLE_SN</t>
  </si>
  <si>
    <t>USER_TYPE</t>
  </si>
  <si>
    <t>USER_SN</t>
  </si>
  <si>
    <t>USER_CONTS_VL</t>
  </si>
  <si>
    <t>USER_CONTS_NM</t>
  </si>
  <si>
    <t>USER_CONTS_SN</t>
  </si>
  <si>
    <t>USER_CONTS_VTLZ_SN</t>
  </si>
  <si>
    <t>USER_MBL_TELNO</t>
  </si>
  <si>
    <t>SITE_API_SN</t>
  </si>
  <si>
    <t>DEL_YN</t>
  </si>
  <si>
    <t>DEL_DT</t>
  </si>
  <si>
    <t>DEL_YMD</t>
  </si>
  <si>
    <t>UP_MENU_ID</t>
  </si>
  <si>
    <t>UP_MENU_SN</t>
  </si>
  <si>
    <t>UP_ENG_TTL</t>
  </si>
  <si>
    <t>UP_TTL</t>
  </si>
  <si>
    <t>STTS_VL</t>
  </si>
  <si>
    <t>GDS_NM</t>
  </si>
  <si>
    <t>GDS_SN</t>
  </si>
  <si>
    <t>COLR_INDX_SN</t>
  </si>
  <si>
    <t>SB_MENU_BCRN_COLR_VL</t>
  </si>
  <si>
    <t>SB_MENU_BCRN_COLR_CNT</t>
  </si>
  <si>
    <t>SB_MENU_BCRN_COLR_CLRTY_CNT</t>
  </si>
  <si>
    <t>SB_MENU_ID</t>
  </si>
  <si>
    <t>SB_MENU_FONT_COLR_VL</t>
  </si>
  <si>
    <t>SRVC_URL_ADDR_VL</t>
  </si>
  <si>
    <t>SRVC_NM</t>
  </si>
  <si>
    <t>SRVC_NO</t>
  </si>
  <si>
    <t>SRVC_EXPLN</t>
  </si>
  <si>
    <t>SRVC_APLY_NO</t>
  </si>
  <si>
    <t>SRVC_APLY_DTL_SN</t>
  </si>
  <si>
    <t>SRVC_APLY_APRV_ID</t>
  </si>
  <si>
    <t>SRVC_APLY_APRV_DT</t>
  </si>
  <si>
    <t>SRVC_APLY_SN</t>
  </si>
  <si>
    <t>SRVC_APLY_DAY_SN</t>
  </si>
  <si>
    <t>SRVC_APLY_CD</t>
  </si>
  <si>
    <t>SRVC_ENG_NM</t>
  </si>
  <si>
    <t>SRVC_TYPE_SE_CD</t>
  </si>
  <si>
    <t>SRVC_SN</t>
  </si>
  <si>
    <t>SRVC_KYWD_VL</t>
  </si>
  <si>
    <t>NSE_GRD_VL</t>
  </si>
  <si>
    <t>NSE_GRD_DTL_SN</t>
  </si>
  <si>
    <t>NSER_NM</t>
  </si>
  <si>
    <t>NSER_CNT</t>
  </si>
  <si>
    <t>NSER_SN</t>
  </si>
  <si>
    <t>NSE_MAX_VL</t>
  </si>
  <si>
    <t>NSE_MIN_VL</t>
  </si>
  <si>
    <t>NSE_TAHZ1_VL</t>
  </si>
  <si>
    <t>NSE_TAHZ2_VL</t>
  </si>
  <si>
    <t>NSE_TAHZ4_VL</t>
  </si>
  <si>
    <t>NSE_TAHZ5_VL</t>
  </si>
  <si>
    <t>NSE_HZ125_VL</t>
  </si>
  <si>
    <t>NSE_HZ250_VL</t>
  </si>
  <si>
    <t>NSE_HZ500_VL</t>
  </si>
  <si>
    <t>NSE_HZ63_VL</t>
  </si>
  <si>
    <t>NSE_ABRP_RT_VL</t>
  </si>
  <si>
    <t>RCPTN_FILE_PATH_NM</t>
  </si>
  <si>
    <t>MDFCN_DT</t>
  </si>
  <si>
    <t>MDFR_ID</t>
  </si>
  <si>
    <t>SEQ_SN</t>
  </si>
  <si>
    <t>SCHM_CN</t>
  </si>
  <si>
    <t>SCHM_NM</t>
  </si>
  <si>
    <t>STLY_NM</t>
  </si>
  <si>
    <t>STLY_IDNT_ID</t>
  </si>
  <si>
    <t>STLY_TYPE_VL</t>
  </si>
  <si>
    <t>APRV_DT</t>
  </si>
  <si>
    <t>AUTZR_ID</t>
  </si>
  <si>
    <t>AUTZR_TYPE_VL</t>
  </si>
  <si>
    <t>SMLT_SN</t>
  </si>
  <si>
    <t>SMLT_MAX_VL</t>
  </si>
  <si>
    <t>SMLT_MIN_VL</t>
  </si>
  <si>
    <t>SYS_SE_VL</t>
  </si>
  <si>
    <t>SYS_GROUP_CD</t>
  </si>
  <si>
    <t>SYS_TYPE_VL</t>
  </si>
  <si>
    <t>SYS_CD_VL</t>
  </si>
  <si>
    <t>VSBY_DAT_SE_VL</t>
  </si>
  <si>
    <t>VSBY_DAT_MENU_YN</t>
  </si>
  <si>
    <t>VSBY_DAT_USE_YN</t>
  </si>
  <si>
    <t>APLY_RSN</t>
  </si>
  <si>
    <t>APLY_STTS_VL</t>
  </si>
  <si>
    <t>APLY_YN</t>
  </si>
  <si>
    <t>APLY_SN</t>
  </si>
  <si>
    <t>APLCNT_ID</t>
  </si>
  <si>
    <t>SYOL_STLY_NM</t>
  </si>
  <si>
    <t>SYOL_CND_CN</t>
  </si>
  <si>
    <t>GD_FILE_NM</t>
  </si>
  <si>
    <t>GD_FILE_TYPE_VL</t>
  </si>
  <si>
    <t>GD_FILE_SN</t>
  </si>
  <si>
    <t>UPDA_TBL_NM</t>
  </si>
  <si>
    <t>TASK_CLSF_VL</t>
  </si>
  <si>
    <t>EXTW_COLR_VL</t>
  </si>
  <si>
    <t>ORGNL_DAT_NO</t>
  </si>
  <si>
    <t>ORGNL_CHAT_NO</t>
  </si>
  <si>
    <t>ORGNL_FILE_NM</t>
  </si>
  <si>
    <t>ORGNL_FILE_ID</t>
  </si>
  <si>
    <t>ORGNFL_NM</t>
  </si>
  <si>
    <t>WMP_LYR_WHOL_FLER_EXPLN</t>
  </si>
  <si>
    <t>WMP_STNG_OBJT_IDNT_ID</t>
  </si>
  <si>
    <t>WMP_STNG_OBJT_TYPE_VL</t>
  </si>
  <si>
    <t>WEB_APP_HSTRY_TYPE_VL</t>
  </si>
  <si>
    <t>WEB_APP_HSTRY_SN</t>
  </si>
  <si>
    <t>WEB_APP_TMAT_ID</t>
  </si>
  <si>
    <t>WEB_TMAT_HSTRY_CN</t>
  </si>
  <si>
    <t>LAT</t>
  </si>
  <si>
    <t>WIGT_LCLSF_VL</t>
  </si>
  <si>
    <t>WIGT_NM</t>
  </si>
  <si>
    <t>WIGT_IDNT_ID</t>
  </si>
  <si>
    <t>WIGT_ENG_NM</t>
  </si>
  <si>
    <t>WIGT_MCLSF_VL</t>
  </si>
  <si>
    <t>PSTN_VL</t>
  </si>
  <si>
    <t>ROD_FGT_CUE_FILE_PATH_NM</t>
  </si>
  <si>
    <t>ROD_FGT_CUE_FILE_NM</t>
  </si>
  <si>
    <t>GLS_COLR_VL</t>
  </si>
  <si>
    <t>GLS_CLRTY_VL</t>
  </si>
  <si>
    <t>VOFD_MAX_VL</t>
  </si>
  <si>
    <t>VOFD_MIN_VL</t>
  </si>
  <si>
    <t>EML_ADDR</t>
  </si>
  <si>
    <t>IMG_FILE_SN</t>
  </si>
  <si>
    <t>BFR_COM_CD</t>
  </si>
  <si>
    <t>INFR_LCLSF_NM</t>
  </si>
  <si>
    <t>INFR_LCLSF_SN</t>
  </si>
  <si>
    <t>INFR_DTL_SN</t>
  </si>
  <si>
    <t>INFR_GDS_ITEM_SN</t>
  </si>
  <si>
    <t>INFR_SCLSF_NM</t>
  </si>
  <si>
    <t>INFR_SCLSF_CST_AMT</t>
  </si>
  <si>
    <t>INFR_SCLSF_EXPLN</t>
  </si>
  <si>
    <t>INFR_SCLSF_TYPE_VL</t>
  </si>
  <si>
    <t>INFR_SCLSF_SN</t>
  </si>
  <si>
    <t>INFR_APLY_PRCS_STTS_VL</t>
  </si>
  <si>
    <t>INFR_MCLSF_NM</t>
  </si>
  <si>
    <t>INFR_MCLSF_SN</t>
  </si>
  <si>
    <t>INFR_ADD_YN</t>
  </si>
  <si>
    <t>INFR_ITEM_NM</t>
  </si>
  <si>
    <t>INFR_ITEM_TYPE_VL</t>
  </si>
  <si>
    <t>INFR_ITEM_TYPE_CD</t>
  </si>
  <si>
    <t>INFR_ITEM_SN</t>
  </si>
  <si>
    <t>INFR_ITEM_TOT_QTY</t>
  </si>
  <si>
    <t>RENG_YN</t>
  </si>
  <si>
    <t>ATMN_MDL_SN</t>
  </si>
  <si>
    <t>JOB_CN</t>
  </si>
  <si>
    <t>JOB_LOG_SN</t>
  </si>
  <si>
    <t>JOB_PRCS_SE_VL</t>
  </si>
  <si>
    <t>JOB_FNCT_STTS_VL</t>
  </si>
  <si>
    <t>JOB_FNCT_ID</t>
  </si>
  <si>
    <t>STRG_FILE_PATH_NM</t>
  </si>
  <si>
    <t>STRG_FILE_NM</t>
  </si>
  <si>
    <t>RPCS_PRCS_STTS_VL</t>
  </si>
  <si>
    <t>ACS_HSTRY_IP_VL</t>
  </si>
  <si>
    <t>ACS_HSTRY_URLR</t>
  </si>
  <si>
    <t>ACS_HSTRY_DMN_NM</t>
  </si>
  <si>
    <t>ACS_HSTRY_YR</t>
  </si>
  <si>
    <t>ACS_HSTRY_MM</t>
  </si>
  <si>
    <t>ACS_HSTRY_DAY_CNT</t>
  </si>
  <si>
    <t>ACS_HSTRY_EQPMNT_NM</t>
  </si>
  <si>
    <t>ACS_HSTRY_PGE_NM</t>
  </si>
  <si>
    <t>INFO_TYPE_VL</t>
  </si>
  <si>
    <t>RFNT_COL_CN</t>
  </si>
  <si>
    <t>RFNT_FNCT_COL_VL</t>
  </si>
  <si>
    <t>TTL_NM</t>
  </si>
  <si>
    <t>TTL_COLR_VL</t>
  </si>
  <si>
    <t>TTL_SORT_NO</t>
  </si>
  <si>
    <t>TTL_FONT_CNT</t>
  </si>
  <si>
    <t>DYK_NM</t>
  </si>
  <si>
    <t>DYK_SN</t>
  </si>
  <si>
    <t>DYK_FILE_PATH_NM</t>
  </si>
  <si>
    <t>DYK_FILE_NM</t>
  </si>
  <si>
    <t>LMT_VL</t>
  </si>
  <si>
    <t>ILMN_CFC_VL</t>
  </si>
  <si>
    <t>INQ_CNT</t>
  </si>
  <si>
    <t>CNTM_SE_CD</t>
  </si>
  <si>
    <t>MIDL _MENU_NM</t>
  </si>
  <si>
    <t>BKMK_BCRN_COLR_VL</t>
  </si>
  <si>
    <t>BKMK_BCRN_COLR_CLRTY_CNT</t>
  </si>
  <si>
    <t>BKMK_SRVC_ID</t>
  </si>
  <si>
    <t>BKMK_YN</t>
  </si>
  <si>
    <t>BKMK_FONT_COLR_VL</t>
  </si>
  <si>
    <t>MAP_URLR</t>
  </si>
  <si>
    <t>MAP_URL_PAMT_CN</t>
  </si>
  <si>
    <t>LOCGOV_DTL_CD</t>
  </si>
  <si>
    <t>LOCGOV_CD</t>
  </si>
  <si>
    <t>CHAT_AX_CN</t>
  </si>
  <si>
    <t>CHAT_AY_CN</t>
  </si>
  <si>
    <t>CHAT_AZ_CN</t>
  </si>
  <si>
    <t>CHAT_NO</t>
  </si>
  <si>
    <t>CHAT_STLY_NM</t>
  </si>
  <si>
    <t>CHAT_ID</t>
  </si>
  <si>
    <t>CHAT_YN</t>
  </si>
  <si>
    <t>CHAT_TTL</t>
  </si>
  <si>
    <t>CHAT_CD</t>
  </si>
  <si>
    <t>ATCH_FILE_PATH_NM</t>
  </si>
  <si>
    <t>ATCH_FILE_DTL_SN</t>
  </si>
  <si>
    <t>ATCH_FILE_SN</t>
  </si>
  <si>
    <t>MAX_XCRD</t>
  </si>
  <si>
    <t>MAX_YCRD</t>
  </si>
  <si>
    <t>MAX_CAY_VL</t>
  </si>
  <si>
    <t>MIN_XCRD</t>
  </si>
  <si>
    <t>MIN_YCRD</t>
  </si>
  <si>
    <t>LAST_LGN_DT</t>
  </si>
  <si>
    <t>OTPT_SEQ_SN</t>
  </si>
  <si>
    <t>EMPM_RT</t>
  </si>
  <si>
    <t>CMAD_FILE_PATH_NM</t>
  </si>
  <si>
    <t>CMAD_FILE_NM</t>
  </si>
  <si>
    <t>CMAD_FILE_CAY</t>
  </si>
  <si>
    <t>COL_CMPR_CND_CN</t>
  </si>
  <si>
    <t>CONTS_NO</t>
  </si>
  <si>
    <t>THM_MAP_URLR</t>
  </si>
  <si>
    <t>THM_MAP_CN</t>
  </si>
  <si>
    <t>THM_MAP_NM</t>
  </si>
  <si>
    <t>THM_MAP_SN</t>
  </si>
  <si>
    <t>THM_CHAT_ID</t>
  </si>
  <si>
    <t>TST_URLR</t>
  </si>
  <si>
    <t>TBL_ENG_NM</t>
  </si>
  <si>
    <t>TMAT_MENU_SN</t>
  </si>
  <si>
    <t>TMAT_NM</t>
  </si>
  <si>
    <t>TMAT_FSRT_SN</t>
  </si>
  <si>
    <t>TMAT_SBTTL_NM</t>
  </si>
  <si>
    <t>TMAT_SBTTL_SN</t>
  </si>
  <si>
    <t>TMAT_USE_YN</t>
  </si>
  <si>
    <t>TMAT_SB_MENU_SN</t>
  </si>
  <si>
    <t>TMAT_EXPLN</t>
  </si>
  <si>
    <t>TMAT_ID</t>
  </si>
  <si>
    <t>TMAT_TYPE_VL</t>
  </si>
  <si>
    <t>TMAT_TTL_SN</t>
  </si>
  <si>
    <t>TLBR_WIGT_SE_VL</t>
  </si>
  <si>
    <t>PAMT_PRD_STNG_VL</t>
  </si>
  <si>
    <t>PAMT_CN</t>
  </si>
  <si>
    <t>PAMT_NM</t>
  </si>
  <si>
    <t>PAMT_ID</t>
  </si>
  <si>
    <t>PAMT_TYPE_VL</t>
  </si>
  <si>
    <t>PAMT_ESNTL_YN</t>
  </si>
  <si>
    <t>FILE_PATH_NM</t>
  </si>
  <si>
    <t>FILE_CN</t>
  </si>
  <si>
    <t>FILE_DWNLD_NOCS</t>
  </si>
  <si>
    <t>FILE_DWNLD_PRPS_NM</t>
  </si>
  <si>
    <t>FILE_DWNLD_RSN</t>
  </si>
  <si>
    <t>FILE_DWNLD_TYPE_NM</t>
  </si>
  <si>
    <t>FILE_LOGO_TYPE_VL</t>
  </si>
  <si>
    <t>FILE_NM</t>
  </si>
  <si>
    <t>FILE_EXPLN</t>
  </si>
  <si>
    <t>FILE_SEQ_SN</t>
  </si>
  <si>
    <t>FILE_ID</t>
  </si>
  <si>
    <t>FILE_CAY</t>
  </si>
  <si>
    <t>FILE_SN</t>
  </si>
  <si>
    <t>FILE_SZ_CNT</t>
  </si>
  <si>
    <t>FILE_EXTN_NM</t>
  </si>
  <si>
    <t>POPUP_YN</t>
  </si>
  <si>
    <t>FTER_CN</t>
  </si>
  <si>
    <t>FTER_CN_BCRN_COLR_VL</t>
  </si>
  <si>
    <t>FTER_CN_BCRN_COLR_CLRTY_CNT</t>
  </si>
  <si>
    <t>FTER_CN_FONT_COLR_VL</t>
  </si>
  <si>
    <t>FTER_CN_FONT_SORT_VL</t>
  </si>
  <si>
    <t>FTER_LOGO_FILE_ID</t>
  </si>
  <si>
    <t>WDSP_VL</t>
  </si>
  <si>
    <t>DWND_VL</t>
  </si>
  <si>
    <t>FRAM_SE_VL</t>
  </si>
  <si>
    <t>FRAM_ID</t>
  </si>
  <si>
    <t>FRAM_TYPE_VL</t>
  </si>
  <si>
    <t>FRAM_SN</t>
  </si>
  <si>
    <t>FRAM_TTL_CN</t>
  </si>
  <si>
    <t>FRAM_TTL_COLR_VL</t>
  </si>
  <si>
    <t>FRAM_TTL_SORT_VL</t>
  </si>
  <si>
    <t>FRAM_TTL_FONT_CNT</t>
  </si>
  <si>
    <t>FRAM_COPT_NO</t>
  </si>
  <si>
    <t>FRAM_COPT_SN</t>
  </si>
  <si>
    <t>PRGRM_URLR</t>
  </si>
  <si>
    <t>PRGRM_NM</t>
  </si>
  <si>
    <t>PRGRM_EXPLN</t>
  </si>
  <si>
    <t>PRGRM_ID</t>
  </si>
  <si>
    <t>PLOM_API_TYPE_CD</t>
  </si>
  <si>
    <t>PLOM_SE_VL</t>
  </si>
  <si>
    <t>PLOM_SN</t>
  </si>
  <si>
    <t>FTR_ID</t>
  </si>
  <si>
    <t>LTLND_YN</t>
  </si>
  <si>
    <t>HDD_TYPE_NM</t>
  </si>
  <si>
    <t>LWRT_ENG_TTL</t>
  </si>
  <si>
    <t>LWRT_TTL</t>
  </si>
  <si>
    <t>RVR_BNDR_TYPE_VL</t>
  </si>
  <si>
    <t>RVR_BNDR_SN</t>
  </si>
  <si>
    <t>RVR_BNDR_FILE_PATH_NM</t>
  </si>
  <si>
    <t>RVR_BNDR_FILE_NM</t>
  </si>
  <si>
    <t>RVR_SLAT_VL</t>
  </si>
  <si>
    <t>RVR_OFLW_SN</t>
  </si>
  <si>
    <t>RVR_DOW_MAX_VL</t>
  </si>
  <si>
    <t>RVR_DOW_MIN_VL</t>
  </si>
  <si>
    <t>RVR_ROD_MAX_VL</t>
  </si>
  <si>
    <t>RVR_ROD_MIN_VL</t>
  </si>
  <si>
    <t>RVR_CELI_FILE_PATH_NM</t>
  </si>
  <si>
    <t>RVR_CELI_FILE_NM</t>
  </si>
  <si>
    <t>FNCT_ID</t>
  </si>
  <si>
    <t>FNCT_RFNT_ID</t>
  </si>
  <si>
    <t>ADMDST_NM</t>
  </si>
  <si>
    <t>HDER_LOGO_FILE_ID</t>
  </si>
  <si>
    <t>HDER_MENU_ID</t>
  </si>
  <si>
    <t>HDER_MENU_FONT_MPHS_COLR_VL</t>
  </si>
  <si>
    <t>HDER_MENU_FONT_COLR_VL</t>
  </si>
  <si>
    <t>HDER_BCRN_USE_YN</t>
  </si>
  <si>
    <t>HDER_BCRN_COLR_VL</t>
  </si>
  <si>
    <t>HDER_BCRN_COLR_YN</t>
  </si>
  <si>
    <t>HDER_BCRN_COLR_CLRTY_CNT</t>
  </si>
  <si>
    <t>HDER_BCRN_FILE_ID</t>
  </si>
  <si>
    <t>GRNDS_EXMN_LYR_NM</t>
  </si>
  <si>
    <t>GRNDS_EXMN_RPTP_CN</t>
  </si>
  <si>
    <t>GRNDS_EXMN_RPTP_SMAL_TTL</t>
  </si>
  <si>
    <t>GRNDS_EXMN_RPTP_SMAL_TTL_ID</t>
  </si>
  <si>
    <t>GRNDS_EXMN_RPTP_ID</t>
  </si>
  <si>
    <t>GRNDS_EXMN_RPTP_FORM_NM</t>
  </si>
  <si>
    <t>GRNDS_EXMN_RPTP_FORM_SMAL_TTL_CN</t>
  </si>
  <si>
    <t>GRNDS_EXMN_RPTP_FORM_ID</t>
  </si>
  <si>
    <t>GRNDS_EXMN_RPTP_FORM_TYPE_VL</t>
  </si>
  <si>
    <t>GRNDS_EXMN_RPTP_TTL</t>
  </si>
  <si>
    <t>GRNDS_EXMN_FORM_SMAL_TTL</t>
  </si>
  <si>
    <t>GRNDS_EXMN_FORM_SMAL_TTL_SN</t>
  </si>
  <si>
    <t>GRNDS_EXMN_ORGNL_FILE_NM</t>
  </si>
  <si>
    <t>GRNDS_EXMN_WRT_DT</t>
  </si>
  <si>
    <t>GRNDS_EXMN_FILE_PATH_NM</t>
  </si>
  <si>
    <t>GRNDS_EXMN_FILE_NM</t>
  </si>
  <si>
    <t>GRNDS_EXMN_FILE_EXPLN</t>
  </si>
  <si>
    <t>GRNDS_EXMN_FILE_ID</t>
  </si>
  <si>
    <t>GRNDS_EXMN_FILE_CAY</t>
  </si>
  <si>
    <t>GRNDS_EXMN_FILE_SN</t>
  </si>
  <si>
    <t>GRNDS_EXMN_FILE_EXTN_NM</t>
  </si>
  <si>
    <t>GRNDS_EXMN_FTR_ID</t>
  </si>
  <si>
    <t>GRNDS_EXMN_FTR_TYPE_NM</t>
  </si>
  <si>
    <t>GRNDS_ADDR</t>
  </si>
  <si>
    <t>SCRN_DAT_CN</t>
  </si>
  <si>
    <t>SCRN_DAT_NO</t>
  </si>
  <si>
    <t>SCRN_DAT_SN</t>
  </si>
  <si>
    <t>SCRN_BTN_NO</t>
  </si>
  <si>
    <t>SCRN_SMAL_MENU_NM</t>
  </si>
  <si>
    <t>IDNTY_YN</t>
  </si>
  <si>
    <t>VTLZ_YN</t>
  </si>
  <si>
    <t>명V300</t>
  </si>
  <si>
    <t>식별자V20</t>
  </si>
  <si>
    <t>일련번호N22</t>
  </si>
  <si>
    <t>값V100</t>
  </si>
  <si>
    <t>수N14</t>
  </si>
  <si>
    <t>경도N13,10</t>
  </si>
  <si>
    <t>위도N12,10</t>
  </si>
  <si>
    <t>URL주소V1000</t>
  </si>
  <si>
    <t>여부C1</t>
  </si>
  <si>
    <t>번호V100</t>
  </si>
  <si>
    <t>코드V20</t>
  </si>
  <si>
    <t>내용V4000</t>
  </si>
  <si>
    <t>분C2</t>
  </si>
  <si>
    <t>시C2</t>
  </si>
  <si>
    <t>연월일C8</t>
  </si>
  <si>
    <t>값V10</t>
  </si>
  <si>
    <t>내용V2000</t>
  </si>
  <si>
    <t>수N10</t>
  </si>
  <si>
    <t>수N10,3</t>
  </si>
  <si>
    <t>연월일시분초D</t>
  </si>
  <si>
    <t>명V256</t>
  </si>
  <si>
    <t>일련번호N10</t>
  </si>
  <si>
    <t>코드V10</t>
  </si>
  <si>
    <t>율N5,2</t>
  </si>
  <si>
    <t>공간정보ST_GEOMETRY</t>
  </si>
  <si>
    <t>명V100</t>
  </si>
  <si>
    <t>명V200</t>
  </si>
  <si>
    <t>전화번호V11</t>
  </si>
  <si>
    <t>내용V1000</t>
  </si>
  <si>
    <t>시분초C6</t>
  </si>
  <si>
    <t>코드V1</t>
  </si>
  <si>
    <t>수N2</t>
  </si>
  <si>
    <t>수N4,2</t>
  </si>
  <si>
    <t>주소V320</t>
  </si>
  <si>
    <t>금액N18</t>
  </si>
  <si>
    <t>연도C4</t>
  </si>
  <si>
    <t>월C2</t>
  </si>
  <si>
    <t>일C2</t>
  </si>
  <si>
    <t>값V500</t>
  </si>
  <si>
    <t>좌표N13,10</t>
  </si>
  <si>
    <t>명V5</t>
  </si>
  <si>
    <t>명V40</t>
  </si>
  <si>
    <t>3D Object Result File Path Name</t>
  </si>
  <si>
    <t>3D Object Layer Name</t>
  </si>
  <si>
    <t>3D Object Layer ID</t>
  </si>
  <si>
    <t>3D Object Layer Serial Number</t>
  </si>
  <si>
    <t>3D Object Job Path Name</t>
  </si>
  <si>
    <t>3D Building Creation SHP Serial Number</t>
  </si>
  <si>
    <t>3D Building Creation Attribute SHP Serial Number</t>
  </si>
  <si>
    <t>3D Building Creation Attribute Serial Number</t>
  </si>
  <si>
    <t>3D Building Attribute Value</t>
  </si>
  <si>
    <t>3D Building Attribute Name</t>
  </si>
  <si>
    <t>3D Model URL Address Value</t>
  </si>
  <si>
    <t>3D Auto Model Result Floor Count</t>
  </si>
  <si>
    <t>3D Auto Model Longitude</t>
  </si>
  <si>
    <t>River Water Depth Maximum Value</t>
  </si>
  <si>
    <t>River Water Depth Minimum Value</t>
  </si>
  <si>
    <t>River Flow Rate Maximum Value</t>
  </si>
  <si>
    <t>River Flow Rate Minimum Value</t>
  </si>
  <si>
    <t>River Centerline File Path Name</t>
  </si>
  <si>
    <t>River Centerline File Name</t>
  </si>
  <si>
    <t>Function ID</t>
  </si>
  <si>
    <t>Function Refinement ID</t>
  </si>
  <si>
    <t>Administrative District Name</t>
  </si>
  <si>
    <t>Header Logo File ID</t>
  </si>
  <si>
    <t>Header Menu ID</t>
  </si>
  <si>
    <t>Header Menu Font Emphasis Color Value</t>
  </si>
  <si>
    <t>Header Menu Font Color Value</t>
  </si>
  <si>
    <t>Header Background Use Yes/No</t>
  </si>
  <si>
    <t>Header Background Color Value</t>
  </si>
  <si>
    <t>Header Background Color Yes/No</t>
  </si>
  <si>
    <t>Header Background Color Transparency Count</t>
  </si>
  <si>
    <t>Header Background File ID</t>
  </si>
  <si>
    <t>Field Survey Layer Name</t>
  </si>
  <si>
    <t>Field Survey Report Content</t>
  </si>
  <si>
    <t>Field Survey Report Subtitle</t>
  </si>
  <si>
    <t>Field Survey Report Subtitle ID</t>
  </si>
  <si>
    <t>Field Survey Report ID</t>
  </si>
  <si>
    <t>Field Survey Report Form Name</t>
  </si>
  <si>
    <t>Field Survey Report Form Subtitle Content</t>
  </si>
  <si>
    <t>Field Survey Report Form ID</t>
  </si>
  <si>
    <t>Field Survey Report Form Type Value</t>
  </si>
  <si>
    <t>Field Survey Report Title</t>
  </si>
  <si>
    <t>Field Survey Form Subtitle</t>
  </si>
  <si>
    <t>Field Survey Form Subtitle Serial Number</t>
  </si>
  <si>
    <t>Field Survey Original File Name</t>
  </si>
  <si>
    <t>Field Survey Written DateTime</t>
  </si>
  <si>
    <t>Field Survey File Path Name</t>
  </si>
  <si>
    <t>Field Survey File Name</t>
  </si>
  <si>
    <t>Field Survey File Description</t>
  </si>
  <si>
    <t>Field Survey File ID</t>
  </si>
  <si>
    <t>Field Survey File Capacity</t>
  </si>
  <si>
    <t>Field Survey File Serial Number</t>
  </si>
  <si>
    <t>Field Survey File Extension Name</t>
  </si>
  <si>
    <t>Field Survey Feature ID</t>
  </si>
  <si>
    <t>Field Survey Feature Type Name</t>
  </si>
  <si>
    <t>Field Address</t>
  </si>
  <si>
    <t>Screen Data Content</t>
  </si>
  <si>
    <t>Screen Data Number</t>
  </si>
  <si>
    <t>Screen Data Serial Number</t>
  </si>
  <si>
    <t>Screen Button Number</t>
  </si>
  <si>
    <t>Screen Submenu Name</t>
  </si>
  <si>
    <t>Identification Yes/No</t>
  </si>
  <si>
    <t>Activation Yes/No</t>
  </si>
  <si>
    <t>File Path Name</t>
  </si>
  <si>
    <t>File Content</t>
  </si>
  <si>
    <t>File Download Count</t>
  </si>
  <si>
    <t>File Download Purpose Name</t>
  </si>
  <si>
    <t>File Download Reason</t>
  </si>
  <si>
    <t>File Download Type Name</t>
  </si>
  <si>
    <t>File Logo Type Value</t>
  </si>
  <si>
    <t>File Name</t>
  </si>
  <si>
    <t>File Description</t>
  </si>
  <si>
    <t>File Sequence Serial Number</t>
  </si>
  <si>
    <t>File ID</t>
  </si>
  <si>
    <t>File Capacity</t>
  </si>
  <si>
    <t>File Serial Number</t>
  </si>
  <si>
    <t>File Size Count</t>
  </si>
  <si>
    <t>File Extension Name</t>
  </si>
  <si>
    <t>Popup Yes/No</t>
  </si>
  <si>
    <t>Footer Content</t>
  </si>
  <si>
    <t>Footer Content Background Color Value</t>
  </si>
  <si>
    <t>Footer Content Background Color Transparency Count</t>
  </si>
  <si>
    <t>Footer Content Font Color Value</t>
  </si>
  <si>
    <t>Footer Content Font Alignment Value</t>
  </si>
  <si>
    <t>Footer Logo File ID</t>
  </si>
  <si>
    <t>Wind Speed Value</t>
  </si>
  <si>
    <t>Wind Direction Value</t>
  </si>
  <si>
    <t>Frame Classification Value</t>
  </si>
  <si>
    <t>Frame ID</t>
  </si>
  <si>
    <t>Frame Type Value</t>
  </si>
  <si>
    <t>Frame Serial Number</t>
  </si>
  <si>
    <t>Frame Title Content</t>
  </si>
  <si>
    <t>Frame Title Color Value</t>
  </si>
  <si>
    <t>Frame Title Alignment Value</t>
  </si>
  <si>
    <t>Frame Title Font Count</t>
  </si>
  <si>
    <t>Frame Component Number</t>
  </si>
  <si>
    <t>Frame Component Serial Number</t>
  </si>
  <si>
    <t>Program URL Address</t>
  </si>
  <si>
    <t>Program Name</t>
  </si>
  <si>
    <t>Program Description</t>
  </si>
  <si>
    <t>Program ID</t>
  </si>
  <si>
    <t>Platform API Type Code</t>
  </si>
  <si>
    <t>Platform Classification Value</t>
  </si>
  <si>
    <t>Platform Serial Number</t>
  </si>
  <si>
    <t>Feature ID</t>
  </si>
  <si>
    <t>Land Parcel Yes/No</t>
  </si>
  <si>
    <t>Hard Disk Type Name</t>
  </si>
  <si>
    <t>Lower English Title</t>
  </si>
  <si>
    <t>Lower Title</t>
  </si>
  <si>
    <t>River Boundary Type Value</t>
  </si>
  <si>
    <t>River Boundary Serial Number</t>
  </si>
  <si>
    <t>River Boundary File Path Name</t>
  </si>
  <si>
    <t>River Boundary File Name</t>
  </si>
  <si>
    <t>River Slope Value</t>
  </si>
  <si>
    <t>River Overflow Serial Number</t>
  </si>
  <si>
    <t>Storage File Path Name</t>
  </si>
  <si>
    <t>Storage File Name</t>
  </si>
  <si>
    <t>Preprocessing Process Status Value</t>
  </si>
  <si>
    <t>Access History IP Value</t>
  </si>
  <si>
    <t>Access History URL Address</t>
  </si>
  <si>
    <t>Access History Domain Name</t>
  </si>
  <si>
    <t>Access History Year</t>
  </si>
  <si>
    <t>Access History Month</t>
  </si>
  <si>
    <t>Access History Day Count</t>
  </si>
  <si>
    <t>Access History Device Name</t>
  </si>
  <si>
    <t>Access History Page Name</t>
  </si>
  <si>
    <t>Information Type Value</t>
  </si>
  <si>
    <t>Refinement Column Content</t>
  </si>
  <si>
    <t>Refinement Function Column Value</t>
  </si>
  <si>
    <t>Title Name</t>
  </si>
  <si>
    <t>Title Color Value</t>
  </si>
  <si>
    <t>Title Alignment Number</t>
  </si>
  <si>
    <t>Title Font Count</t>
  </si>
  <si>
    <t>Embankment Line Name</t>
  </si>
  <si>
    <t>Embankment Line Serial Number</t>
  </si>
  <si>
    <t>Embankment Line File Path Name</t>
  </si>
  <si>
    <t>Embankment Line File Name</t>
  </si>
  <si>
    <t>Limit Value</t>
  </si>
  <si>
    <t>Illumination Coefficient Value</t>
  </si>
  <si>
    <t>View Count</t>
  </si>
  <si>
    <t>Coordinate System Classification Code</t>
  </si>
  <si>
    <t>Middle Menu Name</t>
  </si>
  <si>
    <t>Bookmark Background Color Value</t>
  </si>
  <si>
    <t>Bookmark Background Color Transparency Count</t>
  </si>
  <si>
    <t>Bookmark Service ID</t>
  </si>
  <si>
    <t>Bookmark Yes/No</t>
  </si>
  <si>
    <t>Bookmark Font Color Value</t>
  </si>
  <si>
    <t>Map URL Address</t>
  </si>
  <si>
    <t>Map URL Parameter Content</t>
  </si>
  <si>
    <t>Local Government Detail Code</t>
  </si>
  <si>
    <t>Local Government Code</t>
  </si>
  <si>
    <t>Chart X-Axis Content</t>
  </si>
  <si>
    <t>Chart Y-Axis Content</t>
  </si>
  <si>
    <t>Chart Z-Axis Content</t>
  </si>
  <si>
    <t>Chart Number</t>
  </si>
  <si>
    <t>Chart Style Name</t>
  </si>
  <si>
    <t>Chart ID</t>
  </si>
  <si>
    <t>Chart Yes/No</t>
  </si>
  <si>
    <t>Chart Title</t>
  </si>
  <si>
    <t>Chart Code</t>
  </si>
  <si>
    <t>Attachment File Path Name</t>
  </si>
  <si>
    <t>Attachment File Detail Serial Number</t>
  </si>
  <si>
    <t>Attachment File Serial Number</t>
  </si>
  <si>
    <t>Maximum X Coordinate</t>
  </si>
  <si>
    <t>Maximum Y Coordinate</t>
  </si>
  <si>
    <t>Maximum Capacity Value</t>
  </si>
  <si>
    <t>Minimum X Coordinate</t>
  </si>
  <si>
    <t>Minimum Y Coordinate</t>
  </si>
  <si>
    <t>Last Login DateTime</t>
  </si>
  <si>
    <t>Output Order Serial Number</t>
  </si>
  <si>
    <t>Employment Rate</t>
  </si>
  <si>
    <t>CAD File Path Name</t>
  </si>
  <si>
    <t>CAD File Name</t>
  </si>
  <si>
    <t>CAD File Capacity</t>
  </si>
  <si>
    <t>Column Comparison Condition Content</t>
  </si>
  <si>
    <t>Contents Number</t>
  </si>
  <si>
    <t>Theme Map URL Address</t>
  </si>
  <si>
    <t>Theme Map Content</t>
  </si>
  <si>
    <t>Theme Map Name</t>
  </si>
  <si>
    <t>Theme Map Serial Number</t>
  </si>
  <si>
    <t>Theme Chart ID</t>
  </si>
  <si>
    <t>Test URL Address</t>
  </si>
  <si>
    <t>Table English Name</t>
  </si>
  <si>
    <t>Template Menu Serial Number</t>
  </si>
  <si>
    <t>Template Name</t>
  </si>
  <si>
    <t>Template Shortcut Serial Number</t>
  </si>
  <si>
    <t>Template Subtitle Name</t>
  </si>
  <si>
    <t>Template Subtitle Serial Number</t>
  </si>
  <si>
    <t>Template Use Yes/No</t>
  </si>
  <si>
    <t>Template Submenu Serial Number</t>
  </si>
  <si>
    <t>Template Description</t>
  </si>
  <si>
    <t>Template ID</t>
  </si>
  <si>
    <t>Template Type Value</t>
  </si>
  <si>
    <t>Template Title Serial Number</t>
  </si>
  <si>
    <t>Toolbar Widget Classification Value</t>
  </si>
  <si>
    <t>Parameter Period Setting Value</t>
  </si>
  <si>
    <t>Parameter Content</t>
  </si>
  <si>
    <t>Parameter Name</t>
  </si>
  <si>
    <t>Parameter ID</t>
  </si>
  <si>
    <t>Parameter Type Value</t>
  </si>
  <si>
    <t>Parameter Required Yes/No</t>
  </si>
  <si>
    <t>Reception File Path Name</t>
  </si>
  <si>
    <t>Modification DateTime</t>
  </si>
  <si>
    <t>Modifier ID</t>
  </si>
  <si>
    <t>Sequence Serial Number</t>
  </si>
  <si>
    <t>Schema Content</t>
  </si>
  <si>
    <t>Schema Name</t>
  </si>
  <si>
    <t>Style Name</t>
  </si>
  <si>
    <t>Style Identifier ID</t>
  </si>
  <si>
    <t>Style Type Value</t>
  </si>
  <si>
    <t>Approval DateTime</t>
  </si>
  <si>
    <t>Approver ID</t>
  </si>
  <si>
    <t>Approver Type Value</t>
  </si>
  <si>
    <t>Simulation Serial Number</t>
  </si>
  <si>
    <t>Simulation Maximum Value</t>
  </si>
  <si>
    <t>Simulation Minimum Value</t>
  </si>
  <si>
    <t>System Classification Value</t>
  </si>
  <si>
    <t>System Group Code</t>
  </si>
  <si>
    <t>System Type Value</t>
  </si>
  <si>
    <t>System Code Value</t>
  </si>
  <si>
    <t>Visibility Data Classification Value</t>
  </si>
  <si>
    <t>Visibility Data Menu Yes/No</t>
  </si>
  <si>
    <t>Visibility Data Use Yes/No</t>
  </si>
  <si>
    <t>Application Reason</t>
  </si>
  <si>
    <t>Application Status Value</t>
  </si>
  <si>
    <t>Application Yes/No</t>
  </si>
  <si>
    <t>Application Serial Number</t>
  </si>
  <si>
    <t>Applicant ID</t>
  </si>
  <si>
    <t>Symbol Style Name</t>
  </si>
  <si>
    <t>Symbol Condition Content</t>
  </si>
  <si>
    <t>Guide File Name</t>
  </si>
  <si>
    <t>Guide File Type Value</t>
  </si>
  <si>
    <t>Guide File Serial Number</t>
  </si>
  <si>
    <t>Update Table Name</t>
  </si>
  <si>
    <t>Task Classification Value</t>
  </si>
  <si>
    <t>Exterior Wall Color Value</t>
  </si>
  <si>
    <t>Original Data Number</t>
  </si>
  <si>
    <t>Original Chart Number</t>
  </si>
  <si>
    <t>Original File Name</t>
  </si>
  <si>
    <t>Original File ID</t>
  </si>
  <si>
    <t>Web Map Layer Whole Filter Description</t>
  </si>
  <si>
    <t>Web Map Setting Object Identifier ID</t>
  </si>
  <si>
    <t>Web Map Setting Object Type Value</t>
  </si>
  <si>
    <t>Web App History Type Value</t>
  </si>
  <si>
    <t>Web App History Serial Number</t>
  </si>
  <si>
    <t>Web App Template ID</t>
  </si>
  <si>
    <t>Web Template History Content</t>
  </si>
  <si>
    <t>Latitude</t>
  </si>
  <si>
    <t>Widget Large Classification Value</t>
  </si>
  <si>
    <t>Widget Name</t>
  </si>
  <si>
    <t>Widget Identifier ID</t>
  </si>
  <si>
    <t>Widget English Name</t>
  </si>
  <si>
    <t>Widget Middle Classification Value</t>
  </si>
  <si>
    <t>Position Value</t>
  </si>
  <si>
    <t>Flow Hydrograph File Path Name</t>
  </si>
  <si>
    <t>Flow Hydrograph File Name</t>
  </si>
  <si>
    <t>Glass Color Value</t>
  </si>
  <si>
    <t>Glass Transparency Value</t>
  </si>
  <si>
    <t>Flow Velocity Maximum Value</t>
  </si>
  <si>
    <t>Flow Velocity Minimum Value</t>
  </si>
  <si>
    <t>Email Address</t>
  </si>
  <si>
    <t>Image File Serial Number</t>
  </si>
  <si>
    <t>Previous Common Code</t>
  </si>
  <si>
    <t>Infra Large Classification Name</t>
  </si>
  <si>
    <t>Infra Large Classification Serial Number</t>
  </si>
  <si>
    <t>Infra Detail Serial Number</t>
  </si>
  <si>
    <t>Infra Product Item Serial Number</t>
  </si>
  <si>
    <t>Infra Small Classification Name</t>
  </si>
  <si>
    <t>Infra Small Classification Cost Amount</t>
  </si>
  <si>
    <t>Infra Small Classification Description</t>
  </si>
  <si>
    <t>Infra Small Classification Type Value</t>
  </si>
  <si>
    <t>Infra Small Classification Serial Number</t>
  </si>
  <si>
    <t>Infra Application Processing Status Value</t>
  </si>
  <si>
    <t>Infra Middle Classification Name</t>
  </si>
  <si>
    <t>Infra Middle Classification Serial Number</t>
  </si>
  <si>
    <t>Infra Additional Yes/No</t>
  </si>
  <si>
    <t>Infra Item Name</t>
  </si>
  <si>
    <t>Infra Item Type Value</t>
  </si>
  <si>
    <t>Infra Item Type Code</t>
  </si>
  <si>
    <t>Infra Item Serial Number</t>
  </si>
  <si>
    <t>Infra Item Total Quantity</t>
  </si>
  <si>
    <t>Reading Yes/No</t>
  </si>
  <si>
    <t>Automation Model Serial Number</t>
  </si>
  <si>
    <t>Job Content</t>
  </si>
  <si>
    <t>Job Log Serial Number</t>
  </si>
  <si>
    <t>Job Process Classification Value</t>
  </si>
  <si>
    <t>Job Function Status Value</t>
  </si>
  <si>
    <t>Job Function ID</t>
  </si>
  <si>
    <t>Submenu Background Color Value</t>
  </si>
  <si>
    <t>Submenu Background Color Count</t>
  </si>
  <si>
    <t>Submenu Background Color Transparency Count</t>
  </si>
  <si>
    <t>Submenu ID</t>
  </si>
  <si>
    <t>Submenu Font Color Value</t>
  </si>
  <si>
    <t>Service URL Address Value</t>
  </si>
  <si>
    <t>Service Name</t>
  </si>
  <si>
    <t>Service Number</t>
  </si>
  <si>
    <t>Service Description</t>
  </si>
  <si>
    <t>Service Application Number</t>
  </si>
  <si>
    <t>Service Application Detail Serial Number</t>
  </si>
  <si>
    <t>Service Application Approval ID</t>
  </si>
  <si>
    <t>Service Application Approval DateTime</t>
  </si>
  <si>
    <t>Service Application Serial Number</t>
  </si>
  <si>
    <t>Service Application Day Serial Number</t>
  </si>
  <si>
    <t>Service Application Code</t>
  </si>
  <si>
    <t>Service English Name</t>
  </si>
  <si>
    <t>Service Type Classification Code</t>
  </si>
  <si>
    <t>Service Serial Number</t>
  </si>
  <si>
    <t>Service Keyword Value</t>
  </si>
  <si>
    <t>Noise Grade Value</t>
  </si>
  <si>
    <t>Noise Grade Detail Serial Number</t>
  </si>
  <si>
    <t>Noise Source Name</t>
  </si>
  <si>
    <t>Noise Source Count</t>
  </si>
  <si>
    <t>Noise Source Serial Number</t>
  </si>
  <si>
    <t>Noise Maximum Value</t>
  </si>
  <si>
    <t>Noise Minimum Value</t>
  </si>
  <si>
    <t>Noise Terahertz 1 Value</t>
  </si>
  <si>
    <t>Noise Terahertz 2 Value</t>
  </si>
  <si>
    <t>Noise Terahertz 4 Value</t>
  </si>
  <si>
    <t>Noise Terahertz 5 Value</t>
  </si>
  <si>
    <t>Noise Hertz 125 Value</t>
  </si>
  <si>
    <t>Noise Hertz 250 Value</t>
  </si>
  <si>
    <t>Noise Hertz 500 Value</t>
  </si>
  <si>
    <t>Noise Hertz 63 Value</t>
  </si>
  <si>
    <t>Noise Absorption Rate Value</t>
  </si>
  <si>
    <t>Menu URL Address</t>
  </si>
  <si>
    <t>Menu URL Address Pattern Content</t>
  </si>
  <si>
    <t>Menu Path Type Number</t>
  </si>
  <si>
    <t>Menu Name</t>
  </si>
  <si>
    <t>Menu Text Alignment Value</t>
  </si>
  <si>
    <t>Menu Text Font Color Value</t>
  </si>
  <si>
    <t>Menu Text Font Count</t>
  </si>
  <si>
    <t>Menu Background Color Value</t>
  </si>
  <si>
    <t>Menu Background Color Transparency Count</t>
  </si>
  <si>
    <t>Menu Background Yes/No</t>
  </si>
  <si>
    <t>Menu Background File ID</t>
  </si>
  <si>
    <t>Menu New Window Yes/No</t>
  </si>
  <si>
    <t>Menu ID</t>
  </si>
  <si>
    <t>Menu Icon Name</t>
  </si>
  <si>
    <t>Menu Icon Color Value</t>
  </si>
  <si>
    <t>Menu Icon Yes/No</t>
  </si>
  <si>
    <t>Menu Icon File ID</t>
  </si>
  <si>
    <t>Menu Yes/No</t>
  </si>
  <si>
    <t>Menu English Name</t>
  </si>
  <si>
    <t>Menu Type Value</t>
  </si>
  <si>
    <t>Menu Serial Number</t>
  </si>
  <si>
    <t>Menu Information Description</t>
  </si>
  <si>
    <t>Menu Font Emphasis Color Value</t>
  </si>
  <si>
    <t>Menu Font Color Value</t>
  </si>
  <si>
    <t>Model Size Ratio</t>
  </si>
  <si>
    <t>Letter Message Reception Yes/No</t>
  </si>
  <si>
    <t>Shortcut Menu ID</t>
  </si>
  <si>
    <t>Shortcut Text Alignment Value</t>
  </si>
  <si>
    <t>Shortcut Text Font Color Value</t>
  </si>
  <si>
    <t>Shortcut Text Font Count</t>
  </si>
  <si>
    <t>Shortcut Background Color Value</t>
  </si>
  <si>
    <t>Shortcut Background Color Transparency Count</t>
  </si>
  <si>
    <t>Shortcut Background Yes/No</t>
  </si>
  <si>
    <t>Shortcut Background File ID</t>
  </si>
  <si>
    <t>Shortcut Button Color Value</t>
  </si>
  <si>
    <t>Shortcut Button ID</t>
  </si>
  <si>
    <t>Shortcut Button Font Emphasis Color Value</t>
  </si>
  <si>
    <t>Shortcut Button Font Color Value</t>
  </si>
  <si>
    <t>Shortcut Font Emphasis Color Value</t>
  </si>
  <si>
    <t>Shortcut Font Color Value</t>
  </si>
  <si>
    <t>Rejection Reason</t>
  </si>
  <si>
    <t>Rejection ID</t>
  </si>
  <si>
    <t>Rejection DateTime</t>
  </si>
  <si>
    <t>Returner ID</t>
  </si>
  <si>
    <t>Soundproof Wall Name</t>
  </si>
  <si>
    <t>Soundproof Wall Count</t>
  </si>
  <si>
    <t>Soundproof Wall Serial Number</t>
  </si>
  <si>
    <t>Background Color 2 Value</t>
  </si>
  <si>
    <t>Background Color Value</t>
  </si>
  <si>
    <t>Background Color Yes/No</t>
  </si>
  <si>
    <t>Background Color Transparency Count</t>
  </si>
  <si>
    <t>Background Setting 2 Use Yes/No</t>
  </si>
  <si>
    <t>Background File 2 ID</t>
  </si>
  <si>
    <t>Background File ID</t>
  </si>
  <si>
    <t>Banner Type Value</t>
  </si>
  <si>
    <t>Banner Image Serial Number</t>
  </si>
  <si>
    <t>Banner Contents ID</t>
  </si>
  <si>
    <t>Banner File Yes/No</t>
  </si>
  <si>
    <t>Button Number</t>
  </si>
  <si>
    <t>UUID ID</t>
  </si>
  <si>
    <t>Change Type Value</t>
  </si>
  <si>
    <t>Submenu Font Emphasis Color Value</t>
  </si>
  <si>
    <t>Department Classification Value</t>
  </si>
  <si>
    <t>Department Name</t>
  </si>
  <si>
    <t>Subtitle Color Value</t>
  </si>
  <si>
    <t>Subtitle Alignment Number</t>
  </si>
  <si>
    <t>Subtitle Font Count</t>
  </si>
  <si>
    <t>Classification Array Content</t>
  </si>
  <si>
    <t>Analysis Result Content</t>
  </si>
  <si>
    <t>Analysis Result Name</t>
  </si>
  <si>
    <t>Analysis Result ID</t>
  </si>
  <si>
    <t>Analysis Result Type Value</t>
  </si>
  <si>
    <t>Analysis Model ID</t>
  </si>
  <si>
    <t>Analysis Model Type Content</t>
  </si>
  <si>
    <t>Analysis Model Type Name</t>
  </si>
  <si>
    <t>Analysis Service Type Name</t>
  </si>
  <si>
    <t>Analysis Setting Content</t>
  </si>
  <si>
    <t>Analysis Setting Name</t>
  </si>
  <si>
    <t>Analysis Setting ID</t>
  </si>
  <si>
    <t>Analysis Hour Value</t>
  </si>
  <si>
    <t>Analysis Notification Number</t>
  </si>
  <si>
    <t>Analysis Notification Serial Number</t>
  </si>
  <si>
    <t>Analysis Request Type Value</t>
  </si>
  <si>
    <t>Analysis Computation Interval Value</t>
  </si>
  <si>
    <t>Remark Content</t>
  </si>
  <si>
    <t>Use Share Yes/No</t>
  </si>
  <si>
    <t>Browser Name</t>
  </si>
  <si>
    <t>Use Yes/No</t>
  </si>
  <si>
    <t>User ID</t>
  </si>
  <si>
    <t>User Data Name</t>
  </si>
  <si>
    <t>User Data ID</t>
  </si>
  <si>
    <t>User Registration Count</t>
  </si>
  <si>
    <t>User Menu Classification Value</t>
  </si>
  <si>
    <t>User Name</t>
  </si>
  <si>
    <t>User Password</t>
  </si>
  <si>
    <t>User Agent Description</t>
  </si>
  <si>
    <t>User Role Name</t>
  </si>
  <si>
    <t>User Role Serial Number</t>
  </si>
  <si>
    <t>User Type</t>
  </si>
  <si>
    <t>User Serial Number</t>
  </si>
  <si>
    <t>User Contents Value</t>
  </si>
  <si>
    <t>User Contents Name</t>
  </si>
  <si>
    <t>User Contents Serial Number</t>
  </si>
  <si>
    <t>User Contents Activation Serial Number</t>
  </si>
  <si>
    <t>User Mobile Phone Number</t>
  </si>
  <si>
    <t>Site API Serial Number</t>
  </si>
  <si>
    <t>Delete Yes/No</t>
  </si>
  <si>
    <t>Delete DateTime</t>
  </si>
  <si>
    <t>Delete Date</t>
  </si>
  <si>
    <t>Upper Menu ID</t>
  </si>
  <si>
    <t>Upper Menu Serial Number</t>
  </si>
  <si>
    <t>Upper English Title</t>
  </si>
  <si>
    <t>Upper Title</t>
  </si>
  <si>
    <t>Status Value</t>
  </si>
  <si>
    <t>Product Name</t>
  </si>
  <si>
    <t>Product Serial Number</t>
  </si>
  <si>
    <t>Color Index Serial Number</t>
  </si>
  <si>
    <t>3D Auto Model Space Width Value</t>
  </si>
  <si>
    <t>3D Auto Model Batch Serial Number</t>
  </si>
  <si>
    <t>3D Auto Model Latitude</t>
  </si>
  <si>
    <t>3D Auto Model Position Value</t>
  </si>
  <si>
    <t>3D Auto Model Title</t>
  </si>
  <si>
    <t>3D Automation Model Detail ID</t>
  </si>
  <si>
    <t>3D Automation Model Detail Serial Number</t>
  </si>
  <si>
    <t>3D Automation Model Serial Number</t>
  </si>
  <si>
    <t>3D Program Version Value</t>
  </si>
  <si>
    <t>API URL Address</t>
  </si>
  <si>
    <t>API Development Yes/No</t>
  </si>
  <si>
    <t>API Classification Value</t>
  </si>
  <si>
    <t>API Group Classification Value</t>
  </si>
  <si>
    <t>API Group Name</t>
  </si>
  <si>
    <t>API Group Serial Number</t>
  </si>
  <si>
    <t>API Group Keyword Name</t>
  </si>
  <si>
    <t>API Data Number Value</t>
  </si>
  <si>
    <t>API Name</t>
  </si>
  <si>
    <t>API Classification Yes/No</t>
  </si>
  <si>
    <t>API Classification Code</t>
  </si>
  <si>
    <t>API Detail Serial Number</t>
  </si>
  <si>
    <t>API Description</t>
  </si>
  <si>
    <t>API Reception ID</t>
  </si>
  <si>
    <t>API Schedule ID</t>
  </si>
  <si>
    <t>API Execution Minute</t>
  </si>
  <si>
    <t>API Execution Hour</t>
  </si>
  <si>
    <t>API Execution Type Value</t>
  </si>
  <si>
    <t>API Execution Date</t>
  </si>
  <si>
    <t>API Execution Cycle Value</t>
  </si>
  <si>
    <t>API Execution Second Value</t>
  </si>
  <si>
    <t>API Request Type Value</t>
  </si>
  <si>
    <t>API Response Attribute Name</t>
  </si>
  <si>
    <t>API Response Attribute Description</t>
  </si>
  <si>
    <t>API Response Attribute Type Value</t>
  </si>
  <si>
    <t>API Response Attribute Korean Name</t>
  </si>
  <si>
    <t>API Response Type Value</t>
  </si>
  <si>
    <t>API Serial Number</t>
  </si>
  <si>
    <t>API Providing Institution ID</t>
  </si>
  <si>
    <t>API Keyword Value</t>
  </si>
  <si>
    <t>CPU Type Name</t>
  </si>
  <si>
    <t>DEM File Path Name</t>
  </si>
  <si>
    <t>DEM File Name</t>
  </si>
  <si>
    <t>GLB Conversion Yes/No</t>
  </si>
  <si>
    <t>RAM Type Name</t>
  </si>
  <si>
    <t>SHP File Value</t>
  </si>
  <si>
    <t>SHP File Path Name</t>
  </si>
  <si>
    <t>SHP File Name</t>
  </si>
  <si>
    <t>SHP File Type Value</t>
  </si>
  <si>
    <t>SHP Total Row Count</t>
  </si>
  <si>
    <t>Swagger URL Address</t>
  </si>
  <si>
    <t>URL Mapping Value</t>
  </si>
  <si>
    <t>X-Axis Rotation Count</t>
  </si>
  <si>
    <t>Y-Axis Rotation Count</t>
  </si>
  <si>
    <t>Z-Axis Rotation Count</t>
  </si>
  <si>
    <t>Developer URL Address</t>
  </si>
  <si>
    <t>Post Attachment File Name</t>
  </si>
  <si>
    <t>Search Bar Color Value</t>
  </si>
  <si>
    <t>Search Button Color Value</t>
  </si>
  <si>
    <t>Search Button Yes/No</t>
  </si>
  <si>
    <t>Post URL Address</t>
  </si>
  <si>
    <t>Post Release Yes/No</t>
  </si>
  <si>
    <t>Post Notice Yes/No</t>
  </si>
  <si>
    <t>Post Content</t>
  </si>
  <si>
    <t>Post Exposure Yes/No</t>
  </si>
  <si>
    <t>Post Answer DateTime</t>
  </si>
  <si>
    <t>Post Answerer ID</t>
  </si>
  <si>
    <t>Post Registrant IP Value</t>
  </si>
  <si>
    <t>Post Delete Yes/No</t>
  </si>
  <si>
    <t>Post Delete DateTime</t>
  </si>
  <si>
    <t>Post Delete Date</t>
  </si>
  <si>
    <t>Post Status Value</t>
  </si>
  <si>
    <t>Post Original Attachment File Name</t>
  </si>
  <si>
    <t>Post Previous Content</t>
  </si>
  <si>
    <t>Post Serial Number</t>
  </si>
  <si>
    <t>Post Temporary Content</t>
  </si>
  <si>
    <t>Post Temporary Written DateTime</t>
  </si>
  <si>
    <t>Post Temporary Title</t>
  </si>
  <si>
    <t>Post Writer Name</t>
  </si>
  <si>
    <t>Post Title</t>
  </si>
  <si>
    <t>Post View Count</t>
  </si>
  <si>
    <t>Post Question Content</t>
  </si>
  <si>
    <t>Post Attachment File Path Name</t>
  </si>
  <si>
    <t>Post Attachment File Count</t>
  </si>
  <si>
    <t>Post File Path Name</t>
  </si>
  <si>
    <t>Post File Size Count</t>
  </si>
  <si>
    <t>Post Attachment File Serial Number</t>
  </si>
  <si>
    <t>Board Name</t>
  </si>
  <si>
    <t>Board Number</t>
  </si>
  <si>
    <t>Board Classification Code</t>
  </si>
  <si>
    <t>Board Use Yes/No</t>
  </si>
  <si>
    <t>Board Description</t>
  </si>
  <si>
    <t>Board ID</t>
  </si>
  <si>
    <t>Board English Name</t>
  </si>
  <si>
    <t>Board Type Classification Value</t>
  </si>
  <si>
    <t>Result Message Content</t>
  </si>
  <si>
    <t>Longitude</t>
  </si>
  <si>
    <t>Path Name</t>
  </si>
  <si>
    <t>Slanted Wall Yes/No</t>
  </si>
  <si>
    <t>Employment Target Personnel Count</t>
  </si>
  <si>
    <t>Employment Change Rate</t>
  </si>
  <si>
    <t>Employment Rate Value</t>
  </si>
  <si>
    <t>Employment Policy URL Address</t>
  </si>
  <si>
    <t>Spatial Data SHP Name</t>
  </si>
  <si>
    <t>Spatial Data SHP ID</t>
  </si>
  <si>
    <t>Spatial Data SHP Serial Number</t>
  </si>
  <si>
    <t>Spatial Data WKT Content</t>
  </si>
  <si>
    <t>Spatial Data Value</t>
  </si>
  <si>
    <t>Spatial Data Visualization Type Count</t>
  </si>
  <si>
    <t>Spatial Data Visualization Serial Number</t>
  </si>
  <si>
    <t>Spatial Data Serial Number</t>
  </si>
  <si>
    <t>Spatial Data Coordinate System Value</t>
  </si>
  <si>
    <t>Spatial Information Attribute Value</t>
  </si>
  <si>
    <t>Spatial Information Attribute Array Content</t>
  </si>
  <si>
    <t>Release Plan Type Value</t>
  </si>
  <si>
    <t>Release Plan Serial Number</t>
  </si>
  <si>
    <t>Release Message Content</t>
  </si>
  <si>
    <t>Release Success Yes/No</t>
  </si>
  <si>
    <t>Release Approval ID</t>
  </si>
  <si>
    <t>Release Approval DateTime</t>
  </si>
  <si>
    <t>Release Yes/No</t>
  </si>
  <si>
    <t>Release DateTime</t>
  </si>
  <si>
    <t>Common Additional Description</t>
  </si>
  <si>
    <t>Common Group Code</t>
  </si>
  <si>
    <t>Common Group Code Name</t>
  </si>
  <si>
    <t>Common Group Code Description</t>
  </si>
  <si>
    <t>Common Classification Name</t>
  </si>
  <si>
    <t>Common Classification Description</t>
  </si>
  <si>
    <t>Common Classification Code</t>
  </si>
  <si>
    <t>Common Detail Code</t>
  </si>
  <si>
    <t>Common Detail Code Name</t>
  </si>
  <si>
    <t>Common Detail Code Description</t>
  </si>
  <si>
    <t>Common Code Name</t>
  </si>
  <si>
    <t>Common Code Description</t>
  </si>
  <si>
    <t>Common Code Serial Number</t>
  </si>
  <si>
    <t>Relation Serial Number</t>
  </si>
  <si>
    <t>Relation Table Name</t>
  </si>
  <si>
    <t>Manager Use Yes/No</t>
  </si>
  <si>
    <t>Manager ID</t>
  </si>
  <si>
    <t>Manager Serial Number</t>
  </si>
  <si>
    <t>District Name</t>
  </si>
  <si>
    <t>Job Offer URL Address</t>
  </si>
  <si>
    <t>County Name</t>
  </si>
  <si>
    <t>Group Name</t>
  </si>
  <si>
    <t>Institution Classification Value</t>
  </si>
  <si>
    <t>Institution Name</t>
  </si>
  <si>
    <t>Institution Location Name</t>
  </si>
  <si>
    <t>Institution Telephone Number</t>
  </si>
  <si>
    <t>Base Point Column Name</t>
  </si>
  <si>
    <t>Geometry WKT Content</t>
  </si>
  <si>
    <t>Geometry Data Content</t>
  </si>
  <si>
    <t>Geometry File Path Name</t>
  </si>
  <si>
    <t>Geometry File Name</t>
  </si>
  <si>
    <t>Git URL Address</t>
  </si>
  <si>
    <t>Git Password</t>
  </si>
  <si>
    <t>Git ID</t>
  </si>
  <si>
    <t>Git Error Content</t>
  </si>
  <si>
    <t>Git Token Content</t>
  </si>
  <si>
    <t>Git Project Name</t>
  </si>
  <si>
    <t>Internal IP Menu Yes/No</t>
  </si>
  <si>
    <t>Internal IP Verification Yes/No</t>
  </si>
  <si>
    <t>Height Value</t>
  </si>
  <si>
    <t>Download Contents Name</t>
  </si>
  <si>
    <t>Task Responsibility Name</t>
  </si>
  <si>
    <t>Main Menu Name</t>
  </si>
  <si>
    <t>Data Name</t>
  </si>
  <si>
    <t>Data ID</t>
  </si>
  <si>
    <t>Data Type Name</t>
  </si>
  <si>
    <t>Registration DateTime</t>
  </si>
  <si>
    <t>Registration Date</t>
  </si>
  <si>
    <t>Registrant ID</t>
  </si>
  <si>
    <t>Label Content</t>
  </si>
  <si>
    <t>Rhino Result Request Serial Number</t>
  </si>
  <si>
    <t>Rhino Result Serial Number</t>
  </si>
  <si>
    <t>Rhino Result File Path Name</t>
  </si>
  <si>
    <t>Rhino Result Attribute Serial Number</t>
  </si>
  <si>
    <t>Rhino Analysis Result Name</t>
  </si>
  <si>
    <t>Rhino Analysis Application Name</t>
  </si>
  <si>
    <t>Rhino Analysis Request Serial Number</t>
  </si>
  <si>
    <t>Rhino Option Name</t>
  </si>
  <si>
    <t>Rhino File Capacity</t>
  </si>
  <si>
    <t>Layer XY Order Normal Yes/No</t>
  </si>
  <si>
    <t>Layer Group Name</t>
  </si>
  <si>
    <t>Layer Group Description</t>
  </si>
  <si>
    <t>Layer Group Serial Number</t>
  </si>
  <si>
    <t>Layer Base Point Column Name</t>
  </si>
  <si>
    <t>Layer Name</t>
  </si>
  <si>
    <t>Layer Publication Status Value</t>
  </si>
  <si>
    <t>Layer Classification Value</t>
  </si>
  <si>
    <t>Layer Classification Type Value</t>
  </si>
  <si>
    <t>Layer Description</t>
  </si>
  <si>
    <t>Layer Ownership Classification Value</t>
  </si>
  <si>
    <t>Layer Attribute Group Value</t>
  </si>
  <si>
    <t>Layer Attribute Name</t>
  </si>
  <si>
    <t>Layer Attribute ID</t>
  </si>
  <si>
    <t>Layer Style Content</t>
  </si>
  <si>
    <t>Layer Identifier ID</t>
  </si>
  <si>
    <t>Layer ID</t>
  </si>
  <si>
    <t>Layer Notification Status Value</t>
  </si>
  <si>
    <t>Layer Notification Time</t>
  </si>
  <si>
    <t>Layer Notification Interval Count</t>
  </si>
  <si>
    <t>Layer Type Value</t>
  </si>
  <si>
    <t>Layer Type Classification Value</t>
  </si>
  <si>
    <t>Layer Type Classification Code</t>
  </si>
  <si>
    <t>Login Button Color Value</t>
  </si>
  <si>
    <t>Link URL Address</t>
  </si>
  <si>
    <t>Mapping Serial Number</t>
  </si>
  <si>
    <t>3. PTS DB 표준용어 목록</t>
    <phoneticPr fontId="2" type="noConversion"/>
  </si>
  <si>
    <t>PTS(통합)</t>
    <phoneticPr fontId="2" type="noConversion"/>
  </si>
  <si>
    <t>산림공간 관리부서</t>
    <phoneticPr fontId="2" type="noConversion"/>
  </si>
  <si>
    <t>pts</t>
    <phoneticPr fontId="2" type="noConversion"/>
  </si>
  <si>
    <t>과학기술</t>
    <phoneticPr fontId="2" type="noConversion"/>
  </si>
  <si>
    <t>공통역역</t>
    <phoneticPr fontId="2" type="noConversion"/>
  </si>
  <si>
    <t>일반공공행정</t>
  </si>
  <si>
    <t>19~19</t>
    <phoneticPr fontId="2" type="noConversion"/>
  </si>
  <si>
    <t>19~20</t>
  </si>
  <si>
    <t>19~21</t>
  </si>
  <si>
    <t>강은혜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</si>
</sst>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70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22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4" borderId="0" xfId="0" applyFont="1" applyFill="1">
      <alignment vertical="center"/>
    </xf>
    <xf numFmtId="0" fontId="1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3" borderId="34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22" fontId="16" fillId="0" borderId="22" xfId="0" applyNumberFormat="1" applyFont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29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</cellXfs>
  <cellStyles count="10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</cellStyles>
  <dxfs count="0"/>
  <tableStyles count="0" defaultTableStyle="TableStyleMedium9" defaultPivotStyle="PivotStyleLight16"/>
  <colors>
    <mruColors>
      <color rgb="FFFFFF99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388620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914525" y="1762125"/>
          <a:ext cx="5855970" cy="118110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72000" tIns="144000" rIns="720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000" spc="-50" baseline="0">
                <a:latin typeface="HY견고딕" pitchFamily="18" charset="-127"/>
                <a:ea typeface="HY견고딕" pitchFamily="18" charset="-127"/>
              </a:rPr>
              <a:t>데이터베이스표준용어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09900" y="3686175"/>
          <a:ext cx="31623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ID-D04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2025.11.20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601980</xdr:colOff>
      <xdr:row>11</xdr:row>
      <xdr:rowOff>198120</xdr:rowOff>
    </xdr:from>
    <xdr:to>
      <xdr:col>9</xdr:col>
      <xdr:colOff>493664</xdr:colOff>
      <xdr:row>13</xdr:row>
      <xdr:rowOff>181918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AB598E-07DE-4357-B778-295D872B5DC7}"/>
            </a:ext>
          </a:extLst>
        </xdr:cNvPr>
        <xdr:cNvSpPr txBox="1"/>
      </xdr:nvSpPr>
      <xdr:spPr bwMode="auto">
        <a:xfrm>
          <a:off x="2423160" y="262890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 b="1">
            <a:solidFill>
              <a:schemeClr val="tx1"/>
            </a:solidFill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topLeftCell="A10" zoomScaleNormal="100" workbookViewId="0">
      <selection activeCell="K26" sqref="K26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45"/>
      <c r="H17" s="45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L16" sqref="L16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59"/>
      <c r="C2" s="59"/>
      <c r="D2" s="59"/>
      <c r="E2" s="59"/>
      <c r="F2" s="59"/>
      <c r="G2" s="59"/>
      <c r="H2" s="59"/>
    </row>
    <row r="3" spans="2:8" ht="23.1" customHeight="1" thickTop="1">
      <c r="B3" s="54" t="s">
        <v>0</v>
      </c>
      <c r="C3" s="53"/>
      <c r="D3" s="52" t="s">
        <v>1</v>
      </c>
      <c r="E3" s="53"/>
      <c r="F3" s="19" t="s">
        <v>2</v>
      </c>
      <c r="G3" s="19" t="s">
        <v>3</v>
      </c>
      <c r="H3" s="20" t="s">
        <v>4</v>
      </c>
    </row>
    <row r="4" spans="2:8" ht="22.5" customHeight="1">
      <c r="B4" s="55"/>
      <c r="C4" s="51"/>
      <c r="D4" s="56"/>
      <c r="E4" s="57"/>
      <c r="F4" s="14"/>
      <c r="G4" s="14"/>
      <c r="H4" s="9"/>
    </row>
    <row r="5" spans="2:8" ht="22.5" customHeight="1">
      <c r="B5" s="55"/>
      <c r="C5" s="51"/>
      <c r="D5" s="56"/>
      <c r="E5" s="57"/>
      <c r="F5" s="14"/>
      <c r="G5" s="14"/>
      <c r="H5" s="9"/>
    </row>
    <row r="6" spans="2:8" ht="22.5" customHeight="1">
      <c r="B6" s="55"/>
      <c r="C6" s="51"/>
      <c r="D6" s="56"/>
      <c r="E6" s="57"/>
      <c r="F6" s="14"/>
      <c r="G6" s="14"/>
      <c r="H6" s="9"/>
    </row>
    <row r="7" spans="2:8" ht="22.5" customHeight="1" thickBot="1">
      <c r="B7" s="60"/>
      <c r="C7" s="47"/>
      <c r="D7" s="61"/>
      <c r="E7" s="62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58"/>
      <c r="C9" s="58"/>
      <c r="D9" s="58"/>
      <c r="E9" s="58"/>
      <c r="F9" s="58"/>
      <c r="G9" s="58"/>
      <c r="H9" s="58"/>
    </row>
    <row r="10" spans="2:8" ht="23.1" customHeight="1" thickTop="1">
      <c r="B10" s="18" t="s">
        <v>5</v>
      </c>
      <c r="C10" s="52" t="s">
        <v>6</v>
      </c>
      <c r="D10" s="53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48">
        <v>1</v>
      </c>
      <c r="D11" s="49"/>
      <c r="E11" s="14" t="s">
        <v>58</v>
      </c>
      <c r="F11" s="14" t="s">
        <v>2130</v>
      </c>
      <c r="G11" s="14" t="s">
        <v>59</v>
      </c>
      <c r="H11" s="15"/>
    </row>
    <row r="12" spans="2:8" ht="22.5" customHeight="1">
      <c r="B12" s="7"/>
      <c r="C12" s="50"/>
      <c r="D12" s="51"/>
      <c r="E12" s="8"/>
      <c r="F12" s="8"/>
      <c r="G12" s="8"/>
      <c r="H12" s="9"/>
    </row>
    <row r="13" spans="2:8" ht="22.5" customHeight="1">
      <c r="B13" s="7"/>
      <c r="C13" s="50"/>
      <c r="D13" s="51"/>
      <c r="E13" s="8"/>
      <c r="F13" s="8"/>
      <c r="G13" s="8"/>
      <c r="H13" s="9"/>
    </row>
    <row r="14" spans="2:8" ht="22.5" customHeight="1">
      <c r="B14" s="7"/>
      <c r="C14" s="50"/>
      <c r="D14" s="51"/>
      <c r="E14" s="8"/>
      <c r="F14" s="8"/>
      <c r="G14" s="8"/>
      <c r="H14" s="9"/>
    </row>
    <row r="15" spans="2:8" ht="22.5" customHeight="1">
      <c r="B15" s="7"/>
      <c r="C15" s="50"/>
      <c r="D15" s="51"/>
      <c r="E15" s="8"/>
      <c r="F15" s="8"/>
      <c r="G15" s="8"/>
      <c r="H15" s="9"/>
    </row>
    <row r="16" spans="2:8" ht="22.5" customHeight="1">
      <c r="B16" s="7"/>
      <c r="C16" s="50"/>
      <c r="D16" s="51"/>
      <c r="E16" s="8"/>
      <c r="F16" s="8"/>
      <c r="G16" s="8"/>
      <c r="H16" s="9"/>
    </row>
    <row r="17" spans="2:8" ht="22.5" customHeight="1">
      <c r="B17" s="7"/>
      <c r="C17" s="50"/>
      <c r="D17" s="51"/>
      <c r="E17" s="8"/>
      <c r="F17" s="8"/>
      <c r="G17" s="8"/>
      <c r="H17" s="9"/>
    </row>
    <row r="18" spans="2:8" ht="22.5" customHeight="1" thickBot="1">
      <c r="B18" s="10"/>
      <c r="C18" s="46"/>
      <c r="D18" s="47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2"/>
  <sheetViews>
    <sheetView showGridLines="0" tabSelected="1" zoomScale="70" zoomScaleNormal="70" workbookViewId="0">
      <selection activeCell="I5" sqref="I5"/>
    </sheetView>
  </sheetViews>
  <sheetFormatPr defaultColWidth="8.88671875" defaultRowHeight="13.5"/>
  <cols>
    <col min="1" max="1" width="7.109375" style="21" customWidth="1"/>
    <col min="2" max="2" width="28.6640625" style="21" bestFit="1" customWidth="1"/>
    <col min="3" max="3" width="35.21875" style="21" bestFit="1" customWidth="1"/>
    <col min="4" max="4" width="35" style="21" bestFit="1" customWidth="1"/>
    <col min="5" max="5" width="44.6640625" style="21" customWidth="1"/>
    <col min="6" max="6" width="22.33203125" style="26" bestFit="1" customWidth="1"/>
    <col min="7" max="7" width="23.5546875" style="26" customWidth="1"/>
    <col min="8" max="8" width="23.77734375" style="26" customWidth="1"/>
    <col min="9" max="9" width="20.33203125" style="26" customWidth="1"/>
    <col min="10" max="10" width="17.21875" style="26" customWidth="1"/>
    <col min="11" max="11" width="16.33203125" style="26" bestFit="1" customWidth="1"/>
    <col min="12" max="16384" width="8.88671875" style="21"/>
  </cols>
  <sheetData>
    <row r="1" spans="1:11" ht="39" customHeight="1" thickBot="1">
      <c r="A1" s="63" t="s">
        <v>2120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8.5" customHeight="1" thickBot="1">
      <c r="A2" s="65" t="s">
        <v>49</v>
      </c>
      <c r="B2" s="66"/>
      <c r="C2" s="67" t="s">
        <v>2121</v>
      </c>
      <c r="D2" s="68"/>
      <c r="E2" s="69"/>
      <c r="F2" s="41"/>
      <c r="G2" s="37"/>
      <c r="H2" s="37"/>
      <c r="I2" s="41"/>
      <c r="J2" s="38" t="s">
        <v>50</v>
      </c>
      <c r="K2" s="39" t="s">
        <v>58</v>
      </c>
    </row>
    <row r="3" spans="1:11" s="22" customFormat="1" ht="17.25" customHeight="1" thickBot="1">
      <c r="A3" s="24"/>
      <c r="F3" s="27"/>
      <c r="G3" s="27"/>
      <c r="H3" s="27"/>
      <c r="I3" s="27"/>
      <c r="J3" s="27"/>
      <c r="K3" s="27"/>
    </row>
    <row r="4" spans="1:11" ht="16.5" customHeight="1">
      <c r="A4" s="30" t="s">
        <v>11</v>
      </c>
      <c r="B4" s="31" t="s">
        <v>39</v>
      </c>
      <c r="C4" s="31" t="s">
        <v>40</v>
      </c>
      <c r="D4" s="31" t="s">
        <v>41</v>
      </c>
      <c r="E4" s="31" t="s">
        <v>42</v>
      </c>
      <c r="F4" s="31" t="s">
        <v>44</v>
      </c>
      <c r="G4" s="31" t="s">
        <v>45</v>
      </c>
      <c r="H4" s="31" t="s">
        <v>13</v>
      </c>
      <c r="I4" s="31" t="s">
        <v>46</v>
      </c>
      <c r="J4" s="31" t="s">
        <v>47</v>
      </c>
      <c r="K4" s="32" t="s">
        <v>51</v>
      </c>
    </row>
    <row r="5" spans="1:11" ht="18.600000000000001" customHeight="1">
      <c r="A5" s="28">
        <v>1</v>
      </c>
      <c r="B5" s="25" t="s">
        <v>60</v>
      </c>
      <c r="C5" s="25" t="s">
        <v>1474</v>
      </c>
      <c r="D5" s="25" t="s">
        <v>784</v>
      </c>
      <c r="E5" s="25" t="s">
        <v>60</v>
      </c>
      <c r="F5" s="42" t="s">
        <v>1432</v>
      </c>
      <c r="G5" s="25" t="str">
        <f>SUBSTITUTE(D5, "_", "")</f>
        <v>D3OBJTRSLTFILEPATHNM</v>
      </c>
      <c r="H5" s="42" t="str">
        <f>CONCATENATE("1~", _xlfn.REGEXREPLACE(F5, "[^0-9]",""))</f>
        <v>1~300</v>
      </c>
      <c r="I5" s="42" t="s">
        <v>2122</v>
      </c>
      <c r="J5" s="42" t="s">
        <v>2124</v>
      </c>
      <c r="K5" s="40" t="s">
        <v>2123</v>
      </c>
    </row>
    <row r="6" spans="1:11" ht="18.600000000000001" customHeight="1">
      <c r="A6" s="28">
        <v>2</v>
      </c>
      <c r="B6" s="25" t="s">
        <v>61</v>
      </c>
      <c r="C6" s="25" t="s">
        <v>1475</v>
      </c>
      <c r="D6" s="25" t="s">
        <v>785</v>
      </c>
      <c r="E6" s="25" t="s">
        <v>61</v>
      </c>
      <c r="F6" s="42" t="s">
        <v>1432</v>
      </c>
      <c r="G6" s="25" t="str">
        <f t="shared" ref="G6:G69" si="0">SUBSTITUTE(D6, "_", "")</f>
        <v>D3OBJTLYRNM</v>
      </c>
      <c r="H6" s="42" t="str">
        <f t="shared" ref="H6:H69" si="1">CONCATENATE("1~", _xlfn.REGEXREPLACE(F6, "[^0-9]",""))</f>
        <v>1~300</v>
      </c>
      <c r="I6" s="42" t="s">
        <v>2122</v>
      </c>
      <c r="J6" s="42" t="s">
        <v>2124</v>
      </c>
      <c r="K6" s="40" t="s">
        <v>2123</v>
      </c>
    </row>
    <row r="7" spans="1:11" ht="18.600000000000001" customHeight="1">
      <c r="A7" s="28">
        <v>3</v>
      </c>
      <c r="B7" s="25" t="s">
        <v>62</v>
      </c>
      <c r="C7" s="25" t="s">
        <v>1476</v>
      </c>
      <c r="D7" s="25" t="s">
        <v>786</v>
      </c>
      <c r="E7" s="25" t="s">
        <v>62</v>
      </c>
      <c r="F7" s="42" t="s">
        <v>1433</v>
      </c>
      <c r="G7" s="25" t="str">
        <f t="shared" si="0"/>
        <v>D3OBJTLYRID</v>
      </c>
      <c r="H7" s="42" t="str">
        <f t="shared" si="1"/>
        <v>1~20</v>
      </c>
      <c r="I7" s="42" t="s">
        <v>2122</v>
      </c>
      <c r="J7" s="42" t="s">
        <v>2124</v>
      </c>
      <c r="K7" s="40" t="s">
        <v>2123</v>
      </c>
    </row>
    <row r="8" spans="1:11" ht="18.600000000000001" customHeight="1">
      <c r="A8" s="28">
        <v>4</v>
      </c>
      <c r="B8" s="25" t="s">
        <v>63</v>
      </c>
      <c r="C8" s="25" t="s">
        <v>1477</v>
      </c>
      <c r="D8" s="25" t="s">
        <v>787</v>
      </c>
      <c r="E8" s="25" t="s">
        <v>63</v>
      </c>
      <c r="F8" s="42" t="s">
        <v>1434</v>
      </c>
      <c r="G8" s="25" t="str">
        <f t="shared" si="0"/>
        <v>D3OBJTLYRSN</v>
      </c>
      <c r="H8" s="42" t="str">
        <f t="shared" si="1"/>
        <v>1~22</v>
      </c>
      <c r="I8" s="42" t="s">
        <v>2122</v>
      </c>
      <c r="J8" s="42" t="s">
        <v>2124</v>
      </c>
      <c r="K8" s="40" t="s">
        <v>2123</v>
      </c>
    </row>
    <row r="9" spans="1:11" ht="18.600000000000001" customHeight="1">
      <c r="A9" s="28">
        <v>5</v>
      </c>
      <c r="B9" s="25" t="s">
        <v>64</v>
      </c>
      <c r="C9" s="25" t="s">
        <v>1478</v>
      </c>
      <c r="D9" s="25" t="s">
        <v>788</v>
      </c>
      <c r="E9" s="25" t="s">
        <v>64</v>
      </c>
      <c r="F9" s="42" t="s">
        <v>1432</v>
      </c>
      <c r="G9" s="25" t="str">
        <f t="shared" si="0"/>
        <v>D3OBJTJOBPATHNM</v>
      </c>
      <c r="H9" s="42" t="str">
        <f t="shared" si="1"/>
        <v>1~300</v>
      </c>
      <c r="I9" s="42" t="s">
        <v>2122</v>
      </c>
      <c r="J9" s="42" t="s">
        <v>2124</v>
      </c>
      <c r="K9" s="40" t="s">
        <v>2123</v>
      </c>
    </row>
    <row r="10" spans="1:11" ht="18.600000000000001" customHeight="1">
      <c r="A10" s="28">
        <v>6</v>
      </c>
      <c r="B10" s="25" t="s">
        <v>65</v>
      </c>
      <c r="C10" s="25" t="s">
        <v>1479</v>
      </c>
      <c r="D10" s="25" t="s">
        <v>789</v>
      </c>
      <c r="E10" s="25" t="s">
        <v>65</v>
      </c>
      <c r="F10" s="42" t="s">
        <v>1434</v>
      </c>
      <c r="G10" s="25" t="str">
        <f t="shared" si="0"/>
        <v>D3BLDGCRTSHPSN</v>
      </c>
      <c r="H10" s="42" t="str">
        <f t="shared" si="1"/>
        <v>1~22</v>
      </c>
      <c r="I10" s="42" t="s">
        <v>2122</v>
      </c>
      <c r="J10" s="42" t="s">
        <v>2124</v>
      </c>
      <c r="K10" s="40" t="s">
        <v>2123</v>
      </c>
    </row>
    <row r="11" spans="1:11" ht="18.600000000000001" customHeight="1">
      <c r="A11" s="28">
        <v>7</v>
      </c>
      <c r="B11" s="25" t="s">
        <v>66</v>
      </c>
      <c r="C11" s="25" t="s">
        <v>1480</v>
      </c>
      <c r="D11" s="25" t="s">
        <v>790</v>
      </c>
      <c r="E11" s="25" t="s">
        <v>66</v>
      </c>
      <c r="F11" s="42" t="s">
        <v>1434</v>
      </c>
      <c r="G11" s="25" t="str">
        <f t="shared" si="0"/>
        <v>D3BLDGCRTARTCLSHPSN</v>
      </c>
      <c r="H11" s="42" t="str">
        <f t="shared" si="1"/>
        <v>1~22</v>
      </c>
      <c r="I11" s="42" t="s">
        <v>2122</v>
      </c>
      <c r="J11" s="42" t="s">
        <v>2124</v>
      </c>
      <c r="K11" s="40" t="s">
        <v>2123</v>
      </c>
    </row>
    <row r="12" spans="1:11" ht="18.600000000000001" customHeight="1">
      <c r="A12" s="28">
        <v>8</v>
      </c>
      <c r="B12" s="25" t="s">
        <v>67</v>
      </c>
      <c r="C12" s="25" t="s">
        <v>1481</v>
      </c>
      <c r="D12" s="25" t="s">
        <v>791</v>
      </c>
      <c r="E12" s="25" t="s">
        <v>67</v>
      </c>
      <c r="F12" s="42" t="s">
        <v>1434</v>
      </c>
      <c r="G12" s="25" t="str">
        <f t="shared" si="0"/>
        <v>D3BLDGCRTARTCLSN</v>
      </c>
      <c r="H12" s="42" t="str">
        <f t="shared" si="1"/>
        <v>1~22</v>
      </c>
      <c r="I12" s="42" t="s">
        <v>2122</v>
      </c>
      <c r="J12" s="42" t="s">
        <v>2124</v>
      </c>
      <c r="K12" s="40" t="s">
        <v>2123</v>
      </c>
    </row>
    <row r="13" spans="1:11" ht="18.600000000000001" customHeight="1">
      <c r="A13" s="28">
        <v>9</v>
      </c>
      <c r="B13" s="25" t="s">
        <v>68</v>
      </c>
      <c r="C13" s="25" t="s">
        <v>1482</v>
      </c>
      <c r="D13" s="25" t="s">
        <v>792</v>
      </c>
      <c r="E13" s="25" t="s">
        <v>68</v>
      </c>
      <c r="F13" s="42" t="s">
        <v>1435</v>
      </c>
      <c r="G13" s="25" t="str">
        <f t="shared" si="0"/>
        <v>D3BLDGARTCLVL</v>
      </c>
      <c r="H13" s="42" t="str">
        <f t="shared" si="1"/>
        <v>1~100</v>
      </c>
      <c r="I13" s="42" t="s">
        <v>2122</v>
      </c>
      <c r="J13" s="42" t="s">
        <v>2124</v>
      </c>
      <c r="K13" s="40" t="s">
        <v>2123</v>
      </c>
    </row>
    <row r="14" spans="1:11" ht="18.600000000000001" customHeight="1">
      <c r="A14" s="28">
        <v>10</v>
      </c>
      <c r="B14" s="25" t="s">
        <v>69</v>
      </c>
      <c r="C14" s="25" t="s">
        <v>1483</v>
      </c>
      <c r="D14" s="25" t="s">
        <v>793</v>
      </c>
      <c r="E14" s="25" t="s">
        <v>69</v>
      </c>
      <c r="F14" s="42" t="s">
        <v>1432</v>
      </c>
      <c r="G14" s="25" t="str">
        <f t="shared" si="0"/>
        <v>D3BLDGARTCLNM</v>
      </c>
      <c r="H14" s="42" t="str">
        <f t="shared" si="1"/>
        <v>1~300</v>
      </c>
      <c r="I14" s="42" t="s">
        <v>2122</v>
      </c>
      <c r="J14" s="42" t="s">
        <v>2124</v>
      </c>
      <c r="K14" s="40" t="s">
        <v>2123</v>
      </c>
    </row>
    <row r="15" spans="1:11" ht="18.600000000000001" customHeight="1">
      <c r="A15" s="28">
        <v>11</v>
      </c>
      <c r="B15" s="25" t="s">
        <v>70</v>
      </c>
      <c r="C15" s="25" t="s">
        <v>1484</v>
      </c>
      <c r="D15" s="25" t="s">
        <v>794</v>
      </c>
      <c r="E15" s="25" t="s">
        <v>70</v>
      </c>
      <c r="F15" s="42" t="s">
        <v>1435</v>
      </c>
      <c r="G15" s="25" t="str">
        <f t="shared" si="0"/>
        <v>D3MDLURLADDRVL</v>
      </c>
      <c r="H15" s="42" t="str">
        <f t="shared" si="1"/>
        <v>1~100</v>
      </c>
      <c r="I15" s="42" t="s">
        <v>2122</v>
      </c>
      <c r="J15" s="42" t="s">
        <v>2124</v>
      </c>
      <c r="K15" s="40" t="s">
        <v>2123</v>
      </c>
    </row>
    <row r="16" spans="1:11" ht="18.600000000000001" customHeight="1">
      <c r="A16" s="28">
        <v>12</v>
      </c>
      <c r="B16" s="25" t="s">
        <v>71</v>
      </c>
      <c r="C16" s="25" t="s">
        <v>1485</v>
      </c>
      <c r="D16" s="25" t="s">
        <v>795</v>
      </c>
      <c r="E16" s="25" t="s">
        <v>71</v>
      </c>
      <c r="F16" s="42" t="s">
        <v>1436</v>
      </c>
      <c r="G16" s="25" t="str">
        <f t="shared" si="0"/>
        <v>D3AUTOMDLRSLTNOFL</v>
      </c>
      <c r="H16" s="42" t="str">
        <f t="shared" si="1"/>
        <v>1~14</v>
      </c>
      <c r="I16" s="42" t="s">
        <v>2122</v>
      </c>
      <c r="J16" s="42" t="s">
        <v>2124</v>
      </c>
      <c r="K16" s="40" t="s">
        <v>2123</v>
      </c>
    </row>
    <row r="17" spans="1:11" ht="18.600000000000001" customHeight="1">
      <c r="A17" s="28">
        <v>13</v>
      </c>
      <c r="B17" s="25" t="s">
        <v>72</v>
      </c>
      <c r="C17" s="25" t="s">
        <v>1486</v>
      </c>
      <c r="D17" s="25" t="s">
        <v>796</v>
      </c>
      <c r="E17" s="25" t="s">
        <v>72</v>
      </c>
      <c r="F17" s="42" t="s">
        <v>1437</v>
      </c>
      <c r="G17" s="25" t="str">
        <f t="shared" si="0"/>
        <v>D3AUTOMDLLOT</v>
      </c>
      <c r="H17" s="42" t="str">
        <f t="shared" si="1"/>
        <v>1~1310</v>
      </c>
      <c r="I17" s="42" t="s">
        <v>2122</v>
      </c>
      <c r="J17" s="42" t="s">
        <v>2124</v>
      </c>
      <c r="K17" s="40" t="s">
        <v>2123</v>
      </c>
    </row>
    <row r="18" spans="1:11" ht="18.600000000000001" customHeight="1">
      <c r="A18" s="28">
        <v>14</v>
      </c>
      <c r="B18" s="25" t="s">
        <v>73</v>
      </c>
      <c r="C18" s="25" t="s">
        <v>1914</v>
      </c>
      <c r="D18" s="25" t="s">
        <v>797</v>
      </c>
      <c r="E18" s="25" t="s">
        <v>73</v>
      </c>
      <c r="F18" s="42" t="s">
        <v>1435</v>
      </c>
      <c r="G18" s="25" t="str">
        <f t="shared" si="0"/>
        <v>D3AUTOMDLSPCEWTVL</v>
      </c>
      <c r="H18" s="42" t="str">
        <f t="shared" si="1"/>
        <v>1~100</v>
      </c>
      <c r="I18" s="42" t="s">
        <v>2122</v>
      </c>
      <c r="J18" s="42" t="s">
        <v>2124</v>
      </c>
      <c r="K18" s="40" t="s">
        <v>2123</v>
      </c>
    </row>
    <row r="19" spans="1:11" ht="18.600000000000001" customHeight="1">
      <c r="A19" s="28">
        <v>15</v>
      </c>
      <c r="B19" s="25" t="s">
        <v>74</v>
      </c>
      <c r="C19" s="25" t="s">
        <v>1915</v>
      </c>
      <c r="D19" s="25" t="s">
        <v>798</v>
      </c>
      <c r="E19" s="25" t="s">
        <v>74</v>
      </c>
      <c r="F19" s="42" t="s">
        <v>1434</v>
      </c>
      <c r="G19" s="25" t="str">
        <f t="shared" si="0"/>
        <v>D3AUTOMDLBTCHSN</v>
      </c>
      <c r="H19" s="42" t="str">
        <f t="shared" si="1"/>
        <v>1~22</v>
      </c>
      <c r="I19" s="42" t="s">
        <v>2122</v>
      </c>
      <c r="J19" s="42" t="s">
        <v>2124</v>
      </c>
      <c r="K19" s="40" t="s">
        <v>2123</v>
      </c>
    </row>
    <row r="20" spans="1:11" ht="18.600000000000001" customHeight="1">
      <c r="A20" s="28">
        <v>16</v>
      </c>
      <c r="B20" s="25" t="s">
        <v>75</v>
      </c>
      <c r="C20" s="25" t="s">
        <v>1916</v>
      </c>
      <c r="D20" s="25" t="s">
        <v>799</v>
      </c>
      <c r="E20" s="25" t="s">
        <v>75</v>
      </c>
      <c r="F20" s="42" t="s">
        <v>1438</v>
      </c>
      <c r="G20" s="25" t="str">
        <f t="shared" si="0"/>
        <v>D3AUTOMDLLAT</v>
      </c>
      <c r="H20" s="42" t="str">
        <f t="shared" si="1"/>
        <v>1~1210</v>
      </c>
      <c r="I20" s="42" t="s">
        <v>2122</v>
      </c>
      <c r="J20" s="42" t="s">
        <v>2124</v>
      </c>
      <c r="K20" s="40" t="s">
        <v>2123</v>
      </c>
    </row>
    <row r="21" spans="1:11" ht="18.600000000000001" customHeight="1">
      <c r="A21" s="28">
        <v>17</v>
      </c>
      <c r="B21" s="25" t="s">
        <v>76</v>
      </c>
      <c r="C21" s="25" t="s">
        <v>1917</v>
      </c>
      <c r="D21" s="25" t="s">
        <v>800</v>
      </c>
      <c r="E21" s="25" t="s">
        <v>76</v>
      </c>
      <c r="F21" s="42" t="s">
        <v>1435</v>
      </c>
      <c r="G21" s="25" t="str">
        <f t="shared" si="0"/>
        <v>D3AUTOMDLPSTNVL</v>
      </c>
      <c r="H21" s="42" t="str">
        <f t="shared" si="1"/>
        <v>1~100</v>
      </c>
      <c r="I21" s="42" t="s">
        <v>2122</v>
      </c>
      <c r="J21" s="42" t="s">
        <v>2124</v>
      </c>
      <c r="K21" s="40" t="s">
        <v>2123</v>
      </c>
    </row>
    <row r="22" spans="1:11" ht="18.600000000000001" customHeight="1">
      <c r="A22" s="28">
        <v>18</v>
      </c>
      <c r="B22" s="25" t="s">
        <v>77</v>
      </c>
      <c r="C22" s="25" t="s">
        <v>1918</v>
      </c>
      <c r="D22" s="25" t="s">
        <v>801</v>
      </c>
      <c r="E22" s="25" t="s">
        <v>77</v>
      </c>
      <c r="F22" s="42" t="s">
        <v>1432</v>
      </c>
      <c r="G22" s="25" t="str">
        <f t="shared" si="0"/>
        <v>D3AUTOMDLTTL</v>
      </c>
      <c r="H22" s="42" t="str">
        <f t="shared" si="1"/>
        <v>1~300</v>
      </c>
      <c r="I22" s="42" t="s">
        <v>2122</v>
      </c>
      <c r="J22" s="42" t="s">
        <v>2124</v>
      </c>
      <c r="K22" s="40" t="s">
        <v>2123</v>
      </c>
    </row>
    <row r="23" spans="1:11" ht="18.600000000000001" customHeight="1">
      <c r="A23" s="28">
        <v>19</v>
      </c>
      <c r="B23" s="25" t="s">
        <v>78</v>
      </c>
      <c r="C23" s="25" t="s">
        <v>1919</v>
      </c>
      <c r="D23" s="25" t="s">
        <v>802</v>
      </c>
      <c r="E23" s="25" t="s">
        <v>78</v>
      </c>
      <c r="F23" s="42" t="s">
        <v>1433</v>
      </c>
      <c r="G23" s="25" t="str">
        <f t="shared" si="0"/>
        <v>D3ATMNMDLDTLID</v>
      </c>
      <c r="H23" s="42" t="str">
        <f t="shared" si="1"/>
        <v>1~20</v>
      </c>
      <c r="I23" s="42" t="s">
        <v>2122</v>
      </c>
      <c r="J23" s="42" t="s">
        <v>2124</v>
      </c>
      <c r="K23" s="40" t="s">
        <v>2123</v>
      </c>
    </row>
    <row r="24" spans="1:11" ht="18.600000000000001" customHeight="1">
      <c r="A24" s="28">
        <v>20</v>
      </c>
      <c r="B24" s="25" t="s">
        <v>79</v>
      </c>
      <c r="C24" s="25" t="s">
        <v>1920</v>
      </c>
      <c r="D24" s="25" t="s">
        <v>803</v>
      </c>
      <c r="E24" s="25" t="s">
        <v>79</v>
      </c>
      <c r="F24" s="42" t="s">
        <v>1434</v>
      </c>
      <c r="G24" s="25" t="str">
        <f t="shared" si="0"/>
        <v>D3ATMNMDLDTLSN</v>
      </c>
      <c r="H24" s="42" t="str">
        <f t="shared" si="1"/>
        <v>1~22</v>
      </c>
      <c r="I24" s="42" t="s">
        <v>2122</v>
      </c>
      <c r="J24" s="42" t="s">
        <v>2124</v>
      </c>
      <c r="K24" s="40" t="s">
        <v>2123</v>
      </c>
    </row>
    <row r="25" spans="1:11" ht="17.25">
      <c r="A25" s="28">
        <v>21</v>
      </c>
      <c r="B25" s="25" t="s">
        <v>80</v>
      </c>
      <c r="C25" s="25" t="s">
        <v>1921</v>
      </c>
      <c r="D25" s="25" t="s">
        <v>804</v>
      </c>
      <c r="E25" s="25" t="s">
        <v>80</v>
      </c>
      <c r="F25" s="42" t="s">
        <v>1434</v>
      </c>
      <c r="G25" s="25" t="str">
        <f t="shared" si="0"/>
        <v>D3ATMNMDLSN</v>
      </c>
      <c r="H25" s="42" t="str">
        <f t="shared" si="1"/>
        <v>1~22</v>
      </c>
      <c r="I25" s="42" t="s">
        <v>2122</v>
      </c>
      <c r="J25" s="42" t="s">
        <v>2124</v>
      </c>
      <c r="K25" s="40" t="s">
        <v>2123</v>
      </c>
    </row>
    <row r="26" spans="1:11" ht="17.25">
      <c r="A26" s="28">
        <v>22</v>
      </c>
      <c r="B26" s="25" t="s">
        <v>81</v>
      </c>
      <c r="C26" s="25" t="s">
        <v>1922</v>
      </c>
      <c r="D26" s="25" t="s">
        <v>805</v>
      </c>
      <c r="E26" s="25" t="s">
        <v>81</v>
      </c>
      <c r="F26" s="42" t="s">
        <v>1435</v>
      </c>
      <c r="G26" s="25" t="str">
        <f t="shared" si="0"/>
        <v>D3PRGRMVERVL</v>
      </c>
      <c r="H26" s="42" t="str">
        <f t="shared" si="1"/>
        <v>1~100</v>
      </c>
      <c r="I26" s="42" t="s">
        <v>2122</v>
      </c>
      <c r="J26" s="42" t="s">
        <v>2124</v>
      </c>
      <c r="K26" s="40" t="s">
        <v>2123</v>
      </c>
    </row>
    <row r="27" spans="1:11" ht="17.25">
      <c r="A27" s="28">
        <v>23</v>
      </c>
      <c r="B27" s="25" t="s">
        <v>82</v>
      </c>
      <c r="C27" s="25" t="s">
        <v>1923</v>
      </c>
      <c r="D27" s="25" t="s">
        <v>806</v>
      </c>
      <c r="E27" s="25" t="s">
        <v>82</v>
      </c>
      <c r="F27" s="42" t="s">
        <v>1439</v>
      </c>
      <c r="G27" s="25" t="str">
        <f t="shared" si="0"/>
        <v>APIURLR</v>
      </c>
      <c r="H27" s="42" t="str">
        <f t="shared" si="1"/>
        <v>1~1000</v>
      </c>
      <c r="I27" s="42" t="s">
        <v>2122</v>
      </c>
      <c r="J27" s="42" t="s">
        <v>2124</v>
      </c>
      <c r="K27" s="40" t="s">
        <v>2123</v>
      </c>
    </row>
    <row r="28" spans="1:11" ht="17.25">
      <c r="A28" s="28">
        <v>24</v>
      </c>
      <c r="B28" s="25" t="s">
        <v>83</v>
      </c>
      <c r="C28" s="25" t="s">
        <v>1924</v>
      </c>
      <c r="D28" s="25" t="s">
        <v>807</v>
      </c>
      <c r="E28" s="25" t="s">
        <v>83</v>
      </c>
      <c r="F28" s="42" t="s">
        <v>1440</v>
      </c>
      <c r="G28" s="25" t="str">
        <f t="shared" si="0"/>
        <v>APIDVLPYN</v>
      </c>
      <c r="H28" s="42" t="str">
        <f t="shared" si="1"/>
        <v>1~1</v>
      </c>
      <c r="I28" s="42" t="s">
        <v>2122</v>
      </c>
      <c r="J28" s="42" t="s">
        <v>2124</v>
      </c>
      <c r="K28" s="40" t="s">
        <v>2123</v>
      </c>
    </row>
    <row r="29" spans="1:11" ht="17.25">
      <c r="A29" s="28">
        <v>25</v>
      </c>
      <c r="B29" s="25" t="s">
        <v>84</v>
      </c>
      <c r="C29" s="25" t="s">
        <v>1925</v>
      </c>
      <c r="D29" s="25" t="s">
        <v>808</v>
      </c>
      <c r="E29" s="25" t="s">
        <v>84</v>
      </c>
      <c r="F29" s="42" t="s">
        <v>1435</v>
      </c>
      <c r="G29" s="25" t="str">
        <f t="shared" si="0"/>
        <v>APISEVL</v>
      </c>
      <c r="H29" s="42" t="str">
        <f t="shared" si="1"/>
        <v>1~100</v>
      </c>
      <c r="I29" s="42" t="s">
        <v>2122</v>
      </c>
      <c r="J29" s="42" t="s">
        <v>2124</v>
      </c>
      <c r="K29" s="40" t="s">
        <v>2123</v>
      </c>
    </row>
    <row r="30" spans="1:11" ht="17.25">
      <c r="A30" s="28">
        <v>26</v>
      </c>
      <c r="B30" s="25" t="s">
        <v>85</v>
      </c>
      <c r="C30" s="25" t="s">
        <v>1926</v>
      </c>
      <c r="D30" s="25" t="s">
        <v>809</v>
      </c>
      <c r="E30" s="25" t="s">
        <v>85</v>
      </c>
      <c r="F30" s="42" t="s">
        <v>1435</v>
      </c>
      <c r="G30" s="25" t="str">
        <f t="shared" si="0"/>
        <v>APIGROUPSEVL</v>
      </c>
      <c r="H30" s="42" t="str">
        <f t="shared" si="1"/>
        <v>1~100</v>
      </c>
      <c r="I30" s="42" t="s">
        <v>2122</v>
      </c>
      <c r="J30" s="42" t="s">
        <v>2124</v>
      </c>
      <c r="K30" s="40" t="s">
        <v>2123</v>
      </c>
    </row>
    <row r="31" spans="1:11" ht="17.25">
      <c r="A31" s="28">
        <v>27</v>
      </c>
      <c r="B31" s="25" t="s">
        <v>86</v>
      </c>
      <c r="C31" s="25" t="s">
        <v>1927</v>
      </c>
      <c r="D31" s="25" t="s">
        <v>810</v>
      </c>
      <c r="E31" s="25" t="s">
        <v>86</v>
      </c>
      <c r="F31" s="42" t="s">
        <v>1432</v>
      </c>
      <c r="G31" s="25" t="str">
        <f t="shared" si="0"/>
        <v>APIGROUPNM</v>
      </c>
      <c r="H31" s="42" t="str">
        <f t="shared" si="1"/>
        <v>1~300</v>
      </c>
      <c r="I31" s="42" t="s">
        <v>2122</v>
      </c>
      <c r="J31" s="42" t="s">
        <v>2124</v>
      </c>
      <c r="K31" s="40" t="s">
        <v>2123</v>
      </c>
    </row>
    <row r="32" spans="1:11" ht="17.25">
      <c r="A32" s="28">
        <v>28</v>
      </c>
      <c r="B32" s="25" t="s">
        <v>87</v>
      </c>
      <c r="C32" s="25" t="s">
        <v>1928</v>
      </c>
      <c r="D32" s="25" t="s">
        <v>811</v>
      </c>
      <c r="E32" s="25" t="s">
        <v>87</v>
      </c>
      <c r="F32" s="42" t="s">
        <v>1434</v>
      </c>
      <c r="G32" s="25" t="str">
        <f t="shared" si="0"/>
        <v>APIGROUPSN</v>
      </c>
      <c r="H32" s="42" t="str">
        <f t="shared" si="1"/>
        <v>1~22</v>
      </c>
      <c r="I32" s="42" t="s">
        <v>2122</v>
      </c>
      <c r="J32" s="42" t="s">
        <v>2124</v>
      </c>
      <c r="K32" s="40" t="s">
        <v>2123</v>
      </c>
    </row>
    <row r="33" spans="1:11" ht="17.25">
      <c r="A33" s="28">
        <v>29</v>
      </c>
      <c r="B33" s="25" t="s">
        <v>88</v>
      </c>
      <c r="C33" s="25" t="s">
        <v>1929</v>
      </c>
      <c r="D33" s="25" t="s">
        <v>812</v>
      </c>
      <c r="E33" s="25" t="s">
        <v>88</v>
      </c>
      <c r="F33" s="42" t="s">
        <v>1432</v>
      </c>
      <c r="G33" s="25" t="str">
        <f t="shared" si="0"/>
        <v>APIGROUPKYWDNM</v>
      </c>
      <c r="H33" s="42" t="str">
        <f t="shared" si="1"/>
        <v>1~300</v>
      </c>
      <c r="I33" s="42" t="s">
        <v>2122</v>
      </c>
      <c r="J33" s="42" t="s">
        <v>2124</v>
      </c>
      <c r="K33" s="40" t="s">
        <v>2123</v>
      </c>
    </row>
    <row r="34" spans="1:11" ht="17.25">
      <c r="A34" s="28">
        <v>30</v>
      </c>
      <c r="B34" s="25" t="s">
        <v>89</v>
      </c>
      <c r="C34" s="25" t="s">
        <v>1930</v>
      </c>
      <c r="D34" s="25" t="s">
        <v>813</v>
      </c>
      <c r="E34" s="25" t="s">
        <v>89</v>
      </c>
      <c r="F34" s="42" t="s">
        <v>1441</v>
      </c>
      <c r="G34" s="25" t="str">
        <f t="shared" si="0"/>
        <v>APIDATNOVL</v>
      </c>
      <c r="H34" s="42" t="str">
        <f t="shared" si="1"/>
        <v>1~100</v>
      </c>
      <c r="I34" s="42" t="s">
        <v>2122</v>
      </c>
      <c r="J34" s="42" t="s">
        <v>2124</v>
      </c>
      <c r="K34" s="40" t="s">
        <v>2123</v>
      </c>
    </row>
    <row r="35" spans="1:11" ht="51.75">
      <c r="A35" s="28">
        <v>31</v>
      </c>
      <c r="B35" s="25" t="s">
        <v>90</v>
      </c>
      <c r="C35" s="25" t="s">
        <v>1931</v>
      </c>
      <c r="D35" s="25" t="s">
        <v>814</v>
      </c>
      <c r="E35" s="25" t="s">
        <v>708</v>
      </c>
      <c r="F35" s="42" t="s">
        <v>1432</v>
      </c>
      <c r="G35" s="25" t="str">
        <f t="shared" si="0"/>
        <v>APINM</v>
      </c>
      <c r="H35" s="42" t="str">
        <f t="shared" si="1"/>
        <v>1~300</v>
      </c>
      <c r="I35" s="42" t="s">
        <v>2122</v>
      </c>
      <c r="J35" s="42" t="s">
        <v>2124</v>
      </c>
      <c r="K35" s="40" t="s">
        <v>2123</v>
      </c>
    </row>
    <row r="36" spans="1:11" ht="17.25">
      <c r="A36" s="28">
        <v>32</v>
      </c>
      <c r="B36" s="25" t="s">
        <v>91</v>
      </c>
      <c r="C36" s="25" t="s">
        <v>1925</v>
      </c>
      <c r="D36" s="25" t="s">
        <v>815</v>
      </c>
      <c r="E36" s="25" t="s">
        <v>91</v>
      </c>
      <c r="F36" s="42" t="s">
        <v>1435</v>
      </c>
      <c r="G36" s="25" t="str">
        <f t="shared" si="0"/>
        <v>APICLSFVL</v>
      </c>
      <c r="H36" s="42" t="str">
        <f t="shared" si="1"/>
        <v>1~100</v>
      </c>
      <c r="I36" s="42" t="s">
        <v>2122</v>
      </c>
      <c r="J36" s="42" t="s">
        <v>2124</v>
      </c>
      <c r="K36" s="40" t="s">
        <v>2123</v>
      </c>
    </row>
    <row r="37" spans="1:11" ht="17.25">
      <c r="A37" s="28">
        <v>33</v>
      </c>
      <c r="B37" s="25" t="s">
        <v>92</v>
      </c>
      <c r="C37" s="25" t="s">
        <v>1932</v>
      </c>
      <c r="D37" s="25" t="s">
        <v>816</v>
      </c>
      <c r="E37" s="25" t="s">
        <v>92</v>
      </c>
      <c r="F37" s="42" t="s">
        <v>1440</v>
      </c>
      <c r="G37" s="25" t="str">
        <f t="shared" si="0"/>
        <v>APICLSFYN</v>
      </c>
      <c r="H37" s="42" t="str">
        <f t="shared" si="1"/>
        <v>1~1</v>
      </c>
      <c r="I37" s="42" t="s">
        <v>2122</v>
      </c>
      <c r="J37" s="42" t="s">
        <v>2124</v>
      </c>
      <c r="K37" s="40" t="s">
        <v>2123</v>
      </c>
    </row>
    <row r="38" spans="1:11" ht="17.25">
      <c r="A38" s="28">
        <v>34</v>
      </c>
      <c r="B38" s="25" t="s">
        <v>93</v>
      </c>
      <c r="C38" s="25" t="s">
        <v>1933</v>
      </c>
      <c r="D38" s="25" t="s">
        <v>817</v>
      </c>
      <c r="E38" s="25" t="s">
        <v>93</v>
      </c>
      <c r="F38" s="42" t="s">
        <v>1442</v>
      </c>
      <c r="G38" s="25" t="str">
        <f t="shared" si="0"/>
        <v>APICLSFCD</v>
      </c>
      <c r="H38" s="42" t="str">
        <f t="shared" si="1"/>
        <v>1~20</v>
      </c>
      <c r="I38" s="42" t="s">
        <v>2122</v>
      </c>
      <c r="J38" s="42" t="s">
        <v>2124</v>
      </c>
      <c r="K38" s="40" t="s">
        <v>2123</v>
      </c>
    </row>
    <row r="39" spans="1:11" ht="17.25">
      <c r="A39" s="28">
        <v>35</v>
      </c>
      <c r="B39" s="25" t="s">
        <v>94</v>
      </c>
      <c r="C39" s="25" t="s">
        <v>1934</v>
      </c>
      <c r="D39" s="25" t="s">
        <v>818</v>
      </c>
      <c r="E39" s="25" t="s">
        <v>94</v>
      </c>
      <c r="F39" s="42" t="s">
        <v>1434</v>
      </c>
      <c r="G39" s="25" t="str">
        <f t="shared" si="0"/>
        <v>APIDTLSN</v>
      </c>
      <c r="H39" s="42" t="str">
        <f t="shared" si="1"/>
        <v>1~22</v>
      </c>
      <c r="I39" s="42" t="s">
        <v>2122</v>
      </c>
      <c r="J39" s="42" t="s">
        <v>2124</v>
      </c>
      <c r="K39" s="40" t="s">
        <v>2123</v>
      </c>
    </row>
    <row r="40" spans="1:11" ht="51.75">
      <c r="A40" s="28">
        <v>36</v>
      </c>
      <c r="B40" s="25" t="s">
        <v>95</v>
      </c>
      <c r="C40" s="25" t="s">
        <v>1935</v>
      </c>
      <c r="D40" s="25" t="s">
        <v>819</v>
      </c>
      <c r="E40" s="25" t="s">
        <v>709</v>
      </c>
      <c r="F40" s="42" t="s">
        <v>1443</v>
      </c>
      <c r="G40" s="25" t="str">
        <f t="shared" si="0"/>
        <v>APIEXPLN</v>
      </c>
      <c r="H40" s="42" t="str">
        <f t="shared" si="1"/>
        <v>1~4000</v>
      </c>
      <c r="I40" s="42" t="s">
        <v>2122</v>
      </c>
      <c r="J40" s="42" t="s">
        <v>2124</v>
      </c>
      <c r="K40" s="40" t="s">
        <v>2123</v>
      </c>
    </row>
    <row r="41" spans="1:11" ht="17.25">
      <c r="A41" s="28">
        <v>37</v>
      </c>
      <c r="B41" s="25" t="s">
        <v>96</v>
      </c>
      <c r="C41" s="25" t="s">
        <v>1936</v>
      </c>
      <c r="D41" s="25" t="s">
        <v>820</v>
      </c>
      <c r="E41" s="25" t="s">
        <v>96</v>
      </c>
      <c r="F41" s="42" t="s">
        <v>1433</v>
      </c>
      <c r="G41" s="25" t="str">
        <f t="shared" si="0"/>
        <v>APIRCPTNID</v>
      </c>
      <c r="H41" s="42" t="str">
        <f t="shared" si="1"/>
        <v>1~20</v>
      </c>
      <c r="I41" s="42" t="s">
        <v>2122</v>
      </c>
      <c r="J41" s="42" t="s">
        <v>2124</v>
      </c>
      <c r="K41" s="40" t="s">
        <v>2123</v>
      </c>
    </row>
    <row r="42" spans="1:11" ht="17.25">
      <c r="A42" s="28">
        <v>38</v>
      </c>
      <c r="B42" s="25" t="s">
        <v>97</v>
      </c>
      <c r="C42" s="25" t="s">
        <v>1937</v>
      </c>
      <c r="D42" s="25" t="s">
        <v>821</v>
      </c>
      <c r="E42" s="25" t="s">
        <v>97</v>
      </c>
      <c r="F42" s="42" t="s">
        <v>1433</v>
      </c>
      <c r="G42" s="25" t="str">
        <f t="shared" si="0"/>
        <v>APISCHDID</v>
      </c>
      <c r="H42" s="42" t="str">
        <f t="shared" si="1"/>
        <v>1~20</v>
      </c>
      <c r="I42" s="42" t="s">
        <v>2122</v>
      </c>
      <c r="J42" s="42" t="s">
        <v>2124</v>
      </c>
      <c r="K42" s="40" t="s">
        <v>2123</v>
      </c>
    </row>
    <row r="43" spans="1:11" ht="17.25">
      <c r="A43" s="28">
        <v>39</v>
      </c>
      <c r="B43" s="25" t="s">
        <v>98</v>
      </c>
      <c r="C43" s="25" t="s">
        <v>1938</v>
      </c>
      <c r="D43" s="25" t="s">
        <v>822</v>
      </c>
      <c r="E43" s="25" t="s">
        <v>98</v>
      </c>
      <c r="F43" s="42" t="s">
        <v>1444</v>
      </c>
      <c r="G43" s="25" t="str">
        <f t="shared" si="0"/>
        <v>APIEXCNMINU</v>
      </c>
      <c r="H43" s="42" t="str">
        <f t="shared" si="1"/>
        <v>1~2</v>
      </c>
      <c r="I43" s="42" t="s">
        <v>2122</v>
      </c>
      <c r="J43" s="42" t="s">
        <v>2124</v>
      </c>
      <c r="K43" s="40" t="s">
        <v>2123</v>
      </c>
    </row>
    <row r="44" spans="1:11" ht="17.25">
      <c r="A44" s="28">
        <v>40</v>
      </c>
      <c r="B44" s="25" t="s">
        <v>99</v>
      </c>
      <c r="C44" s="25" t="s">
        <v>1939</v>
      </c>
      <c r="D44" s="25" t="s">
        <v>823</v>
      </c>
      <c r="E44" s="25" t="s">
        <v>99</v>
      </c>
      <c r="F44" s="42" t="s">
        <v>1445</v>
      </c>
      <c r="G44" s="25" t="str">
        <f t="shared" si="0"/>
        <v>APIEXCNHR</v>
      </c>
      <c r="H44" s="42" t="str">
        <f t="shared" si="1"/>
        <v>1~2</v>
      </c>
      <c r="I44" s="42" t="s">
        <v>2122</v>
      </c>
      <c r="J44" s="42" t="s">
        <v>2124</v>
      </c>
      <c r="K44" s="40" t="s">
        <v>2123</v>
      </c>
    </row>
    <row r="45" spans="1:11" ht="17.25">
      <c r="A45" s="28">
        <v>41</v>
      </c>
      <c r="B45" s="25" t="s">
        <v>100</v>
      </c>
      <c r="C45" s="25" t="s">
        <v>1940</v>
      </c>
      <c r="D45" s="25" t="s">
        <v>824</v>
      </c>
      <c r="E45" s="25" t="s">
        <v>100</v>
      </c>
      <c r="F45" s="42" t="s">
        <v>1435</v>
      </c>
      <c r="G45" s="25" t="str">
        <f t="shared" si="0"/>
        <v>APIEXCNTYPEVL</v>
      </c>
      <c r="H45" s="42" t="str">
        <f t="shared" si="1"/>
        <v>1~100</v>
      </c>
      <c r="I45" s="42" t="s">
        <v>2122</v>
      </c>
      <c r="J45" s="42" t="s">
        <v>2124</v>
      </c>
      <c r="K45" s="40" t="s">
        <v>2123</v>
      </c>
    </row>
    <row r="46" spans="1:11" ht="17.25">
      <c r="A46" s="28">
        <v>42</v>
      </c>
      <c r="B46" s="25" t="s">
        <v>101</v>
      </c>
      <c r="C46" s="25" t="s">
        <v>1941</v>
      </c>
      <c r="D46" s="25" t="s">
        <v>825</v>
      </c>
      <c r="E46" s="25" t="s">
        <v>101</v>
      </c>
      <c r="F46" s="42" t="s">
        <v>1446</v>
      </c>
      <c r="G46" s="25" t="str">
        <f t="shared" si="0"/>
        <v>APIEXCNYMD</v>
      </c>
      <c r="H46" s="42" t="str">
        <f t="shared" si="1"/>
        <v>1~8</v>
      </c>
      <c r="I46" s="42" t="s">
        <v>2122</v>
      </c>
      <c r="J46" s="42" t="s">
        <v>2124</v>
      </c>
      <c r="K46" s="40" t="s">
        <v>2123</v>
      </c>
    </row>
    <row r="47" spans="1:11" ht="17.25">
      <c r="A47" s="28">
        <v>43</v>
      </c>
      <c r="B47" s="25" t="s">
        <v>102</v>
      </c>
      <c r="C47" s="25" t="s">
        <v>1942</v>
      </c>
      <c r="D47" s="25" t="s">
        <v>826</v>
      </c>
      <c r="E47" s="25" t="s">
        <v>102</v>
      </c>
      <c r="F47" s="42" t="s">
        <v>1435</v>
      </c>
      <c r="G47" s="25" t="str">
        <f t="shared" si="0"/>
        <v>APIEXCNCYLEVL</v>
      </c>
      <c r="H47" s="42" t="str">
        <f t="shared" si="1"/>
        <v>1~100</v>
      </c>
      <c r="I47" s="42" t="s">
        <v>2122</v>
      </c>
      <c r="J47" s="42" t="s">
        <v>2124</v>
      </c>
      <c r="K47" s="40" t="s">
        <v>2123</v>
      </c>
    </row>
    <row r="48" spans="1:11" ht="17.25">
      <c r="A48" s="28">
        <v>44</v>
      </c>
      <c r="B48" s="25" t="s">
        <v>103</v>
      </c>
      <c r="C48" s="25" t="s">
        <v>1943</v>
      </c>
      <c r="D48" s="25" t="s">
        <v>827</v>
      </c>
      <c r="E48" s="25" t="s">
        <v>103</v>
      </c>
      <c r="F48" s="42" t="s">
        <v>1447</v>
      </c>
      <c r="G48" s="25" t="str">
        <f t="shared" si="0"/>
        <v>APIEXCNSENDVL</v>
      </c>
      <c r="H48" s="42" t="str">
        <f t="shared" si="1"/>
        <v>1~10</v>
      </c>
      <c r="I48" s="42" t="s">
        <v>2122</v>
      </c>
      <c r="J48" s="42" t="s">
        <v>2124</v>
      </c>
      <c r="K48" s="40" t="s">
        <v>2123</v>
      </c>
    </row>
    <row r="49" spans="1:11" ht="17.25">
      <c r="A49" s="28">
        <v>45</v>
      </c>
      <c r="B49" s="25" t="s">
        <v>104</v>
      </c>
      <c r="C49" s="25" t="s">
        <v>1944</v>
      </c>
      <c r="D49" s="25" t="s">
        <v>828</v>
      </c>
      <c r="E49" s="25" t="s">
        <v>104</v>
      </c>
      <c r="F49" s="42" t="s">
        <v>1435</v>
      </c>
      <c r="G49" s="25" t="str">
        <f t="shared" si="0"/>
        <v>APIDMNDTYPEVL</v>
      </c>
      <c r="H49" s="42" t="str">
        <f t="shared" si="1"/>
        <v>1~100</v>
      </c>
      <c r="I49" s="42" t="s">
        <v>2122</v>
      </c>
      <c r="J49" s="42" t="s">
        <v>2124</v>
      </c>
      <c r="K49" s="40" t="s">
        <v>2123</v>
      </c>
    </row>
    <row r="50" spans="1:11" ht="17.25">
      <c r="A50" s="28">
        <v>46</v>
      </c>
      <c r="B50" s="25" t="s">
        <v>105</v>
      </c>
      <c r="C50" s="25" t="s">
        <v>1945</v>
      </c>
      <c r="D50" s="25" t="s">
        <v>829</v>
      </c>
      <c r="E50" s="25" t="s">
        <v>105</v>
      </c>
      <c r="F50" s="42" t="s">
        <v>1432</v>
      </c>
      <c r="G50" s="25" t="str">
        <f t="shared" si="0"/>
        <v>APIRSPNSATRBNM</v>
      </c>
      <c r="H50" s="42" t="str">
        <f t="shared" si="1"/>
        <v>1~300</v>
      </c>
      <c r="I50" s="42" t="s">
        <v>2122</v>
      </c>
      <c r="J50" s="42" t="s">
        <v>2124</v>
      </c>
      <c r="K50" s="40" t="s">
        <v>2123</v>
      </c>
    </row>
    <row r="51" spans="1:11" ht="17.25">
      <c r="A51" s="28">
        <v>47</v>
      </c>
      <c r="B51" s="25" t="s">
        <v>106</v>
      </c>
      <c r="C51" s="25" t="s">
        <v>1946</v>
      </c>
      <c r="D51" s="25" t="s">
        <v>830</v>
      </c>
      <c r="E51" s="25" t="s">
        <v>106</v>
      </c>
      <c r="F51" s="42" t="s">
        <v>1448</v>
      </c>
      <c r="G51" s="25" t="str">
        <f t="shared" si="0"/>
        <v>APIRSPNSATRBEXPLN</v>
      </c>
      <c r="H51" s="42" t="str">
        <f t="shared" si="1"/>
        <v>1~2000</v>
      </c>
      <c r="I51" s="42" t="s">
        <v>2122</v>
      </c>
      <c r="J51" s="42" t="s">
        <v>2124</v>
      </c>
      <c r="K51" s="40" t="s">
        <v>2123</v>
      </c>
    </row>
    <row r="52" spans="1:11" ht="17.25">
      <c r="A52" s="28">
        <v>48</v>
      </c>
      <c r="B52" s="25" t="s">
        <v>107</v>
      </c>
      <c r="C52" s="25" t="s">
        <v>1947</v>
      </c>
      <c r="D52" s="25" t="s">
        <v>831</v>
      </c>
      <c r="E52" s="25" t="s">
        <v>107</v>
      </c>
      <c r="F52" s="42" t="s">
        <v>1435</v>
      </c>
      <c r="G52" s="25" t="str">
        <f t="shared" si="0"/>
        <v>APIRSPNSATRBTYPEVL</v>
      </c>
      <c r="H52" s="42" t="str">
        <f t="shared" si="1"/>
        <v>1~100</v>
      </c>
      <c r="I52" s="42" t="s">
        <v>2122</v>
      </c>
      <c r="J52" s="42" t="s">
        <v>2124</v>
      </c>
      <c r="K52" s="40" t="s">
        <v>2123</v>
      </c>
    </row>
    <row r="53" spans="1:11" ht="17.25">
      <c r="A53" s="28">
        <v>49</v>
      </c>
      <c r="B53" s="25" t="s">
        <v>108</v>
      </c>
      <c r="C53" s="25" t="s">
        <v>1948</v>
      </c>
      <c r="D53" s="25" t="s">
        <v>832</v>
      </c>
      <c r="E53" s="25" t="s">
        <v>108</v>
      </c>
      <c r="F53" s="42" t="s">
        <v>1432</v>
      </c>
      <c r="G53" s="25" t="str">
        <f t="shared" si="0"/>
        <v>APIRSPNSATRBKORNNM</v>
      </c>
      <c r="H53" s="42" t="str">
        <f t="shared" si="1"/>
        <v>1~300</v>
      </c>
      <c r="I53" s="42" t="s">
        <v>2122</v>
      </c>
      <c r="J53" s="42" t="s">
        <v>2124</v>
      </c>
      <c r="K53" s="40" t="s">
        <v>2123</v>
      </c>
    </row>
    <row r="54" spans="1:11" ht="17.25">
      <c r="A54" s="28">
        <v>50</v>
      </c>
      <c r="B54" s="25" t="s">
        <v>109</v>
      </c>
      <c r="C54" s="25" t="s">
        <v>1949</v>
      </c>
      <c r="D54" s="25" t="s">
        <v>833</v>
      </c>
      <c r="E54" s="25" t="s">
        <v>109</v>
      </c>
      <c r="F54" s="42" t="s">
        <v>1435</v>
      </c>
      <c r="G54" s="25" t="str">
        <f t="shared" si="0"/>
        <v>APIRSPNSTYPEVL</v>
      </c>
      <c r="H54" s="42" t="str">
        <f t="shared" si="1"/>
        <v>1~100</v>
      </c>
      <c r="I54" s="42" t="s">
        <v>2122</v>
      </c>
      <c r="J54" s="42" t="s">
        <v>2124</v>
      </c>
      <c r="K54" s="40" t="s">
        <v>2123</v>
      </c>
    </row>
    <row r="55" spans="1:11" ht="17.25">
      <c r="A55" s="28">
        <v>51</v>
      </c>
      <c r="B55" s="25" t="s">
        <v>110</v>
      </c>
      <c r="C55" s="25" t="s">
        <v>1950</v>
      </c>
      <c r="D55" s="25" t="s">
        <v>834</v>
      </c>
      <c r="E55" s="25" t="s">
        <v>110</v>
      </c>
      <c r="F55" s="42" t="s">
        <v>1434</v>
      </c>
      <c r="G55" s="25" t="str">
        <f t="shared" si="0"/>
        <v>APISN</v>
      </c>
      <c r="H55" s="42" t="str">
        <f t="shared" si="1"/>
        <v>1~22</v>
      </c>
      <c r="I55" s="42" t="s">
        <v>2122</v>
      </c>
      <c r="J55" s="42" t="s">
        <v>2124</v>
      </c>
      <c r="K55" s="40" t="s">
        <v>2123</v>
      </c>
    </row>
    <row r="56" spans="1:11" ht="17.25">
      <c r="A56" s="28">
        <v>52</v>
      </c>
      <c r="B56" s="25" t="s">
        <v>111</v>
      </c>
      <c r="C56" s="25" t="s">
        <v>1951</v>
      </c>
      <c r="D56" s="25" t="s">
        <v>835</v>
      </c>
      <c r="E56" s="25" t="s">
        <v>111</v>
      </c>
      <c r="F56" s="42" t="s">
        <v>1433</v>
      </c>
      <c r="G56" s="25" t="str">
        <f t="shared" si="0"/>
        <v>APIPVSNINSTID</v>
      </c>
      <c r="H56" s="42" t="str">
        <f t="shared" si="1"/>
        <v>1~20</v>
      </c>
      <c r="I56" s="42" t="s">
        <v>2122</v>
      </c>
      <c r="J56" s="42" t="s">
        <v>2124</v>
      </c>
      <c r="K56" s="40" t="s">
        <v>2123</v>
      </c>
    </row>
    <row r="57" spans="1:11" ht="17.25">
      <c r="A57" s="28">
        <v>53</v>
      </c>
      <c r="B57" s="25" t="s">
        <v>112</v>
      </c>
      <c r="C57" s="25" t="s">
        <v>1952</v>
      </c>
      <c r="D57" s="25" t="s">
        <v>836</v>
      </c>
      <c r="E57" s="25" t="s">
        <v>112</v>
      </c>
      <c r="F57" s="42" t="s">
        <v>1435</v>
      </c>
      <c r="G57" s="25" t="str">
        <f t="shared" si="0"/>
        <v>APIKYWDVL</v>
      </c>
      <c r="H57" s="42" t="str">
        <f t="shared" si="1"/>
        <v>1~100</v>
      </c>
      <c r="I57" s="42" t="s">
        <v>2122</v>
      </c>
      <c r="J57" s="42" t="s">
        <v>2124</v>
      </c>
      <c r="K57" s="40" t="s">
        <v>2123</v>
      </c>
    </row>
    <row r="58" spans="1:11" ht="17.25">
      <c r="A58" s="28">
        <v>54</v>
      </c>
      <c r="B58" s="25" t="s">
        <v>113</v>
      </c>
      <c r="C58" s="25" t="s">
        <v>1953</v>
      </c>
      <c r="D58" s="25" t="s">
        <v>837</v>
      </c>
      <c r="E58" s="25" t="s">
        <v>113</v>
      </c>
      <c r="F58" s="42" t="s">
        <v>1432</v>
      </c>
      <c r="G58" s="25" t="str">
        <f t="shared" si="0"/>
        <v>CPUTYPENM</v>
      </c>
      <c r="H58" s="42" t="str">
        <f t="shared" si="1"/>
        <v>1~300</v>
      </c>
      <c r="I58" s="42" t="s">
        <v>2122</v>
      </c>
      <c r="J58" s="42" t="s">
        <v>2124</v>
      </c>
      <c r="K58" s="40" t="s">
        <v>2123</v>
      </c>
    </row>
    <row r="59" spans="1:11" ht="17.25">
      <c r="A59" s="28">
        <v>55</v>
      </c>
      <c r="B59" s="25" t="s">
        <v>114</v>
      </c>
      <c r="C59" s="25" t="s">
        <v>1954</v>
      </c>
      <c r="D59" s="25" t="s">
        <v>838</v>
      </c>
      <c r="E59" s="25" t="s">
        <v>114</v>
      </c>
      <c r="F59" s="42" t="s">
        <v>1432</v>
      </c>
      <c r="G59" s="25" t="str">
        <f t="shared" si="0"/>
        <v>DEMFILEPATHNM</v>
      </c>
      <c r="H59" s="42" t="str">
        <f t="shared" si="1"/>
        <v>1~300</v>
      </c>
      <c r="I59" s="42" t="s">
        <v>2122</v>
      </c>
      <c r="J59" s="42" t="s">
        <v>2124</v>
      </c>
      <c r="K59" s="40" t="s">
        <v>2123</v>
      </c>
    </row>
    <row r="60" spans="1:11" ht="17.25">
      <c r="A60" s="28">
        <v>56</v>
      </c>
      <c r="B60" s="25" t="s">
        <v>115</v>
      </c>
      <c r="C60" s="25" t="s">
        <v>1955</v>
      </c>
      <c r="D60" s="25" t="s">
        <v>839</v>
      </c>
      <c r="E60" s="25" t="s">
        <v>115</v>
      </c>
      <c r="F60" s="42" t="s">
        <v>1432</v>
      </c>
      <c r="G60" s="25" t="str">
        <f t="shared" si="0"/>
        <v>DEMFILENM</v>
      </c>
      <c r="H60" s="42" t="str">
        <f t="shared" si="1"/>
        <v>1~300</v>
      </c>
      <c r="I60" s="42" t="s">
        <v>2122</v>
      </c>
      <c r="J60" s="42" t="s">
        <v>2124</v>
      </c>
      <c r="K60" s="40" t="s">
        <v>2123</v>
      </c>
    </row>
    <row r="61" spans="1:11" ht="17.25">
      <c r="A61" s="28">
        <v>57</v>
      </c>
      <c r="B61" s="25" t="s">
        <v>116</v>
      </c>
      <c r="C61" s="25" t="s">
        <v>1956</v>
      </c>
      <c r="D61" s="25" t="s">
        <v>840</v>
      </c>
      <c r="E61" s="25" t="s">
        <v>116</v>
      </c>
      <c r="F61" s="42" t="s">
        <v>1440</v>
      </c>
      <c r="G61" s="25" t="str">
        <f t="shared" si="0"/>
        <v>GLBTRSFYN</v>
      </c>
      <c r="H61" s="42" t="str">
        <f t="shared" si="1"/>
        <v>1~1</v>
      </c>
      <c r="I61" s="42" t="s">
        <v>2122</v>
      </c>
      <c r="J61" s="42" t="s">
        <v>2124</v>
      </c>
      <c r="K61" s="40" t="s">
        <v>2123</v>
      </c>
    </row>
    <row r="62" spans="1:11" ht="17.25">
      <c r="A62" s="28">
        <v>58</v>
      </c>
      <c r="B62" s="25" t="s">
        <v>117</v>
      </c>
      <c r="C62" s="25" t="s">
        <v>1957</v>
      </c>
      <c r="D62" s="25" t="s">
        <v>841</v>
      </c>
      <c r="E62" s="25" t="s">
        <v>117</v>
      </c>
      <c r="F62" s="42" t="s">
        <v>1432</v>
      </c>
      <c r="G62" s="25" t="str">
        <f t="shared" si="0"/>
        <v>RAMTYPENM</v>
      </c>
      <c r="H62" s="42" t="str">
        <f t="shared" si="1"/>
        <v>1~300</v>
      </c>
      <c r="I62" s="42" t="s">
        <v>2122</v>
      </c>
      <c r="J62" s="42" t="s">
        <v>2124</v>
      </c>
      <c r="K62" s="40" t="s">
        <v>2123</v>
      </c>
    </row>
    <row r="63" spans="1:11" ht="17.25">
      <c r="A63" s="28">
        <v>59</v>
      </c>
      <c r="B63" s="25" t="s">
        <v>118</v>
      </c>
      <c r="C63" s="25" t="s">
        <v>1958</v>
      </c>
      <c r="D63" s="25" t="s">
        <v>842</v>
      </c>
      <c r="E63" s="25" t="s">
        <v>118</v>
      </c>
      <c r="F63" s="42" t="s">
        <v>1435</v>
      </c>
      <c r="G63" s="25" t="str">
        <f t="shared" si="0"/>
        <v>SHPFILEVL</v>
      </c>
      <c r="H63" s="42" t="str">
        <f t="shared" si="1"/>
        <v>1~100</v>
      </c>
      <c r="I63" s="42" t="s">
        <v>2122</v>
      </c>
      <c r="J63" s="42" t="s">
        <v>2124</v>
      </c>
      <c r="K63" s="40" t="s">
        <v>2123</v>
      </c>
    </row>
    <row r="64" spans="1:11" ht="17.25">
      <c r="A64" s="28">
        <v>60</v>
      </c>
      <c r="B64" s="25" t="s">
        <v>119</v>
      </c>
      <c r="C64" s="25" t="s">
        <v>1959</v>
      </c>
      <c r="D64" s="25" t="s">
        <v>843</v>
      </c>
      <c r="E64" s="25" t="s">
        <v>119</v>
      </c>
      <c r="F64" s="42" t="s">
        <v>1432</v>
      </c>
      <c r="G64" s="25" t="str">
        <f t="shared" si="0"/>
        <v>SHPFILEPATHNM</v>
      </c>
      <c r="H64" s="42" t="str">
        <f t="shared" si="1"/>
        <v>1~300</v>
      </c>
      <c r="I64" s="42" t="s">
        <v>2122</v>
      </c>
      <c r="J64" s="42" t="s">
        <v>2124</v>
      </c>
      <c r="K64" s="40" t="s">
        <v>2123</v>
      </c>
    </row>
    <row r="65" spans="1:11" ht="17.25">
      <c r="A65" s="28">
        <v>61</v>
      </c>
      <c r="B65" s="25" t="s">
        <v>120</v>
      </c>
      <c r="C65" s="25" t="s">
        <v>1960</v>
      </c>
      <c r="D65" s="25" t="s">
        <v>844</v>
      </c>
      <c r="E65" s="25" t="s">
        <v>120</v>
      </c>
      <c r="F65" s="42" t="s">
        <v>1432</v>
      </c>
      <c r="G65" s="25" t="str">
        <f t="shared" si="0"/>
        <v>SHPFILENM</v>
      </c>
      <c r="H65" s="42" t="str">
        <f t="shared" si="1"/>
        <v>1~300</v>
      </c>
      <c r="I65" s="42" t="s">
        <v>2122</v>
      </c>
      <c r="J65" s="42" t="s">
        <v>2124</v>
      </c>
      <c r="K65" s="40" t="s">
        <v>2123</v>
      </c>
    </row>
    <row r="66" spans="1:11" ht="17.25">
      <c r="A66" s="28">
        <v>62</v>
      </c>
      <c r="B66" s="25" t="s">
        <v>121</v>
      </c>
      <c r="C66" s="25" t="s">
        <v>1961</v>
      </c>
      <c r="D66" s="25" t="s">
        <v>845</v>
      </c>
      <c r="E66" s="25" t="s">
        <v>121</v>
      </c>
      <c r="F66" s="42" t="s">
        <v>1435</v>
      </c>
      <c r="G66" s="25" t="str">
        <f t="shared" si="0"/>
        <v>SHPFILETYPEVL</v>
      </c>
      <c r="H66" s="42" t="str">
        <f t="shared" si="1"/>
        <v>1~100</v>
      </c>
      <c r="I66" s="42" t="s">
        <v>2122</v>
      </c>
      <c r="J66" s="42" t="s">
        <v>2124</v>
      </c>
      <c r="K66" s="40" t="s">
        <v>2123</v>
      </c>
    </row>
    <row r="67" spans="1:11" ht="17.25">
      <c r="A67" s="28">
        <v>63</v>
      </c>
      <c r="B67" s="25" t="s">
        <v>122</v>
      </c>
      <c r="C67" s="25" t="s">
        <v>1962</v>
      </c>
      <c r="D67" s="25" t="s">
        <v>846</v>
      </c>
      <c r="E67" s="25" t="s">
        <v>122</v>
      </c>
      <c r="F67" s="42" t="s">
        <v>1449</v>
      </c>
      <c r="G67" s="25" t="str">
        <f t="shared" si="0"/>
        <v>SHPROWTOTCNT</v>
      </c>
      <c r="H67" s="42" t="str">
        <f t="shared" si="1"/>
        <v>1~10</v>
      </c>
      <c r="I67" s="42" t="s">
        <v>2122</v>
      </c>
      <c r="J67" s="42" t="s">
        <v>2124</v>
      </c>
      <c r="K67" s="40" t="s">
        <v>2123</v>
      </c>
    </row>
    <row r="68" spans="1:11" ht="17.25">
      <c r="A68" s="28">
        <v>64</v>
      </c>
      <c r="B68" s="25" t="s">
        <v>123</v>
      </c>
      <c r="C68" s="25" t="s">
        <v>1963</v>
      </c>
      <c r="D68" s="25" t="s">
        <v>847</v>
      </c>
      <c r="E68" s="25" t="s">
        <v>123</v>
      </c>
      <c r="F68" s="42" t="s">
        <v>1439</v>
      </c>
      <c r="G68" s="25" t="str">
        <f t="shared" si="0"/>
        <v>SWARURLR</v>
      </c>
      <c r="H68" s="42" t="str">
        <f t="shared" si="1"/>
        <v>1~1000</v>
      </c>
      <c r="I68" s="42" t="s">
        <v>2122</v>
      </c>
      <c r="J68" s="42" t="s">
        <v>2124</v>
      </c>
      <c r="K68" s="40" t="s">
        <v>2123</v>
      </c>
    </row>
    <row r="69" spans="1:11" ht="17.25">
      <c r="A69" s="28">
        <v>65</v>
      </c>
      <c r="B69" s="25" t="s">
        <v>124</v>
      </c>
      <c r="C69" s="25" t="s">
        <v>1964</v>
      </c>
      <c r="D69" s="25" t="s">
        <v>848</v>
      </c>
      <c r="E69" s="25" t="s">
        <v>124</v>
      </c>
      <c r="F69" s="42" t="s">
        <v>1447</v>
      </c>
      <c r="G69" s="25" t="str">
        <f t="shared" si="0"/>
        <v>URLMPNGVL</v>
      </c>
      <c r="H69" s="42" t="str">
        <f t="shared" si="1"/>
        <v>1~10</v>
      </c>
      <c r="I69" s="42" t="s">
        <v>2122</v>
      </c>
      <c r="J69" s="42" t="s">
        <v>2124</v>
      </c>
      <c r="K69" s="40" t="s">
        <v>2123</v>
      </c>
    </row>
    <row r="70" spans="1:11" ht="17.25">
      <c r="A70" s="28">
        <v>66</v>
      </c>
      <c r="B70" s="25" t="s">
        <v>125</v>
      </c>
      <c r="C70" s="25" t="s">
        <v>1965</v>
      </c>
      <c r="D70" s="25" t="s">
        <v>849</v>
      </c>
      <c r="E70" s="25" t="s">
        <v>125</v>
      </c>
      <c r="F70" s="42" t="s">
        <v>1450</v>
      </c>
      <c r="G70" s="25" t="str">
        <f t="shared" ref="G70:G133" si="2">SUBSTITUTE(D70, "_", "")</f>
        <v>AXRTINCNT</v>
      </c>
      <c r="H70" s="42" t="str">
        <f t="shared" ref="H70:H133" si="3">CONCATENATE("1~", _xlfn.REGEXREPLACE(F70, "[^0-9]",""))</f>
        <v>1~103</v>
      </c>
      <c r="I70" s="42" t="s">
        <v>2122</v>
      </c>
      <c r="J70" s="42" t="s">
        <v>2124</v>
      </c>
      <c r="K70" s="40" t="s">
        <v>2123</v>
      </c>
    </row>
    <row r="71" spans="1:11" ht="17.25">
      <c r="A71" s="28">
        <v>67</v>
      </c>
      <c r="B71" s="25" t="s">
        <v>126</v>
      </c>
      <c r="C71" s="25" t="s">
        <v>1966</v>
      </c>
      <c r="D71" s="25" t="s">
        <v>850</v>
      </c>
      <c r="E71" s="25" t="s">
        <v>126</v>
      </c>
      <c r="F71" s="42" t="s">
        <v>1450</v>
      </c>
      <c r="G71" s="25" t="str">
        <f t="shared" si="2"/>
        <v>AYRTINCNT</v>
      </c>
      <c r="H71" s="42" t="str">
        <f t="shared" si="3"/>
        <v>1~103</v>
      </c>
      <c r="I71" s="42" t="s">
        <v>2122</v>
      </c>
      <c r="J71" s="42" t="s">
        <v>2124</v>
      </c>
      <c r="K71" s="40" t="s">
        <v>2123</v>
      </c>
    </row>
    <row r="72" spans="1:11" ht="17.25">
      <c r="A72" s="28">
        <v>68</v>
      </c>
      <c r="B72" s="25" t="s">
        <v>127</v>
      </c>
      <c r="C72" s="25" t="s">
        <v>1967</v>
      </c>
      <c r="D72" s="25" t="s">
        <v>851</v>
      </c>
      <c r="E72" s="25" t="s">
        <v>127</v>
      </c>
      <c r="F72" s="42" t="s">
        <v>1450</v>
      </c>
      <c r="G72" s="25" t="str">
        <f t="shared" si="2"/>
        <v>AZRTINCNT</v>
      </c>
      <c r="H72" s="42" t="str">
        <f t="shared" si="3"/>
        <v>1~103</v>
      </c>
      <c r="I72" s="42" t="s">
        <v>2122</v>
      </c>
      <c r="J72" s="42" t="s">
        <v>2124</v>
      </c>
      <c r="K72" s="40" t="s">
        <v>2123</v>
      </c>
    </row>
    <row r="73" spans="1:11" ht="17.25">
      <c r="A73" s="28">
        <v>69</v>
      </c>
      <c r="B73" s="25" t="s">
        <v>128</v>
      </c>
      <c r="C73" s="25" t="s">
        <v>1968</v>
      </c>
      <c r="D73" s="25" t="s">
        <v>852</v>
      </c>
      <c r="E73" s="25" t="s">
        <v>128</v>
      </c>
      <c r="F73" s="42" t="s">
        <v>1439</v>
      </c>
      <c r="G73" s="25" t="str">
        <f t="shared" si="2"/>
        <v>DVLPRURLR</v>
      </c>
      <c r="H73" s="42" t="str">
        <f t="shared" si="3"/>
        <v>1~1000</v>
      </c>
      <c r="I73" s="42" t="s">
        <v>2122</v>
      </c>
      <c r="J73" s="42" t="s">
        <v>2124</v>
      </c>
      <c r="K73" s="40" t="s">
        <v>2123</v>
      </c>
    </row>
    <row r="74" spans="1:11" ht="17.25">
      <c r="A74" s="28">
        <v>70</v>
      </c>
      <c r="B74" s="25" t="s">
        <v>704</v>
      </c>
      <c r="C74" s="25" t="s">
        <v>1969</v>
      </c>
      <c r="D74" s="25" t="s">
        <v>853</v>
      </c>
      <c r="E74" s="25" t="s">
        <v>704</v>
      </c>
      <c r="F74" s="42" t="s">
        <v>1432</v>
      </c>
      <c r="G74" s="25" t="str">
        <f t="shared" si="2"/>
        <v>PSTATCHFILENM</v>
      </c>
      <c r="H74" s="42" t="str">
        <f t="shared" si="3"/>
        <v>1~300</v>
      </c>
      <c r="I74" s="42" t="s">
        <v>2122</v>
      </c>
      <c r="J74" s="42" t="s">
        <v>2125</v>
      </c>
      <c r="K74" s="40" t="s">
        <v>2123</v>
      </c>
    </row>
    <row r="75" spans="1:11" ht="17.25">
      <c r="A75" s="28">
        <v>71</v>
      </c>
      <c r="B75" s="25" t="s">
        <v>129</v>
      </c>
      <c r="C75" s="25" t="s">
        <v>1970</v>
      </c>
      <c r="D75" s="25" t="s">
        <v>854</v>
      </c>
      <c r="E75" s="25" t="s">
        <v>129</v>
      </c>
      <c r="F75" s="42" t="s">
        <v>1447</v>
      </c>
      <c r="G75" s="25" t="str">
        <f t="shared" si="2"/>
        <v>SBRCOLRVL</v>
      </c>
      <c r="H75" s="42" t="str">
        <f t="shared" si="3"/>
        <v>1~10</v>
      </c>
      <c r="I75" s="42" t="s">
        <v>2122</v>
      </c>
      <c r="J75" s="42" t="s">
        <v>2124</v>
      </c>
      <c r="K75" s="40" t="s">
        <v>2123</v>
      </c>
    </row>
    <row r="76" spans="1:11" ht="17.25">
      <c r="A76" s="28">
        <v>72</v>
      </c>
      <c r="B76" s="25" t="s">
        <v>130</v>
      </c>
      <c r="C76" s="25" t="s">
        <v>1971</v>
      </c>
      <c r="D76" s="25" t="s">
        <v>855</v>
      </c>
      <c r="E76" s="25" t="s">
        <v>130</v>
      </c>
      <c r="F76" s="42" t="s">
        <v>1447</v>
      </c>
      <c r="G76" s="25" t="str">
        <f t="shared" si="2"/>
        <v>SRCHBTNCOLRVL</v>
      </c>
      <c r="H76" s="42" t="str">
        <f t="shared" si="3"/>
        <v>1~10</v>
      </c>
      <c r="I76" s="42" t="s">
        <v>2122</v>
      </c>
      <c r="J76" s="42" t="s">
        <v>2124</v>
      </c>
      <c r="K76" s="40" t="s">
        <v>2123</v>
      </c>
    </row>
    <row r="77" spans="1:11" ht="17.25">
      <c r="A77" s="28">
        <v>73</v>
      </c>
      <c r="B77" s="25" t="s">
        <v>131</v>
      </c>
      <c r="C77" s="25" t="s">
        <v>1972</v>
      </c>
      <c r="D77" s="25" t="s">
        <v>856</v>
      </c>
      <c r="E77" s="25" t="s">
        <v>131</v>
      </c>
      <c r="F77" s="42" t="s">
        <v>1440</v>
      </c>
      <c r="G77" s="25" t="str">
        <f t="shared" si="2"/>
        <v>SRCHBTNYN</v>
      </c>
      <c r="H77" s="42" t="str">
        <f t="shared" si="3"/>
        <v>1~1</v>
      </c>
      <c r="I77" s="42" t="s">
        <v>2122</v>
      </c>
      <c r="J77" s="42" t="s">
        <v>2124</v>
      </c>
      <c r="K77" s="40" t="s">
        <v>2123</v>
      </c>
    </row>
    <row r="78" spans="1:11" ht="17.25">
      <c r="A78" s="28">
        <v>74</v>
      </c>
      <c r="B78" s="25" t="s">
        <v>132</v>
      </c>
      <c r="C78" s="25" t="s">
        <v>1973</v>
      </c>
      <c r="D78" s="25" t="s">
        <v>857</v>
      </c>
      <c r="E78" s="25" t="s">
        <v>132</v>
      </c>
      <c r="F78" s="42" t="s">
        <v>1439</v>
      </c>
      <c r="G78" s="25" t="str">
        <f t="shared" si="2"/>
        <v>PSTURLR</v>
      </c>
      <c r="H78" s="42" t="str">
        <f t="shared" si="3"/>
        <v>1~1000</v>
      </c>
      <c r="I78" s="42" t="s">
        <v>2122</v>
      </c>
      <c r="J78" s="42" t="s">
        <v>2125</v>
      </c>
      <c r="K78" s="40" t="s">
        <v>2123</v>
      </c>
    </row>
    <row r="79" spans="1:11" ht="17.25">
      <c r="A79" s="28">
        <v>75</v>
      </c>
      <c r="B79" s="25" t="s">
        <v>133</v>
      </c>
      <c r="C79" s="25" t="s">
        <v>1974</v>
      </c>
      <c r="D79" s="25" t="s">
        <v>858</v>
      </c>
      <c r="E79" s="25" t="s">
        <v>133</v>
      </c>
      <c r="F79" s="42" t="s">
        <v>1440</v>
      </c>
      <c r="G79" s="25" t="str">
        <f t="shared" si="2"/>
        <v>PSTRLSYN</v>
      </c>
      <c r="H79" s="42" t="str">
        <f t="shared" si="3"/>
        <v>1~1</v>
      </c>
      <c r="I79" s="42" t="s">
        <v>2122</v>
      </c>
      <c r="J79" s="42" t="s">
        <v>2125</v>
      </c>
      <c r="K79" s="40" t="s">
        <v>2123</v>
      </c>
    </row>
    <row r="80" spans="1:11" ht="17.25">
      <c r="A80" s="28">
        <v>76</v>
      </c>
      <c r="B80" s="25" t="s">
        <v>134</v>
      </c>
      <c r="C80" s="25" t="s">
        <v>1975</v>
      </c>
      <c r="D80" s="25" t="s">
        <v>859</v>
      </c>
      <c r="E80" s="25" t="s">
        <v>134</v>
      </c>
      <c r="F80" s="42" t="s">
        <v>1440</v>
      </c>
      <c r="G80" s="25" t="str">
        <f t="shared" si="2"/>
        <v>PSTNTCYN</v>
      </c>
      <c r="H80" s="42" t="str">
        <f t="shared" si="3"/>
        <v>1~1</v>
      </c>
      <c r="I80" s="42" t="s">
        <v>2122</v>
      </c>
      <c r="J80" s="42" t="s">
        <v>2125</v>
      </c>
      <c r="K80" s="40" t="s">
        <v>2123</v>
      </c>
    </row>
    <row r="81" spans="1:11" ht="34.5">
      <c r="A81" s="28">
        <v>77</v>
      </c>
      <c r="B81" s="25" t="s">
        <v>135</v>
      </c>
      <c r="C81" s="25" t="s">
        <v>1976</v>
      </c>
      <c r="D81" s="25" t="s">
        <v>860</v>
      </c>
      <c r="E81" s="25" t="s">
        <v>710</v>
      </c>
      <c r="F81" s="42" t="s">
        <v>1443</v>
      </c>
      <c r="G81" s="25" t="str">
        <f t="shared" si="2"/>
        <v>PSTCN</v>
      </c>
      <c r="H81" s="42" t="str">
        <f t="shared" si="3"/>
        <v>1~4000</v>
      </c>
      <c r="I81" s="42" t="s">
        <v>2122</v>
      </c>
      <c r="J81" s="42" t="s">
        <v>2125</v>
      </c>
      <c r="K81" s="40" t="s">
        <v>2123</v>
      </c>
    </row>
    <row r="82" spans="1:11" ht="17.25">
      <c r="A82" s="28">
        <v>78</v>
      </c>
      <c r="B82" s="25" t="s">
        <v>136</v>
      </c>
      <c r="C82" s="25" t="s">
        <v>1977</v>
      </c>
      <c r="D82" s="25" t="s">
        <v>861</v>
      </c>
      <c r="E82" s="25" t="s">
        <v>136</v>
      </c>
      <c r="F82" s="42" t="s">
        <v>1440</v>
      </c>
      <c r="G82" s="25" t="str">
        <f t="shared" si="2"/>
        <v>PSTEXPSRYN</v>
      </c>
      <c r="H82" s="42" t="str">
        <f t="shared" si="3"/>
        <v>1~1</v>
      </c>
      <c r="I82" s="42" t="s">
        <v>2122</v>
      </c>
      <c r="J82" s="42" t="s">
        <v>2125</v>
      </c>
      <c r="K82" s="40" t="s">
        <v>2123</v>
      </c>
    </row>
    <row r="83" spans="1:11" ht="17.25">
      <c r="A83" s="28">
        <v>79</v>
      </c>
      <c r="B83" s="25" t="s">
        <v>137</v>
      </c>
      <c r="C83" s="25" t="s">
        <v>1978</v>
      </c>
      <c r="D83" s="25" t="s">
        <v>862</v>
      </c>
      <c r="E83" s="25" t="s">
        <v>137</v>
      </c>
      <c r="F83" s="42" t="s">
        <v>1451</v>
      </c>
      <c r="G83" s="25" t="str">
        <f t="shared" si="2"/>
        <v>PSTANSDT</v>
      </c>
      <c r="H83" s="44" t="s">
        <v>2127</v>
      </c>
      <c r="I83" s="42" t="s">
        <v>2122</v>
      </c>
      <c r="J83" s="42" t="s">
        <v>2125</v>
      </c>
      <c r="K83" s="40" t="s">
        <v>2123</v>
      </c>
    </row>
    <row r="84" spans="1:11" ht="17.25">
      <c r="A84" s="28">
        <v>80</v>
      </c>
      <c r="B84" s="25" t="s">
        <v>138</v>
      </c>
      <c r="C84" s="25" t="s">
        <v>1979</v>
      </c>
      <c r="D84" s="25" t="s">
        <v>863</v>
      </c>
      <c r="E84" s="25" t="s">
        <v>138</v>
      </c>
      <c r="F84" s="42" t="s">
        <v>1433</v>
      </c>
      <c r="G84" s="25" t="str">
        <f t="shared" si="2"/>
        <v>PSTANSWRID</v>
      </c>
      <c r="H84" s="42" t="str">
        <f t="shared" si="3"/>
        <v>1~20</v>
      </c>
      <c r="I84" s="42" t="s">
        <v>2122</v>
      </c>
      <c r="J84" s="42" t="s">
        <v>2125</v>
      </c>
      <c r="K84" s="40" t="s">
        <v>2123</v>
      </c>
    </row>
    <row r="85" spans="1:11" ht="17.25">
      <c r="A85" s="28">
        <v>81</v>
      </c>
      <c r="B85" s="25" t="s">
        <v>139</v>
      </c>
      <c r="C85" s="25" t="s">
        <v>1980</v>
      </c>
      <c r="D85" s="25" t="s">
        <v>864</v>
      </c>
      <c r="E85" s="25" t="s">
        <v>139</v>
      </c>
      <c r="F85" s="42" t="s">
        <v>1435</v>
      </c>
      <c r="G85" s="25" t="str">
        <f t="shared" si="2"/>
        <v>PSTRGTRIPVL</v>
      </c>
      <c r="H85" s="42" t="str">
        <f t="shared" si="3"/>
        <v>1~100</v>
      </c>
      <c r="I85" s="42" t="s">
        <v>2122</v>
      </c>
      <c r="J85" s="42" t="s">
        <v>2125</v>
      </c>
      <c r="K85" s="40" t="s">
        <v>2123</v>
      </c>
    </row>
    <row r="86" spans="1:11" ht="34.5">
      <c r="A86" s="28">
        <v>82</v>
      </c>
      <c r="B86" s="25" t="s">
        <v>140</v>
      </c>
      <c r="C86" s="25" t="s">
        <v>1981</v>
      </c>
      <c r="D86" s="25" t="s">
        <v>865</v>
      </c>
      <c r="E86" s="25" t="s">
        <v>711</v>
      </c>
      <c r="F86" s="42" t="s">
        <v>1440</v>
      </c>
      <c r="G86" s="25" t="str">
        <f t="shared" si="2"/>
        <v>PSTDELYN</v>
      </c>
      <c r="H86" s="42" t="str">
        <f t="shared" si="3"/>
        <v>1~1</v>
      </c>
      <c r="I86" s="42" t="s">
        <v>2122</v>
      </c>
      <c r="J86" s="42" t="s">
        <v>2125</v>
      </c>
      <c r="K86" s="40" t="s">
        <v>2123</v>
      </c>
    </row>
    <row r="87" spans="1:11" ht="17.25">
      <c r="A87" s="28">
        <v>83</v>
      </c>
      <c r="B87" s="25" t="s">
        <v>141</v>
      </c>
      <c r="C87" s="25" t="s">
        <v>1982</v>
      </c>
      <c r="D87" s="25" t="s">
        <v>866</v>
      </c>
      <c r="E87" s="25" t="s">
        <v>141</v>
      </c>
      <c r="F87" s="42" t="s">
        <v>1451</v>
      </c>
      <c r="G87" s="25" t="str">
        <f t="shared" si="2"/>
        <v>PSTDELDT</v>
      </c>
      <c r="H87" s="44" t="s">
        <v>2127</v>
      </c>
      <c r="I87" s="42" t="s">
        <v>2122</v>
      </c>
      <c r="J87" s="42" t="s">
        <v>2125</v>
      </c>
      <c r="K87" s="40" t="s">
        <v>2123</v>
      </c>
    </row>
    <row r="88" spans="1:11" ht="17.25">
      <c r="A88" s="28">
        <v>84</v>
      </c>
      <c r="B88" s="25" t="s">
        <v>142</v>
      </c>
      <c r="C88" s="25" t="s">
        <v>1983</v>
      </c>
      <c r="D88" s="25" t="s">
        <v>867</v>
      </c>
      <c r="E88" s="25" t="s">
        <v>142</v>
      </c>
      <c r="F88" s="42" t="s">
        <v>1446</v>
      </c>
      <c r="G88" s="25" t="str">
        <f t="shared" si="2"/>
        <v>PSTDELYMD</v>
      </c>
      <c r="H88" s="42" t="str">
        <f t="shared" si="3"/>
        <v>1~8</v>
      </c>
      <c r="I88" s="42" t="s">
        <v>2122</v>
      </c>
      <c r="J88" s="42" t="s">
        <v>2125</v>
      </c>
      <c r="K88" s="40" t="s">
        <v>2123</v>
      </c>
    </row>
    <row r="89" spans="1:11" ht="17.25">
      <c r="A89" s="28">
        <v>85</v>
      </c>
      <c r="B89" s="25" t="s">
        <v>143</v>
      </c>
      <c r="C89" s="25" t="s">
        <v>1984</v>
      </c>
      <c r="D89" s="25" t="s">
        <v>868</v>
      </c>
      <c r="E89" s="25" t="s">
        <v>143</v>
      </c>
      <c r="F89" s="42" t="s">
        <v>1447</v>
      </c>
      <c r="G89" s="25" t="str">
        <f t="shared" si="2"/>
        <v>PSTSTTSVL</v>
      </c>
      <c r="H89" s="42" t="str">
        <f t="shared" si="3"/>
        <v>1~10</v>
      </c>
      <c r="I89" s="42" t="s">
        <v>2122</v>
      </c>
      <c r="J89" s="42" t="s">
        <v>2125</v>
      </c>
      <c r="K89" s="40" t="s">
        <v>2123</v>
      </c>
    </row>
    <row r="90" spans="1:11" ht="17.25">
      <c r="A90" s="28">
        <v>86</v>
      </c>
      <c r="B90" s="25" t="s">
        <v>144</v>
      </c>
      <c r="C90" s="25" t="s">
        <v>1985</v>
      </c>
      <c r="D90" s="25" t="s">
        <v>869</v>
      </c>
      <c r="E90" s="25" t="s">
        <v>144</v>
      </c>
      <c r="F90" s="42" t="s">
        <v>1432</v>
      </c>
      <c r="G90" s="25" t="str">
        <f t="shared" si="2"/>
        <v>PSTORGNLATCHFILENM</v>
      </c>
      <c r="H90" s="42" t="str">
        <f t="shared" si="3"/>
        <v>1~300</v>
      </c>
      <c r="I90" s="42" t="s">
        <v>2122</v>
      </c>
      <c r="J90" s="42" t="s">
        <v>2125</v>
      </c>
      <c r="K90" s="40" t="s">
        <v>2123</v>
      </c>
    </row>
    <row r="91" spans="1:11" ht="17.25">
      <c r="A91" s="28">
        <v>87</v>
      </c>
      <c r="B91" s="25" t="s">
        <v>145</v>
      </c>
      <c r="C91" s="25" t="s">
        <v>1986</v>
      </c>
      <c r="D91" s="25" t="s">
        <v>870</v>
      </c>
      <c r="E91" s="25" t="s">
        <v>145</v>
      </c>
      <c r="F91" s="42" t="s">
        <v>1443</v>
      </c>
      <c r="G91" s="25" t="str">
        <f t="shared" si="2"/>
        <v>PSTBFRCN</v>
      </c>
      <c r="H91" s="42" t="str">
        <f t="shared" si="3"/>
        <v>1~4000</v>
      </c>
      <c r="I91" s="42" t="s">
        <v>2122</v>
      </c>
      <c r="J91" s="42" t="s">
        <v>2125</v>
      </c>
      <c r="K91" s="40" t="s">
        <v>2123</v>
      </c>
    </row>
    <row r="92" spans="1:11" ht="51.75">
      <c r="A92" s="28">
        <v>88</v>
      </c>
      <c r="B92" s="25" t="s">
        <v>146</v>
      </c>
      <c r="C92" s="25" t="s">
        <v>1987</v>
      </c>
      <c r="D92" s="25" t="s">
        <v>871</v>
      </c>
      <c r="E92" s="25" t="s">
        <v>712</v>
      </c>
      <c r="F92" s="42" t="s">
        <v>1434</v>
      </c>
      <c r="G92" s="25" t="str">
        <f t="shared" si="2"/>
        <v>PSTSN</v>
      </c>
      <c r="H92" s="42" t="str">
        <f t="shared" si="3"/>
        <v>1~22</v>
      </c>
      <c r="I92" s="42" t="s">
        <v>2122</v>
      </c>
      <c r="J92" s="42" t="s">
        <v>2125</v>
      </c>
      <c r="K92" s="40" t="s">
        <v>2123</v>
      </c>
    </row>
    <row r="93" spans="1:11" ht="17.25">
      <c r="A93" s="28">
        <v>89</v>
      </c>
      <c r="B93" s="25" t="s">
        <v>147</v>
      </c>
      <c r="C93" s="25" t="s">
        <v>1988</v>
      </c>
      <c r="D93" s="25" t="s">
        <v>872</v>
      </c>
      <c r="E93" s="25" t="s">
        <v>147</v>
      </c>
      <c r="F93" s="42" t="s">
        <v>1443</v>
      </c>
      <c r="G93" s="25" t="str">
        <f t="shared" si="2"/>
        <v>PSTTMPRCN</v>
      </c>
      <c r="H93" s="42" t="str">
        <f t="shared" si="3"/>
        <v>1~4000</v>
      </c>
      <c r="I93" s="42" t="s">
        <v>2122</v>
      </c>
      <c r="J93" s="42" t="s">
        <v>2125</v>
      </c>
      <c r="K93" s="40" t="s">
        <v>2123</v>
      </c>
    </row>
    <row r="94" spans="1:11" ht="17.25">
      <c r="A94" s="28">
        <v>90</v>
      </c>
      <c r="B94" s="25" t="s">
        <v>148</v>
      </c>
      <c r="C94" s="25" t="s">
        <v>1989</v>
      </c>
      <c r="D94" s="25" t="s">
        <v>873</v>
      </c>
      <c r="E94" s="25" t="s">
        <v>148</v>
      </c>
      <c r="F94" s="42" t="s">
        <v>1451</v>
      </c>
      <c r="G94" s="25" t="str">
        <f t="shared" si="2"/>
        <v>PSTTMPRWRTDT</v>
      </c>
      <c r="H94" s="44" t="s">
        <v>2127</v>
      </c>
      <c r="I94" s="42" t="s">
        <v>2122</v>
      </c>
      <c r="J94" s="42" t="s">
        <v>2125</v>
      </c>
      <c r="K94" s="40" t="s">
        <v>2123</v>
      </c>
    </row>
    <row r="95" spans="1:11" ht="17.25">
      <c r="A95" s="28">
        <v>91</v>
      </c>
      <c r="B95" s="25" t="s">
        <v>149</v>
      </c>
      <c r="C95" s="25" t="s">
        <v>1990</v>
      </c>
      <c r="D95" s="25" t="s">
        <v>874</v>
      </c>
      <c r="E95" s="25" t="s">
        <v>149</v>
      </c>
      <c r="F95" s="42" t="s">
        <v>1432</v>
      </c>
      <c r="G95" s="25" t="str">
        <f t="shared" si="2"/>
        <v>PSTTMPRTTL</v>
      </c>
      <c r="H95" s="42" t="str">
        <f t="shared" si="3"/>
        <v>1~300</v>
      </c>
      <c r="I95" s="42" t="s">
        <v>2122</v>
      </c>
      <c r="J95" s="42" t="s">
        <v>2125</v>
      </c>
      <c r="K95" s="40" t="s">
        <v>2123</v>
      </c>
    </row>
    <row r="96" spans="1:11" ht="17.25">
      <c r="A96" s="28">
        <v>92</v>
      </c>
      <c r="B96" s="25" t="s">
        <v>150</v>
      </c>
      <c r="C96" s="25" t="s">
        <v>1991</v>
      </c>
      <c r="D96" s="25" t="s">
        <v>875</v>
      </c>
      <c r="E96" s="25" t="s">
        <v>150</v>
      </c>
      <c r="F96" s="42" t="s">
        <v>1432</v>
      </c>
      <c r="G96" s="25" t="str">
        <f t="shared" si="2"/>
        <v>PSTWRTRNM</v>
      </c>
      <c r="H96" s="42" t="str">
        <f t="shared" si="3"/>
        <v>1~300</v>
      </c>
      <c r="I96" s="42" t="s">
        <v>2122</v>
      </c>
      <c r="J96" s="42" t="s">
        <v>2125</v>
      </c>
      <c r="K96" s="40" t="s">
        <v>2123</v>
      </c>
    </row>
    <row r="97" spans="1:11" ht="34.5">
      <c r="A97" s="28">
        <v>93</v>
      </c>
      <c r="B97" s="25" t="s">
        <v>151</v>
      </c>
      <c r="C97" s="25" t="s">
        <v>1992</v>
      </c>
      <c r="D97" s="25" t="s">
        <v>876</v>
      </c>
      <c r="E97" s="25" t="s">
        <v>713</v>
      </c>
      <c r="F97" s="42" t="s">
        <v>1452</v>
      </c>
      <c r="G97" s="25" t="str">
        <f t="shared" si="2"/>
        <v>PSTTTL</v>
      </c>
      <c r="H97" s="42" t="str">
        <f t="shared" si="3"/>
        <v>1~256</v>
      </c>
      <c r="I97" s="42" t="s">
        <v>2122</v>
      </c>
      <c r="J97" s="42" t="s">
        <v>2125</v>
      </c>
      <c r="K97" s="40" t="s">
        <v>2123</v>
      </c>
    </row>
    <row r="98" spans="1:11" ht="34.5">
      <c r="A98" s="28">
        <v>94</v>
      </c>
      <c r="B98" s="25" t="s">
        <v>152</v>
      </c>
      <c r="C98" s="25" t="s">
        <v>1993</v>
      </c>
      <c r="D98" s="25" t="s">
        <v>877</v>
      </c>
      <c r="E98" s="25" t="s">
        <v>714</v>
      </c>
      <c r="F98" s="42" t="s">
        <v>1449</v>
      </c>
      <c r="G98" s="25" t="str">
        <f t="shared" si="2"/>
        <v>PSTINQCNT</v>
      </c>
      <c r="H98" s="42" t="str">
        <f t="shared" si="3"/>
        <v>1~10</v>
      </c>
      <c r="I98" s="42" t="s">
        <v>2122</v>
      </c>
      <c r="J98" s="42" t="s">
        <v>2125</v>
      </c>
      <c r="K98" s="40" t="s">
        <v>2123</v>
      </c>
    </row>
    <row r="99" spans="1:11" ht="17.25">
      <c r="A99" s="28">
        <v>95</v>
      </c>
      <c r="B99" s="25" t="s">
        <v>153</v>
      </c>
      <c r="C99" s="25" t="s">
        <v>1994</v>
      </c>
      <c r="D99" s="25" t="s">
        <v>878</v>
      </c>
      <c r="E99" s="25" t="s">
        <v>153</v>
      </c>
      <c r="F99" s="42" t="s">
        <v>1443</v>
      </c>
      <c r="G99" s="25" t="str">
        <f t="shared" si="2"/>
        <v>PSTQSTNCN</v>
      </c>
      <c r="H99" s="42" t="str">
        <f t="shared" si="3"/>
        <v>1~4000</v>
      </c>
      <c r="I99" s="42" t="s">
        <v>2122</v>
      </c>
      <c r="J99" s="42" t="s">
        <v>2125</v>
      </c>
      <c r="K99" s="40" t="s">
        <v>2123</v>
      </c>
    </row>
    <row r="100" spans="1:11" ht="17.25">
      <c r="A100" s="28">
        <v>96</v>
      </c>
      <c r="B100" s="25" t="s">
        <v>154</v>
      </c>
      <c r="C100" s="25" t="s">
        <v>1995</v>
      </c>
      <c r="D100" s="25" t="s">
        <v>879</v>
      </c>
      <c r="E100" s="25" t="s">
        <v>154</v>
      </c>
      <c r="F100" s="42" t="s">
        <v>1432</v>
      </c>
      <c r="G100" s="25" t="str">
        <f t="shared" si="2"/>
        <v>PSTATCHFILEPATHNM</v>
      </c>
      <c r="H100" s="42" t="str">
        <f t="shared" si="3"/>
        <v>1~300</v>
      </c>
      <c r="I100" s="42" t="s">
        <v>2122</v>
      </c>
      <c r="J100" s="42" t="s">
        <v>2125</v>
      </c>
      <c r="K100" s="40" t="s">
        <v>2123</v>
      </c>
    </row>
    <row r="101" spans="1:11" ht="17.25">
      <c r="A101" s="28">
        <v>97</v>
      </c>
      <c r="B101" s="25" t="s">
        <v>155</v>
      </c>
      <c r="C101" s="25" t="s">
        <v>1996</v>
      </c>
      <c r="D101" s="25" t="s">
        <v>880</v>
      </c>
      <c r="E101" s="25" t="s">
        <v>155</v>
      </c>
      <c r="F101" s="42" t="s">
        <v>1449</v>
      </c>
      <c r="G101" s="25" t="str">
        <f t="shared" si="2"/>
        <v>PSTATCHFILECNT</v>
      </c>
      <c r="H101" s="42" t="str">
        <f t="shared" si="3"/>
        <v>1~10</v>
      </c>
      <c r="I101" s="42" t="s">
        <v>2122</v>
      </c>
      <c r="J101" s="42" t="s">
        <v>2125</v>
      </c>
      <c r="K101" s="40" t="s">
        <v>2123</v>
      </c>
    </row>
    <row r="102" spans="1:11" ht="17.25">
      <c r="A102" s="28">
        <v>98</v>
      </c>
      <c r="B102" s="25" t="s">
        <v>156</v>
      </c>
      <c r="C102" s="25" t="s">
        <v>1997</v>
      </c>
      <c r="D102" s="25" t="s">
        <v>881</v>
      </c>
      <c r="E102" s="25" t="s">
        <v>156</v>
      </c>
      <c r="F102" s="42" t="s">
        <v>1432</v>
      </c>
      <c r="G102" s="25" t="str">
        <f t="shared" si="2"/>
        <v>PSTFILEPATHNM</v>
      </c>
      <c r="H102" s="42" t="str">
        <f t="shared" si="3"/>
        <v>1~300</v>
      </c>
      <c r="I102" s="42" t="s">
        <v>2122</v>
      </c>
      <c r="J102" s="42" t="s">
        <v>2125</v>
      </c>
      <c r="K102" s="40" t="s">
        <v>2123</v>
      </c>
    </row>
    <row r="103" spans="1:11" ht="17.25">
      <c r="A103" s="28">
        <v>99</v>
      </c>
      <c r="B103" s="25" t="s">
        <v>157</v>
      </c>
      <c r="C103" s="25" t="s">
        <v>1998</v>
      </c>
      <c r="D103" s="25" t="s">
        <v>882</v>
      </c>
      <c r="E103" s="25" t="s">
        <v>157</v>
      </c>
      <c r="F103" s="42" t="s">
        <v>1436</v>
      </c>
      <c r="G103" s="25" t="str">
        <f t="shared" si="2"/>
        <v>PSTFILESZCNT</v>
      </c>
      <c r="H103" s="42" t="str">
        <f t="shared" si="3"/>
        <v>1~14</v>
      </c>
      <c r="I103" s="42" t="s">
        <v>2122</v>
      </c>
      <c r="J103" s="42" t="s">
        <v>2125</v>
      </c>
      <c r="K103" s="40" t="s">
        <v>2123</v>
      </c>
    </row>
    <row r="104" spans="1:11" ht="17.25">
      <c r="A104" s="28">
        <v>100</v>
      </c>
      <c r="B104" s="25" t="s">
        <v>705</v>
      </c>
      <c r="C104" s="25" t="s">
        <v>1999</v>
      </c>
      <c r="D104" s="25" t="s">
        <v>883</v>
      </c>
      <c r="E104" s="25" t="s">
        <v>715</v>
      </c>
      <c r="F104" s="42" t="s">
        <v>1453</v>
      </c>
      <c r="G104" s="25" t="str">
        <f t="shared" si="2"/>
        <v>PSTATCHFILESN</v>
      </c>
      <c r="H104" s="42" t="str">
        <f t="shared" si="3"/>
        <v>1~10</v>
      </c>
      <c r="I104" s="42" t="s">
        <v>2122</v>
      </c>
      <c r="J104" s="42" t="s">
        <v>2125</v>
      </c>
      <c r="K104" s="40" t="s">
        <v>2123</v>
      </c>
    </row>
    <row r="105" spans="1:11" ht="34.5">
      <c r="A105" s="28">
        <v>101</v>
      </c>
      <c r="B105" s="25" t="s">
        <v>158</v>
      </c>
      <c r="C105" s="25" t="s">
        <v>2000</v>
      </c>
      <c r="D105" s="25" t="s">
        <v>884</v>
      </c>
      <c r="E105" s="25" t="s">
        <v>716</v>
      </c>
      <c r="F105" s="42" t="s">
        <v>1452</v>
      </c>
      <c r="G105" s="25" t="str">
        <f t="shared" si="2"/>
        <v>BBSNM</v>
      </c>
      <c r="H105" s="42" t="str">
        <f t="shared" si="3"/>
        <v>1~256</v>
      </c>
      <c r="I105" s="42" t="s">
        <v>2122</v>
      </c>
      <c r="J105" s="42" t="s">
        <v>2125</v>
      </c>
      <c r="K105" s="40" t="s">
        <v>2123</v>
      </c>
    </row>
    <row r="106" spans="1:11" ht="17.25">
      <c r="A106" s="28">
        <v>102</v>
      </c>
      <c r="B106" s="25" t="s">
        <v>159</v>
      </c>
      <c r="C106" s="25" t="s">
        <v>2001</v>
      </c>
      <c r="D106" s="25" t="s">
        <v>885</v>
      </c>
      <c r="E106" s="25" t="s">
        <v>159</v>
      </c>
      <c r="F106" s="42" t="s">
        <v>1441</v>
      </c>
      <c r="G106" s="25" t="str">
        <f t="shared" si="2"/>
        <v>BBSNO</v>
      </c>
      <c r="H106" s="42" t="str">
        <f t="shared" si="3"/>
        <v>1~100</v>
      </c>
      <c r="I106" s="42" t="s">
        <v>2122</v>
      </c>
      <c r="J106" s="42" t="s">
        <v>2125</v>
      </c>
      <c r="K106" s="40" t="s">
        <v>2123</v>
      </c>
    </row>
    <row r="107" spans="1:11" ht="17.25">
      <c r="A107" s="28">
        <v>103</v>
      </c>
      <c r="B107" s="25" t="s">
        <v>160</v>
      </c>
      <c r="C107" s="25" t="s">
        <v>2002</v>
      </c>
      <c r="D107" s="25" t="s">
        <v>886</v>
      </c>
      <c r="E107" s="25" t="s">
        <v>160</v>
      </c>
      <c r="F107" s="42" t="s">
        <v>1454</v>
      </c>
      <c r="G107" s="25" t="str">
        <f t="shared" si="2"/>
        <v>BBSCLSFCD</v>
      </c>
      <c r="H107" s="42" t="str">
        <f t="shared" si="3"/>
        <v>1~10</v>
      </c>
      <c r="I107" s="42" t="s">
        <v>2122</v>
      </c>
      <c r="J107" s="42" t="s">
        <v>2125</v>
      </c>
      <c r="K107" s="40" t="s">
        <v>2123</v>
      </c>
    </row>
    <row r="108" spans="1:11" ht="34.5">
      <c r="A108" s="28">
        <v>104</v>
      </c>
      <c r="B108" s="25" t="s">
        <v>161</v>
      </c>
      <c r="C108" s="25" t="s">
        <v>2003</v>
      </c>
      <c r="D108" s="25" t="s">
        <v>887</v>
      </c>
      <c r="E108" s="25" t="s">
        <v>717</v>
      </c>
      <c r="F108" s="42" t="s">
        <v>1440</v>
      </c>
      <c r="G108" s="25" t="str">
        <f t="shared" si="2"/>
        <v>BBSUSEYN</v>
      </c>
      <c r="H108" s="42" t="str">
        <f t="shared" si="3"/>
        <v>1~1</v>
      </c>
      <c r="I108" s="42" t="s">
        <v>2122</v>
      </c>
      <c r="J108" s="42" t="s">
        <v>2125</v>
      </c>
      <c r="K108" s="40" t="s">
        <v>2123</v>
      </c>
    </row>
    <row r="109" spans="1:11" ht="34.5">
      <c r="A109" s="28">
        <v>105</v>
      </c>
      <c r="B109" s="25" t="s">
        <v>162</v>
      </c>
      <c r="C109" s="25" t="s">
        <v>2004</v>
      </c>
      <c r="D109" s="25" t="s">
        <v>888</v>
      </c>
      <c r="E109" s="25" t="s">
        <v>718</v>
      </c>
      <c r="F109" s="42" t="s">
        <v>1443</v>
      </c>
      <c r="G109" s="25" t="str">
        <f t="shared" si="2"/>
        <v>BBSEXPLN</v>
      </c>
      <c r="H109" s="42" t="str">
        <f t="shared" si="3"/>
        <v>1~4000</v>
      </c>
      <c r="I109" s="42" t="s">
        <v>2122</v>
      </c>
      <c r="J109" s="42" t="s">
        <v>2125</v>
      </c>
      <c r="K109" s="40" t="s">
        <v>2123</v>
      </c>
    </row>
    <row r="110" spans="1:11" ht="17.25">
      <c r="A110" s="28">
        <v>106</v>
      </c>
      <c r="B110" s="25" t="s">
        <v>163</v>
      </c>
      <c r="C110" s="25" t="s">
        <v>2005</v>
      </c>
      <c r="D110" s="25" t="s">
        <v>889</v>
      </c>
      <c r="E110" s="25" t="s">
        <v>163</v>
      </c>
      <c r="F110" s="42" t="s">
        <v>1433</v>
      </c>
      <c r="G110" s="25" t="str">
        <f t="shared" si="2"/>
        <v>BBSID</v>
      </c>
      <c r="H110" s="42" t="str">
        <f t="shared" si="3"/>
        <v>1~20</v>
      </c>
      <c r="I110" s="42" t="s">
        <v>2122</v>
      </c>
      <c r="J110" s="42" t="s">
        <v>2125</v>
      </c>
      <c r="K110" s="40" t="s">
        <v>2123</v>
      </c>
    </row>
    <row r="111" spans="1:11" ht="17.25">
      <c r="A111" s="28">
        <v>107</v>
      </c>
      <c r="B111" s="25" t="s">
        <v>164</v>
      </c>
      <c r="C111" s="25" t="s">
        <v>2006</v>
      </c>
      <c r="D111" s="25" t="s">
        <v>890</v>
      </c>
      <c r="E111" s="25" t="s">
        <v>164</v>
      </c>
      <c r="F111" s="42" t="s">
        <v>1432</v>
      </c>
      <c r="G111" s="25" t="str">
        <f t="shared" si="2"/>
        <v>BBSENGLNM</v>
      </c>
      <c r="H111" s="42" t="str">
        <f t="shared" si="3"/>
        <v>1~300</v>
      </c>
      <c r="I111" s="42" t="s">
        <v>2122</v>
      </c>
      <c r="J111" s="42" t="s">
        <v>2125</v>
      </c>
      <c r="K111" s="40" t="s">
        <v>2123</v>
      </c>
    </row>
    <row r="112" spans="1:11" ht="17.25">
      <c r="A112" s="28">
        <v>108</v>
      </c>
      <c r="B112" s="25" t="s">
        <v>165</v>
      </c>
      <c r="C112" s="25" t="s">
        <v>2007</v>
      </c>
      <c r="D112" s="25" t="s">
        <v>891</v>
      </c>
      <c r="E112" s="25" t="s">
        <v>165</v>
      </c>
      <c r="F112" s="42" t="s">
        <v>1447</v>
      </c>
      <c r="G112" s="25" t="str">
        <f t="shared" si="2"/>
        <v>BBSTYPESEVL</v>
      </c>
      <c r="H112" s="42" t="str">
        <f t="shared" si="3"/>
        <v>1~10</v>
      </c>
      <c r="I112" s="42" t="s">
        <v>2122</v>
      </c>
      <c r="J112" s="42" t="s">
        <v>2125</v>
      </c>
      <c r="K112" s="40" t="s">
        <v>2123</v>
      </c>
    </row>
    <row r="113" spans="1:11" ht="34.5">
      <c r="A113" s="28">
        <v>109</v>
      </c>
      <c r="B113" s="25" t="s">
        <v>166</v>
      </c>
      <c r="C113" s="25" t="s">
        <v>2008</v>
      </c>
      <c r="D113" s="25" t="s">
        <v>892</v>
      </c>
      <c r="E113" s="25" t="s">
        <v>719</v>
      </c>
      <c r="F113" s="42" t="s">
        <v>1443</v>
      </c>
      <c r="G113" s="25" t="str">
        <f t="shared" si="2"/>
        <v>RSLTMSGCN</v>
      </c>
      <c r="H113" s="42" t="str">
        <f t="shared" si="3"/>
        <v>1~4000</v>
      </c>
      <c r="I113" s="42" t="s">
        <v>2122</v>
      </c>
      <c r="J113" s="42" t="s">
        <v>2124</v>
      </c>
      <c r="K113" s="40" t="s">
        <v>2123</v>
      </c>
    </row>
    <row r="114" spans="1:11" ht="69">
      <c r="A114" s="28">
        <v>110</v>
      </c>
      <c r="B114" s="25" t="s">
        <v>167</v>
      </c>
      <c r="C114" s="25" t="s">
        <v>2009</v>
      </c>
      <c r="D114" s="25" t="s">
        <v>893</v>
      </c>
      <c r="E114" s="25" t="s">
        <v>720</v>
      </c>
      <c r="F114" s="42" t="s">
        <v>1437</v>
      </c>
      <c r="G114" s="25" t="str">
        <f t="shared" si="2"/>
        <v>LOT</v>
      </c>
      <c r="H114" s="42" t="str">
        <f t="shared" si="3"/>
        <v>1~1310</v>
      </c>
      <c r="I114" s="42" t="s">
        <v>2122</v>
      </c>
      <c r="J114" s="42" t="s">
        <v>2124</v>
      </c>
      <c r="K114" s="40" t="s">
        <v>2123</v>
      </c>
    </row>
    <row r="115" spans="1:11" ht="17.25">
      <c r="A115" s="28">
        <v>111</v>
      </c>
      <c r="B115" s="25" t="s">
        <v>168</v>
      </c>
      <c r="C115" s="25" t="s">
        <v>2010</v>
      </c>
      <c r="D115" s="25" t="s">
        <v>894</v>
      </c>
      <c r="E115" s="25" t="s">
        <v>721</v>
      </c>
      <c r="F115" s="42" t="s">
        <v>1432</v>
      </c>
      <c r="G115" s="25" t="str">
        <f t="shared" si="2"/>
        <v>PATHNM</v>
      </c>
      <c r="H115" s="42" t="str">
        <f t="shared" si="3"/>
        <v>1~300</v>
      </c>
      <c r="I115" s="42" t="s">
        <v>2122</v>
      </c>
      <c r="J115" s="42" t="s">
        <v>2124</v>
      </c>
      <c r="K115" s="40" t="s">
        <v>2123</v>
      </c>
    </row>
    <row r="116" spans="1:11" ht="17.25">
      <c r="A116" s="28">
        <v>112</v>
      </c>
      <c r="B116" s="25" t="s">
        <v>169</v>
      </c>
      <c r="C116" s="25" t="s">
        <v>2011</v>
      </c>
      <c r="D116" s="25" t="s">
        <v>895</v>
      </c>
      <c r="E116" s="25" t="s">
        <v>169</v>
      </c>
      <c r="F116" s="42" t="s">
        <v>1440</v>
      </c>
      <c r="G116" s="25" t="str">
        <f t="shared" si="2"/>
        <v>SLATWALLYN</v>
      </c>
      <c r="H116" s="42" t="str">
        <f t="shared" si="3"/>
        <v>1~1</v>
      </c>
      <c r="I116" s="42" t="s">
        <v>2122</v>
      </c>
      <c r="J116" s="42" t="s">
        <v>2124</v>
      </c>
      <c r="K116" s="40" t="s">
        <v>2123</v>
      </c>
    </row>
    <row r="117" spans="1:11" ht="17.25">
      <c r="A117" s="28">
        <v>113</v>
      </c>
      <c r="B117" s="25" t="s">
        <v>170</v>
      </c>
      <c r="C117" s="25" t="s">
        <v>2012</v>
      </c>
      <c r="D117" s="25" t="s">
        <v>896</v>
      </c>
      <c r="E117" s="25" t="s">
        <v>170</v>
      </c>
      <c r="F117" s="42" t="s">
        <v>1436</v>
      </c>
      <c r="G117" s="25" t="str">
        <f t="shared" si="2"/>
        <v>EPMGOALNMPRCNT</v>
      </c>
      <c r="H117" s="42" t="str">
        <f t="shared" si="3"/>
        <v>1~14</v>
      </c>
      <c r="I117" s="42" t="s">
        <v>2122</v>
      </c>
      <c r="J117" s="42" t="s">
        <v>2124</v>
      </c>
      <c r="K117" s="40" t="s">
        <v>2123</v>
      </c>
    </row>
    <row r="118" spans="1:11" ht="17.25">
      <c r="A118" s="28">
        <v>114</v>
      </c>
      <c r="B118" s="25" t="s">
        <v>171</v>
      </c>
      <c r="C118" s="25" t="s">
        <v>2013</v>
      </c>
      <c r="D118" s="25" t="s">
        <v>897</v>
      </c>
      <c r="E118" s="25" t="s">
        <v>171</v>
      </c>
      <c r="F118" s="42" t="s">
        <v>1455</v>
      </c>
      <c r="G118" s="25" t="str">
        <f t="shared" si="2"/>
        <v>EPMCHGRT</v>
      </c>
      <c r="H118" s="42" t="str">
        <f t="shared" si="3"/>
        <v>1~52</v>
      </c>
      <c r="I118" s="42" t="s">
        <v>2122</v>
      </c>
      <c r="J118" s="42" t="s">
        <v>2124</v>
      </c>
      <c r="K118" s="40" t="s">
        <v>2123</v>
      </c>
    </row>
    <row r="119" spans="1:11" ht="17.25">
      <c r="A119" s="28">
        <v>115</v>
      </c>
      <c r="B119" s="25" t="s">
        <v>172</v>
      </c>
      <c r="C119" s="25" t="s">
        <v>2014</v>
      </c>
      <c r="D119" s="25" t="s">
        <v>898</v>
      </c>
      <c r="E119" s="25" t="s">
        <v>172</v>
      </c>
      <c r="F119" s="42" t="s">
        <v>1435</v>
      </c>
      <c r="G119" s="25" t="str">
        <f t="shared" si="2"/>
        <v>EPMRTVL</v>
      </c>
      <c r="H119" s="42" t="str">
        <f t="shared" si="3"/>
        <v>1~100</v>
      </c>
      <c r="I119" s="42" t="s">
        <v>2122</v>
      </c>
      <c r="J119" s="42" t="s">
        <v>2124</v>
      </c>
      <c r="K119" s="40" t="s">
        <v>2123</v>
      </c>
    </row>
    <row r="120" spans="1:11" ht="17.25">
      <c r="A120" s="28">
        <v>116</v>
      </c>
      <c r="B120" s="25" t="s">
        <v>173</v>
      </c>
      <c r="C120" s="25" t="s">
        <v>2015</v>
      </c>
      <c r="D120" s="25" t="s">
        <v>899</v>
      </c>
      <c r="E120" s="25" t="s">
        <v>173</v>
      </c>
      <c r="F120" s="42" t="s">
        <v>1439</v>
      </c>
      <c r="G120" s="25" t="str">
        <f t="shared" si="2"/>
        <v>EPMPLCYURLR</v>
      </c>
      <c r="H120" s="42" t="str">
        <f t="shared" si="3"/>
        <v>1~1000</v>
      </c>
      <c r="I120" s="42" t="s">
        <v>2122</v>
      </c>
      <c r="J120" s="42" t="s">
        <v>2124</v>
      </c>
      <c r="K120" s="40" t="s">
        <v>2123</v>
      </c>
    </row>
    <row r="121" spans="1:11" ht="17.25">
      <c r="A121" s="28">
        <v>117</v>
      </c>
      <c r="B121" s="25" t="s">
        <v>174</v>
      </c>
      <c r="C121" s="25" t="s">
        <v>2016</v>
      </c>
      <c r="D121" s="25" t="s">
        <v>900</v>
      </c>
      <c r="E121" s="25" t="s">
        <v>174</v>
      </c>
      <c r="F121" s="42" t="s">
        <v>1432</v>
      </c>
      <c r="G121" s="25" t="str">
        <f t="shared" si="2"/>
        <v>SPCEDATSHPNM</v>
      </c>
      <c r="H121" s="42" t="str">
        <f t="shared" si="3"/>
        <v>1~300</v>
      </c>
      <c r="I121" s="42" t="s">
        <v>2122</v>
      </c>
      <c r="J121" s="42" t="s">
        <v>2124</v>
      </c>
      <c r="K121" s="40" t="s">
        <v>2123</v>
      </c>
    </row>
    <row r="122" spans="1:11" ht="17.25">
      <c r="A122" s="28">
        <v>118</v>
      </c>
      <c r="B122" s="25" t="s">
        <v>175</v>
      </c>
      <c r="C122" s="25" t="s">
        <v>2017</v>
      </c>
      <c r="D122" s="25" t="s">
        <v>901</v>
      </c>
      <c r="E122" s="25" t="s">
        <v>175</v>
      </c>
      <c r="F122" s="42" t="s">
        <v>1433</v>
      </c>
      <c r="G122" s="25" t="str">
        <f t="shared" si="2"/>
        <v>SPCEDATSHPID</v>
      </c>
      <c r="H122" s="42" t="str">
        <f t="shared" si="3"/>
        <v>1~20</v>
      </c>
      <c r="I122" s="42" t="s">
        <v>2122</v>
      </c>
      <c r="J122" s="42" t="s">
        <v>2124</v>
      </c>
      <c r="K122" s="40" t="s">
        <v>2123</v>
      </c>
    </row>
    <row r="123" spans="1:11" ht="17.25">
      <c r="A123" s="28">
        <v>119</v>
      </c>
      <c r="B123" s="25" t="s">
        <v>176</v>
      </c>
      <c r="C123" s="25" t="s">
        <v>2018</v>
      </c>
      <c r="D123" s="25" t="s">
        <v>902</v>
      </c>
      <c r="E123" s="25" t="s">
        <v>176</v>
      </c>
      <c r="F123" s="42" t="s">
        <v>1434</v>
      </c>
      <c r="G123" s="25" t="str">
        <f t="shared" si="2"/>
        <v>SPCEDATSHPSN</v>
      </c>
      <c r="H123" s="42" t="str">
        <f t="shared" si="3"/>
        <v>1~22</v>
      </c>
      <c r="I123" s="42" t="s">
        <v>2122</v>
      </c>
      <c r="J123" s="42" t="s">
        <v>2124</v>
      </c>
      <c r="K123" s="40" t="s">
        <v>2123</v>
      </c>
    </row>
    <row r="124" spans="1:11" ht="17.25">
      <c r="A124" s="28">
        <v>120</v>
      </c>
      <c r="B124" s="25" t="s">
        <v>177</v>
      </c>
      <c r="C124" s="25" t="s">
        <v>2019</v>
      </c>
      <c r="D124" s="25" t="s">
        <v>903</v>
      </c>
      <c r="E124" s="25" t="s">
        <v>177</v>
      </c>
      <c r="F124" s="42" t="s">
        <v>1443</v>
      </c>
      <c r="G124" s="25" t="str">
        <f t="shared" si="2"/>
        <v>SPCEDATWKTCN</v>
      </c>
      <c r="H124" s="42" t="str">
        <f t="shared" si="3"/>
        <v>1~4000</v>
      </c>
      <c r="I124" s="42" t="s">
        <v>2122</v>
      </c>
      <c r="J124" s="42" t="s">
        <v>2124</v>
      </c>
      <c r="K124" s="40" t="s">
        <v>2123</v>
      </c>
    </row>
    <row r="125" spans="1:11" ht="17.25">
      <c r="A125" s="28">
        <v>121</v>
      </c>
      <c r="B125" s="25" t="s">
        <v>178</v>
      </c>
      <c r="C125" s="25" t="s">
        <v>2020</v>
      </c>
      <c r="D125" s="25" t="s">
        <v>904</v>
      </c>
      <c r="E125" s="25" t="s">
        <v>178</v>
      </c>
      <c r="F125" s="42" t="s">
        <v>1456</v>
      </c>
      <c r="G125" s="25" t="str">
        <f t="shared" si="2"/>
        <v>SPCEDATVL</v>
      </c>
      <c r="H125" s="42" t="str">
        <f t="shared" si="3"/>
        <v>1~</v>
      </c>
      <c r="I125" s="42" t="s">
        <v>2122</v>
      </c>
      <c r="J125" s="42" t="s">
        <v>2124</v>
      </c>
      <c r="K125" s="40" t="s">
        <v>2123</v>
      </c>
    </row>
    <row r="126" spans="1:11" ht="17.25">
      <c r="A126" s="28">
        <v>122</v>
      </c>
      <c r="B126" s="25" t="s">
        <v>179</v>
      </c>
      <c r="C126" s="25" t="s">
        <v>2021</v>
      </c>
      <c r="D126" s="25" t="s">
        <v>905</v>
      </c>
      <c r="E126" s="25" t="s">
        <v>179</v>
      </c>
      <c r="F126" s="42"/>
      <c r="G126" s="25" t="str">
        <f t="shared" si="2"/>
        <v>SPCEDATVILZTYPECNT</v>
      </c>
      <c r="H126" s="42" t="e">
        <f t="shared" ca="1" si="3"/>
        <v>#NAME?</v>
      </c>
      <c r="I126" s="42" t="s">
        <v>2122</v>
      </c>
      <c r="J126" s="42" t="s">
        <v>2124</v>
      </c>
      <c r="K126" s="40" t="s">
        <v>2123</v>
      </c>
    </row>
    <row r="127" spans="1:11" ht="17.25">
      <c r="A127" s="28">
        <v>123</v>
      </c>
      <c r="B127" s="25" t="s">
        <v>180</v>
      </c>
      <c r="C127" s="25" t="s">
        <v>2022</v>
      </c>
      <c r="D127" s="25" t="s">
        <v>906</v>
      </c>
      <c r="E127" s="25" t="s">
        <v>180</v>
      </c>
      <c r="F127" s="42" t="s">
        <v>1434</v>
      </c>
      <c r="G127" s="25" t="str">
        <f t="shared" si="2"/>
        <v>SPCEDATVILZSN</v>
      </c>
      <c r="H127" s="42" t="str">
        <f t="shared" si="3"/>
        <v>1~22</v>
      </c>
      <c r="I127" s="42" t="s">
        <v>2122</v>
      </c>
      <c r="J127" s="42" t="s">
        <v>2124</v>
      </c>
      <c r="K127" s="40" t="s">
        <v>2123</v>
      </c>
    </row>
    <row r="128" spans="1:11" ht="17.25">
      <c r="A128" s="28">
        <v>124</v>
      </c>
      <c r="B128" s="25" t="s">
        <v>181</v>
      </c>
      <c r="C128" s="25" t="s">
        <v>2023</v>
      </c>
      <c r="D128" s="25" t="s">
        <v>907</v>
      </c>
      <c r="E128" s="25" t="s">
        <v>181</v>
      </c>
      <c r="F128" s="42" t="s">
        <v>1434</v>
      </c>
      <c r="G128" s="25" t="str">
        <f t="shared" si="2"/>
        <v>SPCEDATSN</v>
      </c>
      <c r="H128" s="42" t="str">
        <f t="shared" si="3"/>
        <v>1~22</v>
      </c>
      <c r="I128" s="42" t="s">
        <v>2122</v>
      </c>
      <c r="J128" s="42" t="s">
        <v>2124</v>
      </c>
      <c r="K128" s="40" t="s">
        <v>2123</v>
      </c>
    </row>
    <row r="129" spans="1:11" ht="17.25">
      <c r="A129" s="28">
        <v>125</v>
      </c>
      <c r="B129" s="25" t="s">
        <v>182</v>
      </c>
      <c r="C129" s="25" t="s">
        <v>2024</v>
      </c>
      <c r="D129" s="25" t="s">
        <v>908</v>
      </c>
      <c r="E129" s="25" t="s">
        <v>182</v>
      </c>
      <c r="F129" s="42" t="s">
        <v>1435</v>
      </c>
      <c r="G129" s="25" t="str">
        <f t="shared" si="2"/>
        <v>SPCEDATCNTMVL</v>
      </c>
      <c r="H129" s="42" t="str">
        <f t="shared" si="3"/>
        <v>1~100</v>
      </c>
      <c r="I129" s="42" t="s">
        <v>2122</v>
      </c>
      <c r="J129" s="42" t="s">
        <v>2124</v>
      </c>
      <c r="K129" s="40" t="s">
        <v>2123</v>
      </c>
    </row>
    <row r="130" spans="1:11" ht="17.25">
      <c r="A130" s="28">
        <v>126</v>
      </c>
      <c r="B130" s="25" t="s">
        <v>183</v>
      </c>
      <c r="C130" s="25" t="s">
        <v>2025</v>
      </c>
      <c r="D130" s="25" t="s">
        <v>909</v>
      </c>
      <c r="E130" s="25" t="s">
        <v>183</v>
      </c>
      <c r="F130" s="42" t="s">
        <v>1435</v>
      </c>
      <c r="G130" s="25" t="str">
        <f t="shared" si="2"/>
        <v>SPCEINFOATRBVL</v>
      </c>
      <c r="H130" s="42" t="str">
        <f t="shared" si="3"/>
        <v>1~100</v>
      </c>
      <c r="I130" s="42" t="s">
        <v>2122</v>
      </c>
      <c r="J130" s="42" t="s">
        <v>2124</v>
      </c>
      <c r="K130" s="40" t="s">
        <v>2123</v>
      </c>
    </row>
    <row r="131" spans="1:11" ht="34.5">
      <c r="A131" s="28">
        <v>127</v>
      </c>
      <c r="B131" s="25" t="s">
        <v>184</v>
      </c>
      <c r="C131" s="25" t="s">
        <v>2026</v>
      </c>
      <c r="D131" s="25" t="s">
        <v>910</v>
      </c>
      <c r="E131" s="25" t="s">
        <v>184</v>
      </c>
      <c r="F131" s="42" t="s">
        <v>1443</v>
      </c>
      <c r="G131" s="25" t="str">
        <f t="shared" si="2"/>
        <v>SPCEINFOATRBARAGCN</v>
      </c>
      <c r="H131" s="42" t="str">
        <f t="shared" si="3"/>
        <v>1~4000</v>
      </c>
      <c r="I131" s="42" t="s">
        <v>2122</v>
      </c>
      <c r="J131" s="42" t="s">
        <v>2124</v>
      </c>
      <c r="K131" s="40" t="s">
        <v>2123</v>
      </c>
    </row>
    <row r="132" spans="1:11" ht="17.25">
      <c r="A132" s="28">
        <v>128</v>
      </c>
      <c r="B132" s="25" t="s">
        <v>185</v>
      </c>
      <c r="C132" s="25" t="s">
        <v>2027</v>
      </c>
      <c r="D132" s="25" t="s">
        <v>911</v>
      </c>
      <c r="E132" s="25" t="s">
        <v>185</v>
      </c>
      <c r="F132" s="42" t="s">
        <v>1447</v>
      </c>
      <c r="G132" s="25" t="str">
        <f t="shared" si="2"/>
        <v>RLSPLANTYPEVL</v>
      </c>
      <c r="H132" s="42" t="str">
        <f t="shared" si="3"/>
        <v>1~10</v>
      </c>
      <c r="I132" s="42" t="s">
        <v>2122</v>
      </c>
      <c r="J132" s="42" t="s">
        <v>2124</v>
      </c>
      <c r="K132" s="40" t="s">
        <v>2123</v>
      </c>
    </row>
    <row r="133" spans="1:11" ht="17.25">
      <c r="A133" s="28">
        <v>129</v>
      </c>
      <c r="B133" s="25" t="s">
        <v>186</v>
      </c>
      <c r="C133" s="25" t="s">
        <v>2028</v>
      </c>
      <c r="D133" s="25" t="s">
        <v>912</v>
      </c>
      <c r="E133" s="25" t="s">
        <v>186</v>
      </c>
      <c r="F133" s="42" t="s">
        <v>1434</v>
      </c>
      <c r="G133" s="25" t="str">
        <f t="shared" si="2"/>
        <v>RLSPLANSN</v>
      </c>
      <c r="H133" s="42" t="str">
        <f t="shared" si="3"/>
        <v>1~22</v>
      </c>
      <c r="I133" s="42" t="s">
        <v>2122</v>
      </c>
      <c r="J133" s="42" t="s">
        <v>2124</v>
      </c>
      <c r="K133" s="40" t="s">
        <v>2123</v>
      </c>
    </row>
    <row r="134" spans="1:11" ht="17.25">
      <c r="A134" s="28">
        <v>130</v>
      </c>
      <c r="B134" s="25" t="s">
        <v>187</v>
      </c>
      <c r="C134" s="25" t="s">
        <v>2029</v>
      </c>
      <c r="D134" s="25" t="s">
        <v>913</v>
      </c>
      <c r="E134" s="25" t="s">
        <v>187</v>
      </c>
      <c r="F134" s="42" t="s">
        <v>1443</v>
      </c>
      <c r="G134" s="25" t="str">
        <f t="shared" ref="G134:G197" si="4">SUBSTITUTE(D134, "_", "")</f>
        <v>RLSMSGCN</v>
      </c>
      <c r="H134" s="42" t="str">
        <f t="shared" ref="H134:H197" si="5">CONCATENATE("1~", _xlfn.REGEXREPLACE(F134, "[^0-9]",""))</f>
        <v>1~4000</v>
      </c>
      <c r="I134" s="42" t="s">
        <v>2122</v>
      </c>
      <c r="J134" s="42" t="s">
        <v>2124</v>
      </c>
      <c r="K134" s="40" t="s">
        <v>2123</v>
      </c>
    </row>
    <row r="135" spans="1:11" ht="17.25">
      <c r="A135" s="28">
        <v>131</v>
      </c>
      <c r="B135" s="25" t="s">
        <v>188</v>
      </c>
      <c r="C135" s="25" t="s">
        <v>2030</v>
      </c>
      <c r="D135" s="25" t="s">
        <v>914</v>
      </c>
      <c r="E135" s="25" t="s">
        <v>188</v>
      </c>
      <c r="F135" s="42" t="s">
        <v>1440</v>
      </c>
      <c r="G135" s="25" t="str">
        <f t="shared" si="4"/>
        <v>RLSSCSYN</v>
      </c>
      <c r="H135" s="42" t="str">
        <f t="shared" si="5"/>
        <v>1~1</v>
      </c>
      <c r="I135" s="42" t="s">
        <v>2122</v>
      </c>
      <c r="J135" s="42" t="s">
        <v>2124</v>
      </c>
      <c r="K135" s="40" t="s">
        <v>2123</v>
      </c>
    </row>
    <row r="136" spans="1:11" ht="17.25">
      <c r="A136" s="28">
        <v>132</v>
      </c>
      <c r="B136" s="25" t="s">
        <v>189</v>
      </c>
      <c r="C136" s="25" t="s">
        <v>2031</v>
      </c>
      <c r="D136" s="25" t="s">
        <v>915</v>
      </c>
      <c r="E136" s="25" t="s">
        <v>189</v>
      </c>
      <c r="F136" s="42" t="s">
        <v>1433</v>
      </c>
      <c r="G136" s="25" t="str">
        <f t="shared" si="4"/>
        <v>RLSAPRVID</v>
      </c>
      <c r="H136" s="42" t="str">
        <f t="shared" si="5"/>
        <v>1~20</v>
      </c>
      <c r="I136" s="42" t="s">
        <v>2122</v>
      </c>
      <c r="J136" s="42" t="s">
        <v>2124</v>
      </c>
      <c r="K136" s="40" t="s">
        <v>2123</v>
      </c>
    </row>
    <row r="137" spans="1:11" ht="17.25">
      <c r="A137" s="28">
        <v>133</v>
      </c>
      <c r="B137" s="25" t="s">
        <v>190</v>
      </c>
      <c r="C137" s="25" t="s">
        <v>2032</v>
      </c>
      <c r="D137" s="25" t="s">
        <v>916</v>
      </c>
      <c r="E137" s="25" t="s">
        <v>190</v>
      </c>
      <c r="F137" s="42" t="s">
        <v>1451</v>
      </c>
      <c r="G137" s="25" t="str">
        <f t="shared" si="4"/>
        <v>RLSAPRVDT</v>
      </c>
      <c r="H137" s="44" t="s">
        <v>2127</v>
      </c>
      <c r="I137" s="42" t="s">
        <v>2122</v>
      </c>
      <c r="J137" s="42" t="s">
        <v>2124</v>
      </c>
      <c r="K137" s="40" t="s">
        <v>2123</v>
      </c>
    </row>
    <row r="138" spans="1:11" ht="34.5">
      <c r="A138" s="28">
        <v>134</v>
      </c>
      <c r="B138" s="25" t="s">
        <v>191</v>
      </c>
      <c r="C138" s="25" t="s">
        <v>2033</v>
      </c>
      <c r="D138" s="25" t="s">
        <v>917</v>
      </c>
      <c r="E138" s="25" t="s">
        <v>722</v>
      </c>
      <c r="F138" s="42" t="s">
        <v>1440</v>
      </c>
      <c r="G138" s="25" t="str">
        <f t="shared" si="4"/>
        <v>RLSYN</v>
      </c>
      <c r="H138" s="42" t="str">
        <f t="shared" si="5"/>
        <v>1~1</v>
      </c>
      <c r="I138" s="42" t="s">
        <v>2122</v>
      </c>
      <c r="J138" s="42" t="s">
        <v>2124</v>
      </c>
      <c r="K138" s="40" t="s">
        <v>2123</v>
      </c>
    </row>
    <row r="139" spans="1:11" ht="34.5">
      <c r="A139" s="28">
        <v>135</v>
      </c>
      <c r="B139" s="25" t="s">
        <v>192</v>
      </c>
      <c r="C139" s="25" t="s">
        <v>2034</v>
      </c>
      <c r="D139" s="25" t="s">
        <v>918</v>
      </c>
      <c r="E139" s="25" t="s">
        <v>723</v>
      </c>
      <c r="F139" s="42" t="s">
        <v>1451</v>
      </c>
      <c r="G139" s="25" t="str">
        <f t="shared" si="4"/>
        <v>RLSDT</v>
      </c>
      <c r="H139" s="44" t="s">
        <v>2127</v>
      </c>
      <c r="I139" s="42" t="s">
        <v>2122</v>
      </c>
      <c r="J139" s="42" t="s">
        <v>2124</v>
      </c>
      <c r="K139" s="40" t="s">
        <v>2123</v>
      </c>
    </row>
    <row r="140" spans="1:11" ht="17.25">
      <c r="A140" s="28">
        <v>136</v>
      </c>
      <c r="B140" s="25" t="s">
        <v>193</v>
      </c>
      <c r="C140" s="25" t="s">
        <v>2035</v>
      </c>
      <c r="D140" s="25" t="s">
        <v>919</v>
      </c>
      <c r="E140" s="25" t="s">
        <v>193</v>
      </c>
      <c r="F140" s="42" t="s">
        <v>1448</v>
      </c>
      <c r="G140" s="25" t="str">
        <f t="shared" si="4"/>
        <v>CMUEADIEXPLN</v>
      </c>
      <c r="H140" s="42" t="str">
        <f t="shared" si="5"/>
        <v>1~2000</v>
      </c>
      <c r="I140" s="42" t="s">
        <v>2122</v>
      </c>
      <c r="J140" s="42" t="s">
        <v>2124</v>
      </c>
      <c r="K140" s="40" t="s">
        <v>2123</v>
      </c>
    </row>
    <row r="141" spans="1:11" ht="17.25">
      <c r="A141" s="28">
        <v>137</v>
      </c>
      <c r="B141" s="25" t="s">
        <v>194</v>
      </c>
      <c r="C141" s="25" t="s">
        <v>2036</v>
      </c>
      <c r="D141" s="25" t="s">
        <v>920</v>
      </c>
      <c r="E141" s="25" t="s">
        <v>194</v>
      </c>
      <c r="F141" s="42" t="s">
        <v>1454</v>
      </c>
      <c r="G141" s="25" t="str">
        <f t="shared" si="4"/>
        <v>COMGROUPCD</v>
      </c>
      <c r="H141" s="42" t="str">
        <f t="shared" si="5"/>
        <v>1~10</v>
      </c>
      <c r="I141" s="42" t="s">
        <v>2122</v>
      </c>
      <c r="J141" s="42" t="s">
        <v>2125</v>
      </c>
      <c r="K141" s="40" t="s">
        <v>2123</v>
      </c>
    </row>
    <row r="142" spans="1:11" ht="17.25">
      <c r="A142" s="28">
        <v>138</v>
      </c>
      <c r="B142" s="25" t="s">
        <v>195</v>
      </c>
      <c r="C142" s="25" t="s">
        <v>2037</v>
      </c>
      <c r="D142" s="25" t="s">
        <v>921</v>
      </c>
      <c r="E142" s="25" t="s">
        <v>195</v>
      </c>
      <c r="F142" s="42" t="s">
        <v>1432</v>
      </c>
      <c r="G142" s="25" t="str">
        <f t="shared" si="4"/>
        <v>COMGROUPCDNM</v>
      </c>
      <c r="H142" s="42" t="str">
        <f t="shared" si="5"/>
        <v>1~300</v>
      </c>
      <c r="I142" s="42" t="s">
        <v>2122</v>
      </c>
      <c r="J142" s="42" t="s">
        <v>2125</v>
      </c>
      <c r="K142" s="40" t="s">
        <v>2123</v>
      </c>
    </row>
    <row r="143" spans="1:11" ht="17.25">
      <c r="A143" s="28">
        <v>139</v>
      </c>
      <c r="B143" s="25" t="s">
        <v>196</v>
      </c>
      <c r="C143" s="25" t="s">
        <v>2038</v>
      </c>
      <c r="D143" s="25" t="s">
        <v>922</v>
      </c>
      <c r="E143" s="25" t="s">
        <v>196</v>
      </c>
      <c r="F143" s="42" t="s">
        <v>1448</v>
      </c>
      <c r="G143" s="25" t="str">
        <f t="shared" si="4"/>
        <v>COMGROUPCDEXPLN</v>
      </c>
      <c r="H143" s="42" t="str">
        <f t="shared" si="5"/>
        <v>1~2000</v>
      </c>
      <c r="I143" s="42" t="s">
        <v>2122</v>
      </c>
      <c r="J143" s="42" t="s">
        <v>2125</v>
      </c>
      <c r="K143" s="40" t="s">
        <v>2123</v>
      </c>
    </row>
    <row r="144" spans="1:11" ht="17.25">
      <c r="A144" s="28">
        <v>140</v>
      </c>
      <c r="B144" s="25" t="s">
        <v>197</v>
      </c>
      <c r="C144" s="25" t="s">
        <v>2039</v>
      </c>
      <c r="D144" s="25" t="s">
        <v>923</v>
      </c>
      <c r="E144" s="25" t="s">
        <v>197</v>
      </c>
      <c r="F144" s="42" t="s">
        <v>1432</v>
      </c>
      <c r="G144" s="25" t="str">
        <f t="shared" si="4"/>
        <v>COMCLSFNM</v>
      </c>
      <c r="H144" s="42" t="str">
        <f t="shared" si="5"/>
        <v>1~300</v>
      </c>
      <c r="I144" s="42" t="s">
        <v>2122</v>
      </c>
      <c r="J144" s="42" t="s">
        <v>2125</v>
      </c>
      <c r="K144" s="40" t="s">
        <v>2123</v>
      </c>
    </row>
    <row r="145" spans="1:11" ht="17.25">
      <c r="A145" s="28">
        <v>141</v>
      </c>
      <c r="B145" s="25" t="s">
        <v>198</v>
      </c>
      <c r="C145" s="25" t="s">
        <v>2040</v>
      </c>
      <c r="D145" s="25" t="s">
        <v>924</v>
      </c>
      <c r="E145" s="25" t="s">
        <v>198</v>
      </c>
      <c r="F145" s="42" t="s">
        <v>1448</v>
      </c>
      <c r="G145" s="25" t="str">
        <f t="shared" si="4"/>
        <v>COMCLSFEXPLN</v>
      </c>
      <c r="H145" s="42" t="str">
        <f t="shared" si="5"/>
        <v>1~2000</v>
      </c>
      <c r="I145" s="42" t="s">
        <v>2122</v>
      </c>
      <c r="J145" s="42" t="s">
        <v>2125</v>
      </c>
      <c r="K145" s="40" t="s">
        <v>2123</v>
      </c>
    </row>
    <row r="146" spans="1:11" ht="17.25">
      <c r="A146" s="28">
        <v>142</v>
      </c>
      <c r="B146" s="25" t="s">
        <v>199</v>
      </c>
      <c r="C146" s="25" t="s">
        <v>2041</v>
      </c>
      <c r="D146" s="25" t="s">
        <v>925</v>
      </c>
      <c r="E146" s="25" t="s">
        <v>199</v>
      </c>
      <c r="F146" s="42" t="s">
        <v>1442</v>
      </c>
      <c r="G146" s="25" t="str">
        <f t="shared" si="4"/>
        <v>COMCLSFCD</v>
      </c>
      <c r="H146" s="42" t="str">
        <f t="shared" si="5"/>
        <v>1~20</v>
      </c>
      <c r="I146" s="42" t="s">
        <v>2122</v>
      </c>
      <c r="J146" s="42" t="s">
        <v>2125</v>
      </c>
      <c r="K146" s="40" t="s">
        <v>2123</v>
      </c>
    </row>
    <row r="147" spans="1:11" ht="17.25">
      <c r="A147" s="28">
        <v>143</v>
      </c>
      <c r="B147" s="25" t="s">
        <v>200</v>
      </c>
      <c r="C147" s="25" t="s">
        <v>2042</v>
      </c>
      <c r="D147" s="25" t="s">
        <v>926</v>
      </c>
      <c r="E147" s="25" t="s">
        <v>200</v>
      </c>
      <c r="F147" s="42" t="s">
        <v>1451</v>
      </c>
      <c r="G147" s="25" t="str">
        <f t="shared" si="4"/>
        <v>COMDTLCD</v>
      </c>
      <c r="H147" s="44" t="s">
        <v>2127</v>
      </c>
      <c r="I147" s="42" t="s">
        <v>2122</v>
      </c>
      <c r="J147" s="42" t="s">
        <v>2125</v>
      </c>
      <c r="K147" s="40" t="s">
        <v>2123</v>
      </c>
    </row>
    <row r="148" spans="1:11" ht="17.25">
      <c r="A148" s="28">
        <v>144</v>
      </c>
      <c r="B148" s="25" t="s">
        <v>201</v>
      </c>
      <c r="C148" s="25" t="s">
        <v>2043</v>
      </c>
      <c r="D148" s="25" t="s">
        <v>927</v>
      </c>
      <c r="E148" s="25" t="s">
        <v>201</v>
      </c>
      <c r="F148" s="42" t="s">
        <v>1451</v>
      </c>
      <c r="G148" s="25" t="str">
        <f t="shared" si="4"/>
        <v>COMDTLCDNM</v>
      </c>
      <c r="H148" s="44" t="s">
        <v>2128</v>
      </c>
      <c r="I148" s="42" t="s">
        <v>2122</v>
      </c>
      <c r="J148" s="42" t="s">
        <v>2125</v>
      </c>
      <c r="K148" s="40" t="s">
        <v>2123</v>
      </c>
    </row>
    <row r="149" spans="1:11" ht="17.25">
      <c r="A149" s="28">
        <v>145</v>
      </c>
      <c r="B149" s="25" t="s">
        <v>202</v>
      </c>
      <c r="C149" s="25" t="s">
        <v>2044</v>
      </c>
      <c r="D149" s="25" t="s">
        <v>928</v>
      </c>
      <c r="E149" s="25" t="s">
        <v>202</v>
      </c>
      <c r="F149" s="42" t="s">
        <v>1451</v>
      </c>
      <c r="G149" s="25" t="str">
        <f t="shared" si="4"/>
        <v>COMDTLCDEXPLN</v>
      </c>
      <c r="H149" s="44" t="s">
        <v>2129</v>
      </c>
      <c r="I149" s="42" t="s">
        <v>2122</v>
      </c>
      <c r="J149" s="42" t="s">
        <v>2125</v>
      </c>
      <c r="K149" s="40" t="s">
        <v>2123</v>
      </c>
    </row>
    <row r="150" spans="1:11" ht="17.25">
      <c r="A150" s="28">
        <v>146</v>
      </c>
      <c r="B150" s="25" t="s">
        <v>203</v>
      </c>
      <c r="C150" s="25" t="s">
        <v>2045</v>
      </c>
      <c r="D150" s="25" t="s">
        <v>929</v>
      </c>
      <c r="E150" s="25" t="s">
        <v>203</v>
      </c>
      <c r="F150" s="42" t="s">
        <v>1432</v>
      </c>
      <c r="G150" s="25" t="str">
        <f t="shared" si="4"/>
        <v>COMCDNM</v>
      </c>
      <c r="H150" s="42" t="str">
        <f t="shared" si="5"/>
        <v>1~300</v>
      </c>
      <c r="I150" s="42" t="s">
        <v>2122</v>
      </c>
      <c r="J150" s="42" t="s">
        <v>2125</v>
      </c>
      <c r="K150" s="40" t="s">
        <v>2123</v>
      </c>
    </row>
    <row r="151" spans="1:11" ht="34.5">
      <c r="A151" s="28">
        <v>147</v>
      </c>
      <c r="B151" s="25" t="s">
        <v>204</v>
      </c>
      <c r="C151" s="25" t="s">
        <v>2046</v>
      </c>
      <c r="D151" s="25" t="s">
        <v>930</v>
      </c>
      <c r="E151" s="25" t="s">
        <v>724</v>
      </c>
      <c r="F151" s="42" t="s">
        <v>1443</v>
      </c>
      <c r="G151" s="25" t="str">
        <f t="shared" si="4"/>
        <v>COMCDEXPLN</v>
      </c>
      <c r="H151" s="42" t="str">
        <f t="shared" si="5"/>
        <v>1~4000</v>
      </c>
      <c r="I151" s="42" t="s">
        <v>2122</v>
      </c>
      <c r="J151" s="42" t="s">
        <v>2125</v>
      </c>
      <c r="K151" s="40" t="s">
        <v>2123</v>
      </c>
    </row>
    <row r="152" spans="1:11" ht="17.25">
      <c r="A152" s="28">
        <v>148</v>
      </c>
      <c r="B152" s="25" t="s">
        <v>205</v>
      </c>
      <c r="C152" s="25" t="s">
        <v>2047</v>
      </c>
      <c r="D152" s="25" t="s">
        <v>931</v>
      </c>
      <c r="E152" s="25" t="s">
        <v>205</v>
      </c>
      <c r="F152" s="42" t="s">
        <v>1434</v>
      </c>
      <c r="G152" s="25" t="str">
        <f t="shared" si="4"/>
        <v>COMCDSN</v>
      </c>
      <c r="H152" s="42" t="str">
        <f t="shared" si="5"/>
        <v>1~22</v>
      </c>
      <c r="I152" s="42" t="s">
        <v>2122</v>
      </c>
      <c r="J152" s="42" t="s">
        <v>2125</v>
      </c>
      <c r="K152" s="40" t="s">
        <v>2123</v>
      </c>
    </row>
    <row r="153" spans="1:11" ht="34.5">
      <c r="A153" s="28">
        <v>149</v>
      </c>
      <c r="B153" s="25" t="s">
        <v>206</v>
      </c>
      <c r="C153" s="25" t="s">
        <v>2048</v>
      </c>
      <c r="D153" s="25" t="s">
        <v>932</v>
      </c>
      <c r="E153" s="25" t="s">
        <v>725</v>
      </c>
      <c r="F153" s="42" t="s">
        <v>1434</v>
      </c>
      <c r="G153" s="25" t="str">
        <f t="shared" si="4"/>
        <v>RELSN</v>
      </c>
      <c r="H153" s="42" t="str">
        <f t="shared" si="5"/>
        <v>1~22</v>
      </c>
      <c r="I153" s="42" t="s">
        <v>2122</v>
      </c>
      <c r="J153" s="42" t="s">
        <v>2124</v>
      </c>
      <c r="K153" s="40" t="s">
        <v>2123</v>
      </c>
    </row>
    <row r="154" spans="1:11" ht="17.25">
      <c r="A154" s="28">
        <v>150</v>
      </c>
      <c r="B154" s="25" t="s">
        <v>207</v>
      </c>
      <c r="C154" s="25" t="s">
        <v>2049</v>
      </c>
      <c r="D154" s="25" t="s">
        <v>933</v>
      </c>
      <c r="E154" s="25" t="s">
        <v>207</v>
      </c>
      <c r="F154" s="42" t="s">
        <v>1432</v>
      </c>
      <c r="G154" s="25" t="str">
        <f t="shared" si="4"/>
        <v>RELTBLNM</v>
      </c>
      <c r="H154" s="42" t="str">
        <f t="shared" si="5"/>
        <v>1~300</v>
      </c>
      <c r="I154" s="42" t="s">
        <v>2122</v>
      </c>
      <c r="J154" s="42" t="s">
        <v>2124</v>
      </c>
      <c r="K154" s="40" t="s">
        <v>2123</v>
      </c>
    </row>
    <row r="155" spans="1:11" ht="17.25">
      <c r="A155" s="28">
        <v>151</v>
      </c>
      <c r="B155" s="25" t="s">
        <v>208</v>
      </c>
      <c r="C155" s="25" t="s">
        <v>2050</v>
      </c>
      <c r="D155" s="25" t="s">
        <v>934</v>
      </c>
      <c r="E155" s="25" t="s">
        <v>208</v>
      </c>
      <c r="F155" s="42" t="s">
        <v>1440</v>
      </c>
      <c r="G155" s="25" t="str">
        <f t="shared" si="4"/>
        <v>MNGRUSEYN</v>
      </c>
      <c r="H155" s="42" t="str">
        <f t="shared" si="5"/>
        <v>1~1</v>
      </c>
      <c r="I155" s="42" t="s">
        <v>2122</v>
      </c>
      <c r="J155" s="42" t="s">
        <v>2124</v>
      </c>
      <c r="K155" s="40" t="s">
        <v>2123</v>
      </c>
    </row>
    <row r="156" spans="1:11" ht="17.25">
      <c r="A156" s="28">
        <v>152</v>
      </c>
      <c r="B156" s="25" t="s">
        <v>209</v>
      </c>
      <c r="C156" s="25" t="s">
        <v>2051</v>
      </c>
      <c r="D156" s="25" t="s">
        <v>935</v>
      </c>
      <c r="E156" s="25" t="s">
        <v>209</v>
      </c>
      <c r="F156" s="42" t="s">
        <v>1433</v>
      </c>
      <c r="G156" s="25" t="str">
        <f t="shared" si="4"/>
        <v>MNGRID</v>
      </c>
      <c r="H156" s="42" t="str">
        <f t="shared" si="5"/>
        <v>1~20</v>
      </c>
      <c r="I156" s="42" t="s">
        <v>2122</v>
      </c>
      <c r="J156" s="42" t="s">
        <v>2124</v>
      </c>
      <c r="K156" s="40" t="s">
        <v>2123</v>
      </c>
    </row>
    <row r="157" spans="1:11" ht="34.5">
      <c r="A157" s="28">
        <v>153</v>
      </c>
      <c r="B157" s="25" t="s">
        <v>210</v>
      </c>
      <c r="C157" s="25" t="s">
        <v>2052</v>
      </c>
      <c r="D157" s="25" t="s">
        <v>936</v>
      </c>
      <c r="E157" s="25" t="s">
        <v>726</v>
      </c>
      <c r="F157" s="42" t="s">
        <v>1434</v>
      </c>
      <c r="G157" s="25" t="str">
        <f t="shared" si="4"/>
        <v>MNGRSN</v>
      </c>
      <c r="H157" s="42" t="str">
        <f t="shared" si="5"/>
        <v>1~22</v>
      </c>
      <c r="I157" s="42" t="s">
        <v>2122</v>
      </c>
      <c r="J157" s="42" t="s">
        <v>2124</v>
      </c>
      <c r="K157" s="40" t="s">
        <v>2123</v>
      </c>
    </row>
    <row r="158" spans="1:11" ht="17.25">
      <c r="A158" s="28">
        <v>154</v>
      </c>
      <c r="B158" s="25" t="s">
        <v>211</v>
      </c>
      <c r="C158" s="25" t="s">
        <v>2053</v>
      </c>
      <c r="D158" s="25" t="s">
        <v>937</v>
      </c>
      <c r="E158" s="25" t="s">
        <v>211</v>
      </c>
      <c r="F158" s="42" t="s">
        <v>1432</v>
      </c>
      <c r="G158" s="25" t="str">
        <f t="shared" si="4"/>
        <v>GUNM</v>
      </c>
      <c r="H158" s="42" t="str">
        <f t="shared" si="5"/>
        <v>1~300</v>
      </c>
      <c r="I158" s="42" t="s">
        <v>2122</v>
      </c>
      <c r="J158" s="42" t="s">
        <v>2124</v>
      </c>
      <c r="K158" s="40" t="s">
        <v>2123</v>
      </c>
    </row>
    <row r="159" spans="1:11" ht="17.25">
      <c r="A159" s="28">
        <v>155</v>
      </c>
      <c r="B159" s="25" t="s">
        <v>212</v>
      </c>
      <c r="C159" s="25" t="s">
        <v>2054</v>
      </c>
      <c r="D159" s="25" t="s">
        <v>938</v>
      </c>
      <c r="E159" s="25" t="s">
        <v>212</v>
      </c>
      <c r="F159" s="42" t="s">
        <v>1439</v>
      </c>
      <c r="G159" s="25" t="str">
        <f t="shared" si="4"/>
        <v>JOPRURLR</v>
      </c>
      <c r="H159" s="42" t="str">
        <f t="shared" si="5"/>
        <v>1~1000</v>
      </c>
      <c r="I159" s="42" t="s">
        <v>2122</v>
      </c>
      <c r="J159" s="42" t="s">
        <v>2124</v>
      </c>
      <c r="K159" s="40" t="s">
        <v>2123</v>
      </c>
    </row>
    <row r="160" spans="1:11" ht="17.25">
      <c r="A160" s="28">
        <v>156</v>
      </c>
      <c r="B160" s="25" t="s">
        <v>213</v>
      </c>
      <c r="C160" s="25" t="s">
        <v>2055</v>
      </c>
      <c r="D160" s="25" t="s">
        <v>939</v>
      </c>
      <c r="E160" s="25" t="s">
        <v>213</v>
      </c>
      <c r="F160" s="42" t="s">
        <v>1432</v>
      </c>
      <c r="G160" s="25" t="str">
        <f t="shared" si="4"/>
        <v>GUNNM</v>
      </c>
      <c r="H160" s="42" t="str">
        <f t="shared" si="5"/>
        <v>1~300</v>
      </c>
      <c r="I160" s="42" t="s">
        <v>2122</v>
      </c>
      <c r="J160" s="42" t="s">
        <v>2124</v>
      </c>
      <c r="K160" s="40" t="s">
        <v>2123</v>
      </c>
    </row>
    <row r="161" spans="1:11" ht="34.5">
      <c r="A161" s="28">
        <v>157</v>
      </c>
      <c r="B161" s="25" t="s">
        <v>214</v>
      </c>
      <c r="C161" s="25" t="s">
        <v>2056</v>
      </c>
      <c r="D161" s="25" t="s">
        <v>940</v>
      </c>
      <c r="E161" s="25" t="s">
        <v>727</v>
      </c>
      <c r="F161" s="42" t="s">
        <v>1457</v>
      </c>
      <c r="G161" s="25" t="str">
        <f t="shared" si="4"/>
        <v>GROUPNM</v>
      </c>
      <c r="H161" s="42" t="str">
        <f t="shared" si="5"/>
        <v>1~100</v>
      </c>
      <c r="I161" s="42" t="s">
        <v>2122</v>
      </c>
      <c r="J161" s="42" t="s">
        <v>2124</v>
      </c>
      <c r="K161" s="40" t="s">
        <v>2123</v>
      </c>
    </row>
    <row r="162" spans="1:11" ht="17.25">
      <c r="A162" s="28">
        <v>158</v>
      </c>
      <c r="B162" s="25" t="s">
        <v>215</v>
      </c>
      <c r="C162" s="25" t="s">
        <v>2057</v>
      </c>
      <c r="D162" s="25" t="s">
        <v>941</v>
      </c>
      <c r="E162" s="25" t="s">
        <v>215</v>
      </c>
      <c r="F162" s="42" t="s">
        <v>1447</v>
      </c>
      <c r="G162" s="25" t="str">
        <f t="shared" si="4"/>
        <v>INSTSEVL</v>
      </c>
      <c r="H162" s="42" t="str">
        <f t="shared" si="5"/>
        <v>1~10</v>
      </c>
      <c r="I162" s="42" t="s">
        <v>2122</v>
      </c>
      <c r="J162" s="42" t="s">
        <v>2126</v>
      </c>
      <c r="K162" s="40" t="s">
        <v>2123</v>
      </c>
    </row>
    <row r="163" spans="1:11" ht="34.5">
      <c r="A163" s="28">
        <v>159</v>
      </c>
      <c r="B163" s="25" t="s">
        <v>216</v>
      </c>
      <c r="C163" s="25" t="s">
        <v>2058</v>
      </c>
      <c r="D163" s="25" t="s">
        <v>942</v>
      </c>
      <c r="E163" s="25" t="s">
        <v>728</v>
      </c>
      <c r="F163" s="42" t="s">
        <v>1458</v>
      </c>
      <c r="G163" s="25" t="str">
        <f t="shared" si="4"/>
        <v>INSTNM</v>
      </c>
      <c r="H163" s="42" t="str">
        <f t="shared" si="5"/>
        <v>1~200</v>
      </c>
      <c r="I163" s="42" t="s">
        <v>2122</v>
      </c>
      <c r="J163" s="42" t="s">
        <v>2126</v>
      </c>
      <c r="K163" s="40" t="s">
        <v>2123</v>
      </c>
    </row>
    <row r="164" spans="1:11" ht="17.25">
      <c r="A164" s="28">
        <v>160</v>
      </c>
      <c r="B164" s="25" t="s">
        <v>217</v>
      </c>
      <c r="C164" s="25" t="s">
        <v>2059</v>
      </c>
      <c r="D164" s="25" t="s">
        <v>943</v>
      </c>
      <c r="E164" s="25" t="s">
        <v>217</v>
      </c>
      <c r="F164" s="42" t="s">
        <v>1432</v>
      </c>
      <c r="G164" s="25" t="str">
        <f t="shared" si="4"/>
        <v>INSTLCTNNM</v>
      </c>
      <c r="H164" s="42" t="str">
        <f t="shared" si="5"/>
        <v>1~300</v>
      </c>
      <c r="I164" s="42" t="s">
        <v>2122</v>
      </c>
      <c r="J164" s="42" t="s">
        <v>2126</v>
      </c>
      <c r="K164" s="40" t="s">
        <v>2123</v>
      </c>
    </row>
    <row r="165" spans="1:11" ht="34.5">
      <c r="A165" s="28">
        <v>161</v>
      </c>
      <c r="B165" s="25" t="s">
        <v>218</v>
      </c>
      <c r="C165" s="25" t="s">
        <v>2060</v>
      </c>
      <c r="D165" s="25" t="s">
        <v>944</v>
      </c>
      <c r="E165" s="25" t="s">
        <v>729</v>
      </c>
      <c r="F165" s="42" t="s">
        <v>1459</v>
      </c>
      <c r="G165" s="25" t="str">
        <f t="shared" si="4"/>
        <v>INSTTELNO</v>
      </c>
      <c r="H165" s="42" t="str">
        <f t="shared" si="5"/>
        <v>1~11</v>
      </c>
      <c r="I165" s="42" t="s">
        <v>2122</v>
      </c>
      <c r="J165" s="42" t="s">
        <v>2126</v>
      </c>
      <c r="K165" s="40" t="s">
        <v>2123</v>
      </c>
    </row>
    <row r="166" spans="1:11" ht="17.25">
      <c r="A166" s="28">
        <v>162</v>
      </c>
      <c r="B166" s="25" t="s">
        <v>219</v>
      </c>
      <c r="C166" s="25" t="s">
        <v>2061</v>
      </c>
      <c r="D166" s="25" t="s">
        <v>945</v>
      </c>
      <c r="E166" s="25" t="s">
        <v>219</v>
      </c>
      <c r="F166" s="42" t="s">
        <v>1432</v>
      </c>
      <c r="G166" s="25" t="str">
        <f t="shared" si="4"/>
        <v>CDPNTCOLNM</v>
      </c>
      <c r="H166" s="42" t="str">
        <f t="shared" si="5"/>
        <v>1~300</v>
      </c>
      <c r="I166" s="42" t="s">
        <v>2122</v>
      </c>
      <c r="J166" s="42" t="s">
        <v>2124</v>
      </c>
      <c r="K166" s="40" t="s">
        <v>2123</v>
      </c>
    </row>
    <row r="167" spans="1:11" ht="17.25">
      <c r="A167" s="28">
        <v>163</v>
      </c>
      <c r="B167" s="25" t="s">
        <v>220</v>
      </c>
      <c r="C167" s="25" t="s">
        <v>2062</v>
      </c>
      <c r="D167" s="25" t="s">
        <v>946</v>
      </c>
      <c r="E167" s="25" t="s">
        <v>220</v>
      </c>
      <c r="F167" s="42" t="s">
        <v>1460</v>
      </c>
      <c r="G167" s="25" t="str">
        <f t="shared" si="4"/>
        <v>GEOMWKTCN</v>
      </c>
      <c r="H167" s="42" t="str">
        <f t="shared" si="5"/>
        <v>1~1000</v>
      </c>
      <c r="I167" s="42" t="s">
        <v>2122</v>
      </c>
      <c r="J167" s="42" t="s">
        <v>2124</v>
      </c>
      <c r="K167" s="40" t="s">
        <v>2123</v>
      </c>
    </row>
    <row r="168" spans="1:11" ht="17.25">
      <c r="A168" s="28">
        <v>164</v>
      </c>
      <c r="B168" s="25" t="s">
        <v>221</v>
      </c>
      <c r="C168" s="25" t="s">
        <v>2063</v>
      </c>
      <c r="D168" s="25" t="s">
        <v>947</v>
      </c>
      <c r="E168" s="25" t="s">
        <v>221</v>
      </c>
      <c r="F168" s="42" t="s">
        <v>1443</v>
      </c>
      <c r="G168" s="25" t="str">
        <f t="shared" si="4"/>
        <v>GEOMDATCN</v>
      </c>
      <c r="H168" s="42" t="str">
        <f t="shared" si="5"/>
        <v>1~4000</v>
      </c>
      <c r="I168" s="42" t="s">
        <v>2122</v>
      </c>
      <c r="J168" s="42" t="s">
        <v>2124</v>
      </c>
      <c r="K168" s="40" t="s">
        <v>2123</v>
      </c>
    </row>
    <row r="169" spans="1:11" ht="17.25">
      <c r="A169" s="28">
        <v>165</v>
      </c>
      <c r="B169" s="25" t="s">
        <v>222</v>
      </c>
      <c r="C169" s="25" t="s">
        <v>2064</v>
      </c>
      <c r="D169" s="25" t="s">
        <v>948</v>
      </c>
      <c r="E169" s="25" t="s">
        <v>222</v>
      </c>
      <c r="F169" s="42" t="s">
        <v>1432</v>
      </c>
      <c r="G169" s="25" t="str">
        <f t="shared" si="4"/>
        <v>GEOMFILEPATHNM</v>
      </c>
      <c r="H169" s="42" t="str">
        <f t="shared" si="5"/>
        <v>1~300</v>
      </c>
      <c r="I169" s="42" t="s">
        <v>2122</v>
      </c>
      <c r="J169" s="42" t="s">
        <v>2124</v>
      </c>
      <c r="K169" s="40" t="s">
        <v>2123</v>
      </c>
    </row>
    <row r="170" spans="1:11" ht="17.25">
      <c r="A170" s="28">
        <v>166</v>
      </c>
      <c r="B170" s="25" t="s">
        <v>223</v>
      </c>
      <c r="C170" s="25" t="s">
        <v>2065</v>
      </c>
      <c r="D170" s="25" t="s">
        <v>949</v>
      </c>
      <c r="E170" s="25" t="s">
        <v>223</v>
      </c>
      <c r="F170" s="42" t="s">
        <v>1432</v>
      </c>
      <c r="G170" s="25" t="str">
        <f t="shared" si="4"/>
        <v>GEOMFILENM</v>
      </c>
      <c r="H170" s="42" t="str">
        <f t="shared" si="5"/>
        <v>1~300</v>
      </c>
      <c r="I170" s="42" t="s">
        <v>2122</v>
      </c>
      <c r="J170" s="42" t="s">
        <v>2124</v>
      </c>
      <c r="K170" s="40" t="s">
        <v>2123</v>
      </c>
    </row>
    <row r="171" spans="1:11" ht="17.25">
      <c r="A171" s="28">
        <v>167</v>
      </c>
      <c r="B171" s="25" t="s">
        <v>224</v>
      </c>
      <c r="C171" s="25" t="s">
        <v>2066</v>
      </c>
      <c r="D171" s="25" t="s">
        <v>950</v>
      </c>
      <c r="E171" s="25" t="s">
        <v>224</v>
      </c>
      <c r="F171" s="42" t="s">
        <v>1439</v>
      </c>
      <c r="G171" s="25" t="str">
        <f t="shared" si="4"/>
        <v>GITURLR</v>
      </c>
      <c r="H171" s="42" t="str">
        <f t="shared" si="5"/>
        <v>1~1000</v>
      </c>
      <c r="I171" s="42" t="s">
        <v>2122</v>
      </c>
      <c r="J171" s="42" t="s">
        <v>2124</v>
      </c>
      <c r="K171" s="40" t="s">
        <v>2123</v>
      </c>
    </row>
    <row r="172" spans="1:11" ht="17.25">
      <c r="A172" s="28">
        <v>168</v>
      </c>
      <c r="B172" s="25" t="s">
        <v>225</v>
      </c>
      <c r="C172" s="25" t="s">
        <v>2067</v>
      </c>
      <c r="D172" s="25" t="s">
        <v>951</v>
      </c>
      <c r="E172" s="25" t="s">
        <v>225</v>
      </c>
      <c r="F172" s="42" t="s">
        <v>1441</v>
      </c>
      <c r="G172" s="25" t="str">
        <f t="shared" si="4"/>
        <v>GITPSWD</v>
      </c>
      <c r="H172" s="42" t="str">
        <f t="shared" si="5"/>
        <v>1~100</v>
      </c>
      <c r="I172" s="42" t="s">
        <v>2122</v>
      </c>
      <c r="J172" s="42" t="s">
        <v>2124</v>
      </c>
      <c r="K172" s="40" t="s">
        <v>2123</v>
      </c>
    </row>
    <row r="173" spans="1:11" ht="17.25">
      <c r="A173" s="28">
        <v>169</v>
      </c>
      <c r="B173" s="25" t="s">
        <v>226</v>
      </c>
      <c r="C173" s="25" t="s">
        <v>2068</v>
      </c>
      <c r="D173" s="25" t="s">
        <v>952</v>
      </c>
      <c r="E173" s="25" t="s">
        <v>226</v>
      </c>
      <c r="F173" s="42" t="s">
        <v>1433</v>
      </c>
      <c r="G173" s="25" t="str">
        <f t="shared" si="4"/>
        <v>GITID</v>
      </c>
      <c r="H173" s="42" t="str">
        <f t="shared" si="5"/>
        <v>1~20</v>
      </c>
      <c r="I173" s="42" t="s">
        <v>2122</v>
      </c>
      <c r="J173" s="42" t="s">
        <v>2124</v>
      </c>
      <c r="K173" s="40" t="s">
        <v>2123</v>
      </c>
    </row>
    <row r="174" spans="1:11" ht="17.25">
      <c r="A174" s="28">
        <v>170</v>
      </c>
      <c r="B174" s="25" t="s">
        <v>227</v>
      </c>
      <c r="C174" s="25" t="s">
        <v>2069</v>
      </c>
      <c r="D174" s="25" t="s">
        <v>953</v>
      </c>
      <c r="E174" s="25" t="s">
        <v>227</v>
      </c>
      <c r="F174" s="42" t="s">
        <v>1443</v>
      </c>
      <c r="G174" s="25" t="str">
        <f t="shared" si="4"/>
        <v>GITERRCN</v>
      </c>
      <c r="H174" s="42" t="str">
        <f t="shared" si="5"/>
        <v>1~4000</v>
      </c>
      <c r="I174" s="42" t="s">
        <v>2122</v>
      </c>
      <c r="J174" s="42" t="s">
        <v>2124</v>
      </c>
      <c r="K174" s="40" t="s">
        <v>2123</v>
      </c>
    </row>
    <row r="175" spans="1:11" ht="17.25">
      <c r="A175" s="28">
        <v>171</v>
      </c>
      <c r="B175" s="25" t="s">
        <v>228</v>
      </c>
      <c r="C175" s="25" t="s">
        <v>2070</v>
      </c>
      <c r="D175" s="25" t="s">
        <v>954</v>
      </c>
      <c r="E175" s="25" t="s">
        <v>228</v>
      </c>
      <c r="F175" s="42" t="s">
        <v>1443</v>
      </c>
      <c r="G175" s="25" t="str">
        <f t="shared" si="4"/>
        <v>GITTKNCN</v>
      </c>
      <c r="H175" s="42" t="str">
        <f t="shared" si="5"/>
        <v>1~4000</v>
      </c>
      <c r="I175" s="42" t="s">
        <v>2122</v>
      </c>
      <c r="J175" s="42" t="s">
        <v>2124</v>
      </c>
      <c r="K175" s="40" t="s">
        <v>2123</v>
      </c>
    </row>
    <row r="176" spans="1:11" ht="17.25">
      <c r="A176" s="28">
        <v>172</v>
      </c>
      <c r="B176" s="25" t="s">
        <v>229</v>
      </c>
      <c r="C176" s="25" t="s">
        <v>2071</v>
      </c>
      <c r="D176" s="25" t="s">
        <v>955</v>
      </c>
      <c r="E176" s="25" t="s">
        <v>229</v>
      </c>
      <c r="F176" s="42" t="s">
        <v>1432</v>
      </c>
      <c r="G176" s="25" t="str">
        <f t="shared" si="4"/>
        <v>GITPRCTNM</v>
      </c>
      <c r="H176" s="42" t="str">
        <f t="shared" si="5"/>
        <v>1~300</v>
      </c>
      <c r="I176" s="42" t="s">
        <v>2122</v>
      </c>
      <c r="J176" s="42" t="s">
        <v>2124</v>
      </c>
      <c r="K176" s="40" t="s">
        <v>2123</v>
      </c>
    </row>
    <row r="177" spans="1:11" ht="17.25">
      <c r="A177" s="28">
        <v>173</v>
      </c>
      <c r="B177" s="25" t="s">
        <v>230</v>
      </c>
      <c r="C177" s="25" t="s">
        <v>2072</v>
      </c>
      <c r="D177" s="25" t="s">
        <v>956</v>
      </c>
      <c r="E177" s="25" t="s">
        <v>230</v>
      </c>
      <c r="F177" s="42" t="s">
        <v>1440</v>
      </c>
      <c r="G177" s="25" t="str">
        <f t="shared" si="4"/>
        <v>INSDIPMENUYN</v>
      </c>
      <c r="H177" s="42" t="str">
        <f t="shared" si="5"/>
        <v>1~1</v>
      </c>
      <c r="I177" s="42" t="s">
        <v>2122</v>
      </c>
      <c r="J177" s="42" t="s">
        <v>2124</v>
      </c>
      <c r="K177" s="40" t="s">
        <v>2123</v>
      </c>
    </row>
    <row r="178" spans="1:11" ht="17.25">
      <c r="A178" s="28">
        <v>174</v>
      </c>
      <c r="B178" s="25" t="s">
        <v>231</v>
      </c>
      <c r="C178" s="25" t="s">
        <v>2073</v>
      </c>
      <c r="D178" s="25" t="s">
        <v>957</v>
      </c>
      <c r="E178" s="25" t="s">
        <v>231</v>
      </c>
      <c r="F178" s="42" t="s">
        <v>1440</v>
      </c>
      <c r="G178" s="25" t="str">
        <f t="shared" si="4"/>
        <v>INSDIPIDNTYYN</v>
      </c>
      <c r="H178" s="42" t="str">
        <f t="shared" si="5"/>
        <v>1~1</v>
      </c>
      <c r="I178" s="42" t="s">
        <v>2122</v>
      </c>
      <c r="J178" s="42" t="s">
        <v>2124</v>
      </c>
      <c r="K178" s="40" t="s">
        <v>2123</v>
      </c>
    </row>
    <row r="179" spans="1:11" ht="17.25">
      <c r="A179" s="28">
        <v>175</v>
      </c>
      <c r="B179" s="25" t="s">
        <v>232</v>
      </c>
      <c r="C179" s="25" t="s">
        <v>2074</v>
      </c>
      <c r="D179" s="25" t="s">
        <v>958</v>
      </c>
      <c r="E179" s="25" t="s">
        <v>232</v>
      </c>
      <c r="F179" s="42" t="s">
        <v>1435</v>
      </c>
      <c r="G179" s="25" t="str">
        <f t="shared" si="4"/>
        <v>HGTVL</v>
      </c>
      <c r="H179" s="42" t="str">
        <f t="shared" si="5"/>
        <v>1~100</v>
      </c>
      <c r="I179" s="42" t="s">
        <v>2122</v>
      </c>
      <c r="J179" s="42" t="s">
        <v>2124</v>
      </c>
      <c r="K179" s="40" t="s">
        <v>2123</v>
      </c>
    </row>
    <row r="180" spans="1:11" ht="17.25">
      <c r="A180" s="28">
        <v>176</v>
      </c>
      <c r="B180" s="25" t="s">
        <v>233</v>
      </c>
      <c r="C180" s="25" t="s">
        <v>2075</v>
      </c>
      <c r="D180" s="25" t="s">
        <v>959</v>
      </c>
      <c r="E180" s="25" t="s">
        <v>233</v>
      </c>
      <c r="F180" s="42" t="s">
        <v>1432</v>
      </c>
      <c r="G180" s="25" t="str">
        <f t="shared" si="4"/>
        <v>DWNLDCONTSNM</v>
      </c>
      <c r="H180" s="42" t="str">
        <f t="shared" si="5"/>
        <v>1~300</v>
      </c>
      <c r="I180" s="42" t="s">
        <v>2122</v>
      </c>
      <c r="J180" s="42" t="s">
        <v>2124</v>
      </c>
      <c r="K180" s="40" t="s">
        <v>2123</v>
      </c>
    </row>
    <row r="181" spans="1:11" ht="34.5">
      <c r="A181" s="28">
        <v>177</v>
      </c>
      <c r="B181" s="25" t="s">
        <v>234</v>
      </c>
      <c r="C181" s="25" t="s">
        <v>2076</v>
      </c>
      <c r="D181" s="25" t="s">
        <v>960</v>
      </c>
      <c r="E181" s="25" t="s">
        <v>730</v>
      </c>
      <c r="F181" s="42" t="s">
        <v>1432</v>
      </c>
      <c r="G181" s="25" t="str">
        <f t="shared" si="4"/>
        <v>TKCGTASKNM</v>
      </c>
      <c r="H181" s="42" t="str">
        <f t="shared" si="5"/>
        <v>1~300</v>
      </c>
      <c r="I181" s="42" t="s">
        <v>2122</v>
      </c>
      <c r="J181" s="42" t="s">
        <v>2124</v>
      </c>
      <c r="K181" s="40" t="s">
        <v>2123</v>
      </c>
    </row>
    <row r="182" spans="1:11" ht="17.25">
      <c r="A182" s="28">
        <v>178</v>
      </c>
      <c r="B182" s="25" t="s">
        <v>235</v>
      </c>
      <c r="C182" s="25" t="s">
        <v>2077</v>
      </c>
      <c r="D182" s="25" t="s">
        <v>961</v>
      </c>
      <c r="E182" s="25" t="s">
        <v>235</v>
      </c>
      <c r="F182" s="42" t="s">
        <v>1457</v>
      </c>
      <c r="G182" s="25" t="str">
        <f t="shared" si="4"/>
        <v>BMNNM</v>
      </c>
      <c r="H182" s="42" t="str">
        <f t="shared" si="5"/>
        <v>1~100</v>
      </c>
      <c r="I182" s="42" t="s">
        <v>2122</v>
      </c>
      <c r="J182" s="42" t="s">
        <v>2124</v>
      </c>
      <c r="K182" s="40" t="s">
        <v>2123</v>
      </c>
    </row>
    <row r="183" spans="1:11" ht="17.25">
      <c r="A183" s="28">
        <v>179</v>
      </c>
      <c r="B183" s="25" t="s">
        <v>236</v>
      </c>
      <c r="C183" s="25" t="s">
        <v>2078</v>
      </c>
      <c r="D183" s="25" t="s">
        <v>962</v>
      </c>
      <c r="E183" s="25" t="s">
        <v>236</v>
      </c>
      <c r="F183" s="42" t="s">
        <v>1432</v>
      </c>
      <c r="G183" s="25" t="str">
        <f t="shared" si="4"/>
        <v>DATNM</v>
      </c>
      <c r="H183" s="42" t="str">
        <f t="shared" si="5"/>
        <v>1~300</v>
      </c>
      <c r="I183" s="42" t="s">
        <v>2122</v>
      </c>
      <c r="J183" s="42" t="s">
        <v>2124</v>
      </c>
      <c r="K183" s="40" t="s">
        <v>2123</v>
      </c>
    </row>
    <row r="184" spans="1:11" ht="17.25">
      <c r="A184" s="28">
        <v>180</v>
      </c>
      <c r="B184" s="25" t="s">
        <v>237</v>
      </c>
      <c r="C184" s="25" t="s">
        <v>2079</v>
      </c>
      <c r="D184" s="25" t="s">
        <v>963</v>
      </c>
      <c r="E184" s="25" t="s">
        <v>237</v>
      </c>
      <c r="F184" s="42" t="s">
        <v>1433</v>
      </c>
      <c r="G184" s="25" t="str">
        <f t="shared" si="4"/>
        <v>DATID</v>
      </c>
      <c r="H184" s="42" t="str">
        <f t="shared" si="5"/>
        <v>1~20</v>
      </c>
      <c r="I184" s="42" t="s">
        <v>2122</v>
      </c>
      <c r="J184" s="42" t="s">
        <v>2124</v>
      </c>
      <c r="K184" s="40" t="s">
        <v>2123</v>
      </c>
    </row>
    <row r="185" spans="1:11" ht="17.25">
      <c r="A185" s="28">
        <v>181</v>
      </c>
      <c r="B185" s="25" t="s">
        <v>238</v>
      </c>
      <c r="C185" s="25" t="s">
        <v>2080</v>
      </c>
      <c r="D185" s="25" t="s">
        <v>964</v>
      </c>
      <c r="E185" s="25" t="s">
        <v>238</v>
      </c>
      <c r="F185" s="42" t="s">
        <v>1432</v>
      </c>
      <c r="G185" s="25" t="str">
        <f t="shared" si="4"/>
        <v>DATTYPENM</v>
      </c>
      <c r="H185" s="42" t="str">
        <f t="shared" si="5"/>
        <v>1~300</v>
      </c>
      <c r="I185" s="42" t="s">
        <v>2122</v>
      </c>
      <c r="J185" s="42" t="s">
        <v>2124</v>
      </c>
      <c r="K185" s="40" t="s">
        <v>2123</v>
      </c>
    </row>
    <row r="186" spans="1:11" ht="34.5">
      <c r="A186" s="28">
        <v>182</v>
      </c>
      <c r="B186" s="25" t="s">
        <v>239</v>
      </c>
      <c r="C186" s="25" t="s">
        <v>2081</v>
      </c>
      <c r="D186" s="25" t="s">
        <v>965</v>
      </c>
      <c r="E186" s="25" t="s">
        <v>731</v>
      </c>
      <c r="F186" s="42" t="s">
        <v>1451</v>
      </c>
      <c r="G186" s="25" t="str">
        <f t="shared" si="4"/>
        <v>REGDT</v>
      </c>
      <c r="H186" s="42" t="str">
        <f t="shared" si="5"/>
        <v>1~</v>
      </c>
      <c r="I186" s="42" t="s">
        <v>2122</v>
      </c>
      <c r="J186" s="42" t="s">
        <v>2124</v>
      </c>
      <c r="K186" s="40" t="s">
        <v>2123</v>
      </c>
    </row>
    <row r="187" spans="1:11" ht="34.5">
      <c r="A187" s="28">
        <v>183</v>
      </c>
      <c r="B187" s="25" t="s">
        <v>240</v>
      </c>
      <c r="C187" s="25" t="s">
        <v>2082</v>
      </c>
      <c r="D187" s="25" t="s">
        <v>966</v>
      </c>
      <c r="E187" s="25" t="s">
        <v>732</v>
      </c>
      <c r="F187" s="42" t="s">
        <v>1446</v>
      </c>
      <c r="G187" s="25" t="str">
        <f t="shared" si="4"/>
        <v>REGYMD</v>
      </c>
      <c r="H187" s="42" t="str">
        <f t="shared" si="5"/>
        <v>1~8</v>
      </c>
      <c r="I187" s="42" t="s">
        <v>2122</v>
      </c>
      <c r="J187" s="42" t="s">
        <v>2124</v>
      </c>
      <c r="K187" s="40" t="s">
        <v>2123</v>
      </c>
    </row>
    <row r="188" spans="1:11" ht="17.25">
      <c r="A188" s="28">
        <v>184</v>
      </c>
      <c r="B188" s="25" t="s">
        <v>241</v>
      </c>
      <c r="C188" s="25" t="s">
        <v>2083</v>
      </c>
      <c r="D188" s="25" t="s">
        <v>967</v>
      </c>
      <c r="E188" s="25" t="s">
        <v>241</v>
      </c>
      <c r="F188" s="42" t="s">
        <v>1433</v>
      </c>
      <c r="G188" s="25" t="str">
        <f t="shared" si="4"/>
        <v>RGTRID</v>
      </c>
      <c r="H188" s="42" t="str">
        <f t="shared" si="5"/>
        <v>1~20</v>
      </c>
      <c r="I188" s="42" t="s">
        <v>2122</v>
      </c>
      <c r="J188" s="42" t="s">
        <v>2124</v>
      </c>
      <c r="K188" s="40" t="s">
        <v>2123</v>
      </c>
    </row>
    <row r="189" spans="1:11" ht="17.25">
      <c r="A189" s="28">
        <v>185</v>
      </c>
      <c r="B189" s="25" t="s">
        <v>242</v>
      </c>
      <c r="C189" s="25" t="s">
        <v>2084</v>
      </c>
      <c r="D189" s="25" t="s">
        <v>968</v>
      </c>
      <c r="E189" s="25" t="s">
        <v>242</v>
      </c>
      <c r="F189" s="42" t="s">
        <v>1443</v>
      </c>
      <c r="G189" s="25" t="str">
        <f t="shared" si="4"/>
        <v>LBLCN</v>
      </c>
      <c r="H189" s="42" t="str">
        <f t="shared" si="5"/>
        <v>1~4000</v>
      </c>
      <c r="I189" s="42" t="s">
        <v>2122</v>
      </c>
      <c r="J189" s="42" t="s">
        <v>2124</v>
      </c>
      <c r="K189" s="40" t="s">
        <v>2123</v>
      </c>
    </row>
    <row r="190" spans="1:11" ht="17.25">
      <c r="A190" s="28">
        <v>186</v>
      </c>
      <c r="B190" s="25" t="s">
        <v>243</v>
      </c>
      <c r="C190" s="25" t="s">
        <v>2085</v>
      </c>
      <c r="D190" s="25" t="s">
        <v>969</v>
      </c>
      <c r="E190" s="25" t="s">
        <v>243</v>
      </c>
      <c r="F190" s="42" t="s">
        <v>1434</v>
      </c>
      <c r="G190" s="25" t="str">
        <f t="shared" si="4"/>
        <v>RHNRSLTDMNDSN</v>
      </c>
      <c r="H190" s="42" t="str">
        <f t="shared" si="5"/>
        <v>1~22</v>
      </c>
      <c r="I190" s="42" t="s">
        <v>2122</v>
      </c>
      <c r="J190" s="42" t="s">
        <v>2124</v>
      </c>
      <c r="K190" s="40" t="s">
        <v>2123</v>
      </c>
    </row>
    <row r="191" spans="1:11" ht="17.25">
      <c r="A191" s="28">
        <v>187</v>
      </c>
      <c r="B191" s="25" t="s">
        <v>244</v>
      </c>
      <c r="C191" s="25" t="s">
        <v>2086</v>
      </c>
      <c r="D191" s="25" t="s">
        <v>970</v>
      </c>
      <c r="E191" s="25" t="s">
        <v>244</v>
      </c>
      <c r="F191" s="42" t="s">
        <v>1434</v>
      </c>
      <c r="G191" s="25" t="str">
        <f t="shared" si="4"/>
        <v>RHNRSLTSN</v>
      </c>
      <c r="H191" s="42" t="str">
        <f t="shared" si="5"/>
        <v>1~22</v>
      </c>
      <c r="I191" s="42" t="s">
        <v>2122</v>
      </c>
      <c r="J191" s="42" t="s">
        <v>2124</v>
      </c>
      <c r="K191" s="40" t="s">
        <v>2123</v>
      </c>
    </row>
    <row r="192" spans="1:11" ht="17.25">
      <c r="A192" s="28">
        <v>188</v>
      </c>
      <c r="B192" s="25" t="s">
        <v>245</v>
      </c>
      <c r="C192" s="25" t="s">
        <v>2087</v>
      </c>
      <c r="D192" s="25" t="s">
        <v>971</v>
      </c>
      <c r="E192" s="25" t="s">
        <v>245</v>
      </c>
      <c r="F192" s="42" t="s">
        <v>1432</v>
      </c>
      <c r="G192" s="25" t="str">
        <f t="shared" si="4"/>
        <v>RHNRSLTFILEPATHNM</v>
      </c>
      <c r="H192" s="42" t="str">
        <f t="shared" si="5"/>
        <v>1~300</v>
      </c>
      <c r="I192" s="42" t="s">
        <v>2122</v>
      </c>
      <c r="J192" s="42" t="s">
        <v>2124</v>
      </c>
      <c r="K192" s="40" t="s">
        <v>2123</v>
      </c>
    </row>
    <row r="193" spans="1:11" ht="17.25">
      <c r="A193" s="28">
        <v>189</v>
      </c>
      <c r="B193" s="25" t="s">
        <v>246</v>
      </c>
      <c r="C193" s="25" t="s">
        <v>2088</v>
      </c>
      <c r="D193" s="25" t="s">
        <v>972</v>
      </c>
      <c r="E193" s="25" t="s">
        <v>246</v>
      </c>
      <c r="F193" s="42" t="s">
        <v>1434</v>
      </c>
      <c r="G193" s="25" t="str">
        <f t="shared" si="4"/>
        <v>RHNRSLTARTCLSN</v>
      </c>
      <c r="H193" s="42" t="str">
        <f t="shared" si="5"/>
        <v>1~22</v>
      </c>
      <c r="I193" s="42" t="s">
        <v>2122</v>
      </c>
      <c r="J193" s="42" t="s">
        <v>2124</v>
      </c>
      <c r="K193" s="40" t="s">
        <v>2123</v>
      </c>
    </row>
    <row r="194" spans="1:11" ht="17.25">
      <c r="A194" s="28">
        <v>190</v>
      </c>
      <c r="B194" s="25" t="s">
        <v>247</v>
      </c>
      <c r="C194" s="25" t="s">
        <v>2089</v>
      </c>
      <c r="D194" s="25" t="s">
        <v>973</v>
      </c>
      <c r="E194" s="25" t="s">
        <v>247</v>
      </c>
      <c r="F194" s="42" t="s">
        <v>1432</v>
      </c>
      <c r="G194" s="25" t="str">
        <f t="shared" si="4"/>
        <v>RHNANLSRSLTNM</v>
      </c>
      <c r="H194" s="42" t="str">
        <f t="shared" si="5"/>
        <v>1~300</v>
      </c>
      <c r="I194" s="42" t="s">
        <v>2122</v>
      </c>
      <c r="J194" s="42" t="s">
        <v>2124</v>
      </c>
      <c r="K194" s="40" t="s">
        <v>2123</v>
      </c>
    </row>
    <row r="195" spans="1:11" ht="17.25">
      <c r="A195" s="28">
        <v>191</v>
      </c>
      <c r="B195" s="25" t="s">
        <v>248</v>
      </c>
      <c r="C195" s="25" t="s">
        <v>2090</v>
      </c>
      <c r="D195" s="25" t="s">
        <v>974</v>
      </c>
      <c r="E195" s="25" t="s">
        <v>248</v>
      </c>
      <c r="F195" s="42" t="s">
        <v>1432</v>
      </c>
      <c r="G195" s="25" t="str">
        <f t="shared" si="4"/>
        <v>RHNANLSAPLYNM</v>
      </c>
      <c r="H195" s="42" t="str">
        <f t="shared" si="5"/>
        <v>1~300</v>
      </c>
      <c r="I195" s="42" t="s">
        <v>2122</v>
      </c>
      <c r="J195" s="42" t="s">
        <v>2124</v>
      </c>
      <c r="K195" s="40" t="s">
        <v>2123</v>
      </c>
    </row>
    <row r="196" spans="1:11" ht="17.25">
      <c r="A196" s="28">
        <v>192</v>
      </c>
      <c r="B196" s="25" t="s">
        <v>249</v>
      </c>
      <c r="C196" s="25" t="s">
        <v>2091</v>
      </c>
      <c r="D196" s="25" t="s">
        <v>975</v>
      </c>
      <c r="E196" s="25" t="s">
        <v>249</v>
      </c>
      <c r="F196" s="42" t="s">
        <v>1434</v>
      </c>
      <c r="G196" s="25" t="str">
        <f t="shared" si="4"/>
        <v>RHNANLSDMNDSN</v>
      </c>
      <c r="H196" s="42" t="str">
        <f t="shared" si="5"/>
        <v>1~22</v>
      </c>
      <c r="I196" s="42" t="s">
        <v>2122</v>
      </c>
      <c r="J196" s="42" t="s">
        <v>2124</v>
      </c>
      <c r="K196" s="40" t="s">
        <v>2123</v>
      </c>
    </row>
    <row r="197" spans="1:11" ht="17.25">
      <c r="A197" s="28">
        <v>193</v>
      </c>
      <c r="B197" s="25" t="s">
        <v>250</v>
      </c>
      <c r="C197" s="25" t="s">
        <v>2092</v>
      </c>
      <c r="D197" s="25" t="s">
        <v>976</v>
      </c>
      <c r="E197" s="25" t="s">
        <v>250</v>
      </c>
      <c r="F197" s="42" t="s">
        <v>1432</v>
      </c>
      <c r="G197" s="25" t="str">
        <f t="shared" si="4"/>
        <v>RHNOPTNM</v>
      </c>
      <c r="H197" s="42" t="str">
        <f t="shared" si="5"/>
        <v>1~300</v>
      </c>
      <c r="I197" s="42" t="s">
        <v>2122</v>
      </c>
      <c r="J197" s="42" t="s">
        <v>2124</v>
      </c>
      <c r="K197" s="40" t="s">
        <v>2123</v>
      </c>
    </row>
    <row r="198" spans="1:11" ht="17.25">
      <c r="A198" s="28">
        <v>194</v>
      </c>
      <c r="B198" s="25" t="s">
        <v>251</v>
      </c>
      <c r="C198" s="25" t="s">
        <v>2093</v>
      </c>
      <c r="D198" s="25" t="s">
        <v>977</v>
      </c>
      <c r="E198" s="25" t="s">
        <v>251</v>
      </c>
      <c r="F198" s="42" t="s">
        <v>1436</v>
      </c>
      <c r="G198" s="25" t="str">
        <f t="shared" ref="G198:G261" si="6">SUBSTITUTE(D198, "_", "")</f>
        <v>RHNFILECAY</v>
      </c>
      <c r="H198" s="42" t="str">
        <f t="shared" ref="H198:H261" si="7">CONCATENATE("1~", _xlfn.REGEXREPLACE(F198, "[^0-9]",""))</f>
        <v>1~14</v>
      </c>
      <c r="I198" s="42" t="s">
        <v>2122</v>
      </c>
      <c r="J198" s="42" t="s">
        <v>2124</v>
      </c>
      <c r="K198" s="40" t="s">
        <v>2123</v>
      </c>
    </row>
    <row r="199" spans="1:11" ht="17.25">
      <c r="A199" s="28">
        <v>195</v>
      </c>
      <c r="B199" s="25" t="s">
        <v>252</v>
      </c>
      <c r="C199" s="25" t="s">
        <v>2094</v>
      </c>
      <c r="D199" s="25" t="s">
        <v>978</v>
      </c>
      <c r="E199" s="25" t="s">
        <v>252</v>
      </c>
      <c r="F199" s="42" t="s">
        <v>1440</v>
      </c>
      <c r="G199" s="25" t="str">
        <f t="shared" si="6"/>
        <v>LYRXYSEQNMLYN</v>
      </c>
      <c r="H199" s="42" t="str">
        <f t="shared" si="7"/>
        <v>1~1</v>
      </c>
      <c r="I199" s="42" t="s">
        <v>2122</v>
      </c>
      <c r="J199" s="42" t="s">
        <v>2124</v>
      </c>
      <c r="K199" s="40" t="s">
        <v>2123</v>
      </c>
    </row>
    <row r="200" spans="1:11" ht="17.25">
      <c r="A200" s="28">
        <v>196</v>
      </c>
      <c r="B200" s="25" t="s">
        <v>253</v>
      </c>
      <c r="C200" s="25" t="s">
        <v>2095</v>
      </c>
      <c r="D200" s="25" t="s">
        <v>979</v>
      </c>
      <c r="E200" s="25" t="s">
        <v>253</v>
      </c>
      <c r="F200" s="42" t="s">
        <v>1457</v>
      </c>
      <c r="G200" s="25" t="str">
        <f t="shared" si="6"/>
        <v>LYRGROUPNM</v>
      </c>
      <c r="H200" s="42" t="str">
        <f t="shared" si="7"/>
        <v>1~100</v>
      </c>
      <c r="I200" s="42" t="s">
        <v>2122</v>
      </c>
      <c r="J200" s="42" t="s">
        <v>2124</v>
      </c>
      <c r="K200" s="40" t="s">
        <v>2123</v>
      </c>
    </row>
    <row r="201" spans="1:11" ht="17.25">
      <c r="A201" s="28">
        <v>197</v>
      </c>
      <c r="B201" s="25" t="s">
        <v>254</v>
      </c>
      <c r="C201" s="25" t="s">
        <v>2096</v>
      </c>
      <c r="D201" s="25" t="s">
        <v>980</v>
      </c>
      <c r="E201" s="25" t="s">
        <v>254</v>
      </c>
      <c r="F201" s="42" t="s">
        <v>1448</v>
      </c>
      <c r="G201" s="25" t="str">
        <f t="shared" si="6"/>
        <v>LYRGROUPEXPLN</v>
      </c>
      <c r="H201" s="42" t="str">
        <f t="shared" si="7"/>
        <v>1~2000</v>
      </c>
      <c r="I201" s="42" t="s">
        <v>2122</v>
      </c>
      <c r="J201" s="42" t="s">
        <v>2124</v>
      </c>
      <c r="K201" s="40" t="s">
        <v>2123</v>
      </c>
    </row>
    <row r="202" spans="1:11" ht="17.25">
      <c r="A202" s="28">
        <v>198</v>
      </c>
      <c r="B202" s="25" t="s">
        <v>255</v>
      </c>
      <c r="C202" s="25" t="s">
        <v>2097</v>
      </c>
      <c r="D202" s="25" t="s">
        <v>981</v>
      </c>
      <c r="E202" s="25" t="s">
        <v>255</v>
      </c>
      <c r="F202" s="42" t="s">
        <v>1434</v>
      </c>
      <c r="G202" s="25" t="str">
        <f t="shared" si="6"/>
        <v>LYRGROUPSN</v>
      </c>
      <c r="H202" s="42" t="str">
        <f t="shared" si="7"/>
        <v>1~22</v>
      </c>
      <c r="I202" s="42" t="s">
        <v>2122</v>
      </c>
      <c r="J202" s="42" t="s">
        <v>2124</v>
      </c>
      <c r="K202" s="40" t="s">
        <v>2123</v>
      </c>
    </row>
    <row r="203" spans="1:11" ht="17.25">
      <c r="A203" s="28">
        <v>199</v>
      </c>
      <c r="B203" s="25" t="s">
        <v>256</v>
      </c>
      <c r="C203" s="25" t="s">
        <v>2098</v>
      </c>
      <c r="D203" s="25" t="s">
        <v>982</v>
      </c>
      <c r="E203" s="25" t="s">
        <v>256</v>
      </c>
      <c r="F203" s="42" t="s">
        <v>1432</v>
      </c>
      <c r="G203" s="25" t="str">
        <f t="shared" si="6"/>
        <v>LYRCDPNTCOLNM</v>
      </c>
      <c r="H203" s="42" t="str">
        <f t="shared" si="7"/>
        <v>1~300</v>
      </c>
      <c r="I203" s="42" t="s">
        <v>2122</v>
      </c>
      <c r="J203" s="42" t="s">
        <v>2124</v>
      </c>
      <c r="K203" s="40" t="s">
        <v>2123</v>
      </c>
    </row>
    <row r="204" spans="1:11" ht="17.25">
      <c r="A204" s="28">
        <v>200</v>
      </c>
      <c r="B204" s="25" t="s">
        <v>257</v>
      </c>
      <c r="C204" s="25" t="s">
        <v>2099</v>
      </c>
      <c r="D204" s="25" t="s">
        <v>983</v>
      </c>
      <c r="E204" s="25" t="s">
        <v>257</v>
      </c>
      <c r="F204" s="42" t="s">
        <v>1432</v>
      </c>
      <c r="G204" s="25" t="str">
        <f t="shared" si="6"/>
        <v>LYRNM</v>
      </c>
      <c r="H204" s="42" t="str">
        <f t="shared" si="7"/>
        <v>1~300</v>
      </c>
      <c r="I204" s="42" t="s">
        <v>2122</v>
      </c>
      <c r="J204" s="42" t="s">
        <v>2124</v>
      </c>
      <c r="K204" s="40" t="s">
        <v>2123</v>
      </c>
    </row>
    <row r="205" spans="1:11" ht="17.25">
      <c r="A205" s="28">
        <v>201</v>
      </c>
      <c r="B205" s="25" t="s">
        <v>258</v>
      </c>
      <c r="C205" s="25" t="s">
        <v>2100</v>
      </c>
      <c r="D205" s="25" t="s">
        <v>984</v>
      </c>
      <c r="E205" s="25" t="s">
        <v>258</v>
      </c>
      <c r="F205" s="42" t="s">
        <v>1447</v>
      </c>
      <c r="G205" s="25" t="str">
        <f t="shared" si="6"/>
        <v>LYRPBLCNSTTSVL</v>
      </c>
      <c r="H205" s="42" t="str">
        <f t="shared" si="7"/>
        <v>1~10</v>
      </c>
      <c r="I205" s="42" t="s">
        <v>2122</v>
      </c>
      <c r="J205" s="42" t="s">
        <v>2124</v>
      </c>
      <c r="K205" s="40" t="s">
        <v>2123</v>
      </c>
    </row>
    <row r="206" spans="1:11" ht="17.25">
      <c r="A206" s="28">
        <v>202</v>
      </c>
      <c r="B206" s="25" t="s">
        <v>259</v>
      </c>
      <c r="C206" s="25" t="s">
        <v>2101</v>
      </c>
      <c r="D206" s="25" t="s">
        <v>985</v>
      </c>
      <c r="E206" s="25" t="s">
        <v>259</v>
      </c>
      <c r="F206" s="42" t="s">
        <v>1447</v>
      </c>
      <c r="G206" s="25" t="str">
        <f t="shared" si="6"/>
        <v>LYRCLSFVL</v>
      </c>
      <c r="H206" s="42" t="str">
        <f t="shared" si="7"/>
        <v>1~10</v>
      </c>
      <c r="I206" s="42" t="s">
        <v>2122</v>
      </c>
      <c r="J206" s="42" t="s">
        <v>2124</v>
      </c>
      <c r="K206" s="40" t="s">
        <v>2123</v>
      </c>
    </row>
    <row r="207" spans="1:11" ht="17.25">
      <c r="A207" s="28">
        <v>203</v>
      </c>
      <c r="B207" s="25" t="s">
        <v>260</v>
      </c>
      <c r="C207" s="25" t="s">
        <v>2102</v>
      </c>
      <c r="D207" s="25" t="s">
        <v>986</v>
      </c>
      <c r="E207" s="25" t="s">
        <v>260</v>
      </c>
      <c r="F207" s="42" t="s">
        <v>1447</v>
      </c>
      <c r="G207" s="25" t="str">
        <f t="shared" si="6"/>
        <v>LYRCLSFSEVL</v>
      </c>
      <c r="H207" s="42" t="str">
        <f t="shared" si="7"/>
        <v>1~10</v>
      </c>
      <c r="I207" s="42" t="s">
        <v>2122</v>
      </c>
      <c r="J207" s="42" t="s">
        <v>2124</v>
      </c>
      <c r="K207" s="40" t="s">
        <v>2123</v>
      </c>
    </row>
    <row r="208" spans="1:11" ht="17.25">
      <c r="A208" s="28">
        <v>204</v>
      </c>
      <c r="B208" s="25" t="s">
        <v>261</v>
      </c>
      <c r="C208" s="25" t="s">
        <v>2103</v>
      </c>
      <c r="D208" s="25" t="s">
        <v>987</v>
      </c>
      <c r="E208" s="25" t="s">
        <v>261</v>
      </c>
      <c r="F208" s="42" t="s">
        <v>1448</v>
      </c>
      <c r="G208" s="25" t="str">
        <f t="shared" si="6"/>
        <v>LYREXPLN</v>
      </c>
      <c r="H208" s="42" t="str">
        <f t="shared" si="7"/>
        <v>1~2000</v>
      </c>
      <c r="I208" s="42" t="s">
        <v>2122</v>
      </c>
      <c r="J208" s="42" t="s">
        <v>2124</v>
      </c>
      <c r="K208" s="40" t="s">
        <v>2123</v>
      </c>
    </row>
    <row r="209" spans="1:11" ht="17.25">
      <c r="A209" s="28">
        <v>205</v>
      </c>
      <c r="B209" s="25" t="s">
        <v>262</v>
      </c>
      <c r="C209" s="25" t="s">
        <v>2104</v>
      </c>
      <c r="D209" s="25" t="s">
        <v>988</v>
      </c>
      <c r="E209" s="25" t="s">
        <v>262</v>
      </c>
      <c r="F209" s="42" t="s">
        <v>1447</v>
      </c>
      <c r="G209" s="25" t="str">
        <f t="shared" si="6"/>
        <v>LYRPSNSEVL</v>
      </c>
      <c r="H209" s="42" t="str">
        <f t="shared" si="7"/>
        <v>1~10</v>
      </c>
      <c r="I209" s="42" t="s">
        <v>2122</v>
      </c>
      <c r="J209" s="42" t="s">
        <v>2124</v>
      </c>
      <c r="K209" s="40" t="s">
        <v>2123</v>
      </c>
    </row>
    <row r="210" spans="1:11" ht="17.25">
      <c r="A210" s="28">
        <v>206</v>
      </c>
      <c r="B210" s="25" t="s">
        <v>263</v>
      </c>
      <c r="C210" s="25" t="s">
        <v>2105</v>
      </c>
      <c r="D210" s="25" t="s">
        <v>989</v>
      </c>
      <c r="E210" s="25" t="s">
        <v>263</v>
      </c>
      <c r="F210" s="42" t="s">
        <v>1447</v>
      </c>
      <c r="G210" s="25" t="str">
        <f t="shared" si="6"/>
        <v>LYRATRBGROUPVL</v>
      </c>
      <c r="H210" s="42" t="str">
        <f t="shared" si="7"/>
        <v>1~10</v>
      </c>
      <c r="I210" s="42" t="s">
        <v>2122</v>
      </c>
      <c r="J210" s="42" t="s">
        <v>2124</v>
      </c>
      <c r="K210" s="40" t="s">
        <v>2123</v>
      </c>
    </row>
    <row r="211" spans="1:11" ht="17.25">
      <c r="A211" s="28">
        <v>207</v>
      </c>
      <c r="B211" s="25" t="s">
        <v>264</v>
      </c>
      <c r="C211" s="25" t="s">
        <v>2106</v>
      </c>
      <c r="D211" s="25" t="s">
        <v>990</v>
      </c>
      <c r="E211" s="25" t="s">
        <v>264</v>
      </c>
      <c r="F211" s="42" t="s">
        <v>1432</v>
      </c>
      <c r="G211" s="25" t="str">
        <f t="shared" si="6"/>
        <v>LYRATRBNM</v>
      </c>
      <c r="H211" s="42" t="str">
        <f t="shared" si="7"/>
        <v>1~300</v>
      </c>
      <c r="I211" s="42" t="s">
        <v>2122</v>
      </c>
      <c r="J211" s="42" t="s">
        <v>2124</v>
      </c>
      <c r="K211" s="40" t="s">
        <v>2123</v>
      </c>
    </row>
    <row r="212" spans="1:11" ht="17.25">
      <c r="A212" s="28">
        <v>208</v>
      </c>
      <c r="B212" s="25" t="s">
        <v>265</v>
      </c>
      <c r="C212" s="25" t="s">
        <v>2107</v>
      </c>
      <c r="D212" s="25" t="s">
        <v>991</v>
      </c>
      <c r="E212" s="25" t="s">
        <v>265</v>
      </c>
      <c r="F212" s="42" t="s">
        <v>1433</v>
      </c>
      <c r="G212" s="25" t="str">
        <f t="shared" si="6"/>
        <v>LYRATRBID</v>
      </c>
      <c r="H212" s="42" t="str">
        <f t="shared" si="7"/>
        <v>1~20</v>
      </c>
      <c r="I212" s="42" t="s">
        <v>2122</v>
      </c>
      <c r="J212" s="42" t="s">
        <v>2124</v>
      </c>
      <c r="K212" s="40" t="s">
        <v>2123</v>
      </c>
    </row>
    <row r="213" spans="1:11" ht="17.25">
      <c r="A213" s="28">
        <v>209</v>
      </c>
      <c r="B213" s="25" t="s">
        <v>266</v>
      </c>
      <c r="C213" s="25" t="s">
        <v>2108</v>
      </c>
      <c r="D213" s="25" t="s">
        <v>992</v>
      </c>
      <c r="E213" s="25" t="s">
        <v>266</v>
      </c>
      <c r="F213" s="42" t="s">
        <v>1443</v>
      </c>
      <c r="G213" s="25" t="str">
        <f t="shared" si="6"/>
        <v>LYRSTLYCN</v>
      </c>
      <c r="H213" s="42" t="str">
        <f t="shared" si="7"/>
        <v>1~4000</v>
      </c>
      <c r="I213" s="42" t="s">
        <v>2122</v>
      </c>
      <c r="J213" s="42" t="s">
        <v>2124</v>
      </c>
      <c r="K213" s="40" t="s">
        <v>2123</v>
      </c>
    </row>
    <row r="214" spans="1:11" ht="17.25">
      <c r="A214" s="28">
        <v>210</v>
      </c>
      <c r="B214" s="25" t="s">
        <v>267</v>
      </c>
      <c r="C214" s="25" t="s">
        <v>2109</v>
      </c>
      <c r="D214" s="25" t="s">
        <v>993</v>
      </c>
      <c r="E214" s="25" t="s">
        <v>267</v>
      </c>
      <c r="F214" s="42" t="s">
        <v>1433</v>
      </c>
      <c r="G214" s="25" t="str">
        <f t="shared" si="6"/>
        <v>LYRIDNTID</v>
      </c>
      <c r="H214" s="42" t="str">
        <f t="shared" si="7"/>
        <v>1~20</v>
      </c>
      <c r="I214" s="42" t="s">
        <v>2122</v>
      </c>
      <c r="J214" s="42" t="s">
        <v>2124</v>
      </c>
      <c r="K214" s="40" t="s">
        <v>2123</v>
      </c>
    </row>
    <row r="215" spans="1:11" ht="17.25">
      <c r="A215" s="28">
        <v>211</v>
      </c>
      <c r="B215" s="25" t="s">
        <v>268</v>
      </c>
      <c r="C215" s="25" t="s">
        <v>2110</v>
      </c>
      <c r="D215" s="25" t="s">
        <v>994</v>
      </c>
      <c r="E215" s="25" t="s">
        <v>268</v>
      </c>
      <c r="F215" s="42" t="s">
        <v>1433</v>
      </c>
      <c r="G215" s="25" t="str">
        <f t="shared" si="6"/>
        <v>LYRID</v>
      </c>
      <c r="H215" s="42" t="str">
        <f t="shared" si="7"/>
        <v>1~20</v>
      </c>
      <c r="I215" s="42" t="s">
        <v>2122</v>
      </c>
      <c r="J215" s="42" t="s">
        <v>2124</v>
      </c>
      <c r="K215" s="40" t="s">
        <v>2123</v>
      </c>
    </row>
    <row r="216" spans="1:11" ht="17.25">
      <c r="A216" s="28">
        <v>212</v>
      </c>
      <c r="B216" s="25" t="s">
        <v>269</v>
      </c>
      <c r="C216" s="25" t="s">
        <v>2111</v>
      </c>
      <c r="D216" s="25" t="s">
        <v>995</v>
      </c>
      <c r="E216" s="25" t="s">
        <v>269</v>
      </c>
      <c r="F216" s="42" t="s">
        <v>1447</v>
      </c>
      <c r="G216" s="25" t="str">
        <f t="shared" si="6"/>
        <v>LYRNTCNSTTSVL</v>
      </c>
      <c r="H216" s="42" t="str">
        <f t="shared" si="7"/>
        <v>1~10</v>
      </c>
      <c r="I216" s="42" t="s">
        <v>2122</v>
      </c>
      <c r="J216" s="42" t="s">
        <v>2124</v>
      </c>
      <c r="K216" s="40" t="s">
        <v>2123</v>
      </c>
    </row>
    <row r="217" spans="1:11" ht="17.25">
      <c r="A217" s="28">
        <v>213</v>
      </c>
      <c r="B217" s="25" t="s">
        <v>270</v>
      </c>
      <c r="C217" s="25" t="s">
        <v>2112</v>
      </c>
      <c r="D217" s="25" t="s">
        <v>996</v>
      </c>
      <c r="E217" s="25" t="s">
        <v>270</v>
      </c>
      <c r="F217" s="42" t="s">
        <v>1461</v>
      </c>
      <c r="G217" s="25" t="str">
        <f t="shared" si="6"/>
        <v>LYRNTCNTM</v>
      </c>
      <c r="H217" s="42" t="str">
        <f t="shared" si="7"/>
        <v>1~6</v>
      </c>
      <c r="I217" s="42" t="s">
        <v>2122</v>
      </c>
      <c r="J217" s="42" t="s">
        <v>2124</v>
      </c>
      <c r="K217" s="40" t="s">
        <v>2123</v>
      </c>
    </row>
    <row r="218" spans="1:11" ht="17.25">
      <c r="A218" s="28">
        <v>214</v>
      </c>
      <c r="B218" s="25" t="s">
        <v>271</v>
      </c>
      <c r="C218" s="25" t="s">
        <v>2113</v>
      </c>
      <c r="D218" s="25" t="s">
        <v>997</v>
      </c>
      <c r="E218" s="25" t="s">
        <v>271</v>
      </c>
      <c r="F218" s="42" t="s">
        <v>1449</v>
      </c>
      <c r="G218" s="25" t="str">
        <f t="shared" si="6"/>
        <v>LYRNTCNERACNT</v>
      </c>
      <c r="H218" s="42" t="str">
        <f t="shared" si="7"/>
        <v>1~10</v>
      </c>
      <c r="I218" s="42" t="s">
        <v>2122</v>
      </c>
      <c r="J218" s="42" t="s">
        <v>2124</v>
      </c>
      <c r="K218" s="40" t="s">
        <v>2123</v>
      </c>
    </row>
    <row r="219" spans="1:11" ht="17.25">
      <c r="A219" s="28">
        <v>215</v>
      </c>
      <c r="B219" s="25" t="s">
        <v>272</v>
      </c>
      <c r="C219" s="25" t="s">
        <v>2114</v>
      </c>
      <c r="D219" s="25" t="s">
        <v>998</v>
      </c>
      <c r="E219" s="25" t="s">
        <v>272</v>
      </c>
      <c r="F219" s="42" t="s">
        <v>1435</v>
      </c>
      <c r="G219" s="25" t="str">
        <f t="shared" si="6"/>
        <v>LYRTYPEVL</v>
      </c>
      <c r="H219" s="42" t="str">
        <f t="shared" si="7"/>
        <v>1~100</v>
      </c>
      <c r="I219" s="42" t="s">
        <v>2122</v>
      </c>
      <c r="J219" s="42" t="s">
        <v>2124</v>
      </c>
      <c r="K219" s="40" t="s">
        <v>2123</v>
      </c>
    </row>
    <row r="220" spans="1:11" ht="17.25">
      <c r="A220" s="28">
        <v>216</v>
      </c>
      <c r="B220" s="25" t="s">
        <v>273</v>
      </c>
      <c r="C220" s="25" t="s">
        <v>2115</v>
      </c>
      <c r="D220" s="25" t="s">
        <v>999</v>
      </c>
      <c r="E220" s="25" t="s">
        <v>273</v>
      </c>
      <c r="F220" s="42" t="s">
        <v>1447</v>
      </c>
      <c r="G220" s="25" t="str">
        <f t="shared" si="6"/>
        <v>LYRTYPESEVL</v>
      </c>
      <c r="H220" s="42" t="str">
        <f t="shared" si="7"/>
        <v>1~10</v>
      </c>
      <c r="I220" s="42" t="s">
        <v>2122</v>
      </c>
      <c r="J220" s="42" t="s">
        <v>2124</v>
      </c>
      <c r="K220" s="40" t="s">
        <v>2123</v>
      </c>
    </row>
    <row r="221" spans="1:11" ht="17.25">
      <c r="A221" s="28">
        <v>217</v>
      </c>
      <c r="B221" s="25" t="s">
        <v>274</v>
      </c>
      <c r="C221" s="25" t="s">
        <v>2116</v>
      </c>
      <c r="D221" s="25" t="s">
        <v>1000</v>
      </c>
      <c r="E221" s="25" t="s">
        <v>274</v>
      </c>
      <c r="F221" s="42" t="s">
        <v>1462</v>
      </c>
      <c r="G221" s="25" t="str">
        <f t="shared" si="6"/>
        <v>LYRTYPESECD</v>
      </c>
      <c r="H221" s="42" t="str">
        <f t="shared" si="7"/>
        <v>1~1</v>
      </c>
      <c r="I221" s="42" t="s">
        <v>2122</v>
      </c>
      <c r="J221" s="42" t="s">
        <v>2124</v>
      </c>
      <c r="K221" s="40" t="s">
        <v>2123</v>
      </c>
    </row>
    <row r="222" spans="1:11" ht="17.25">
      <c r="A222" s="28">
        <v>218</v>
      </c>
      <c r="B222" s="25" t="s">
        <v>275</v>
      </c>
      <c r="C222" s="25" t="s">
        <v>2117</v>
      </c>
      <c r="D222" s="25" t="s">
        <v>1001</v>
      </c>
      <c r="E222" s="25" t="s">
        <v>275</v>
      </c>
      <c r="F222" s="42" t="s">
        <v>1447</v>
      </c>
      <c r="G222" s="25" t="str">
        <f t="shared" si="6"/>
        <v>LGNBTNCOLRVL</v>
      </c>
      <c r="H222" s="42" t="str">
        <f t="shared" si="7"/>
        <v>1~10</v>
      </c>
      <c r="I222" s="42" t="s">
        <v>2122</v>
      </c>
      <c r="J222" s="42" t="s">
        <v>2124</v>
      </c>
      <c r="K222" s="40" t="s">
        <v>2123</v>
      </c>
    </row>
    <row r="223" spans="1:11" ht="17.25">
      <c r="A223" s="28">
        <v>219</v>
      </c>
      <c r="B223" s="25" t="s">
        <v>276</v>
      </c>
      <c r="C223" s="25" t="s">
        <v>2118</v>
      </c>
      <c r="D223" s="25" t="s">
        <v>1002</v>
      </c>
      <c r="E223" s="25" t="s">
        <v>276</v>
      </c>
      <c r="F223" s="42" t="s">
        <v>1439</v>
      </c>
      <c r="G223" s="25" t="str">
        <f t="shared" si="6"/>
        <v>LNKURLR</v>
      </c>
      <c r="H223" s="42" t="str">
        <f t="shared" si="7"/>
        <v>1~1000</v>
      </c>
      <c r="I223" s="42" t="s">
        <v>2122</v>
      </c>
      <c r="J223" s="42" t="s">
        <v>2124</v>
      </c>
      <c r="K223" s="40" t="s">
        <v>2123</v>
      </c>
    </row>
    <row r="224" spans="1:11" ht="69">
      <c r="A224" s="28">
        <v>220</v>
      </c>
      <c r="B224" s="25" t="s">
        <v>277</v>
      </c>
      <c r="C224" s="25" t="s">
        <v>2119</v>
      </c>
      <c r="D224" s="25" t="s">
        <v>1003</v>
      </c>
      <c r="E224" s="25" t="s">
        <v>733</v>
      </c>
      <c r="F224" s="42" t="s">
        <v>1434</v>
      </c>
      <c r="G224" s="25" t="str">
        <f t="shared" si="6"/>
        <v>MPNGSN</v>
      </c>
      <c r="H224" s="42" t="str">
        <f t="shared" si="7"/>
        <v>1~22</v>
      </c>
      <c r="I224" s="42" t="s">
        <v>2122</v>
      </c>
      <c r="J224" s="42" t="s">
        <v>2124</v>
      </c>
      <c r="K224" s="40" t="s">
        <v>2123</v>
      </c>
    </row>
    <row r="225" spans="1:11" ht="17.25">
      <c r="A225" s="28">
        <v>221</v>
      </c>
      <c r="B225" s="25" t="s">
        <v>278</v>
      </c>
      <c r="C225" s="25" t="s">
        <v>1797</v>
      </c>
      <c r="D225" s="25" t="s">
        <v>1004</v>
      </c>
      <c r="E225" s="25" t="s">
        <v>278</v>
      </c>
      <c r="F225" s="42" t="s">
        <v>1439</v>
      </c>
      <c r="G225" s="25" t="str">
        <f t="shared" si="6"/>
        <v>MENUURLR</v>
      </c>
      <c r="H225" s="42" t="str">
        <f t="shared" si="7"/>
        <v>1~1000</v>
      </c>
      <c r="I225" s="42" t="s">
        <v>2122</v>
      </c>
      <c r="J225" s="42" t="s">
        <v>2124</v>
      </c>
      <c r="K225" s="40" t="s">
        <v>2123</v>
      </c>
    </row>
    <row r="226" spans="1:11" ht="17.25">
      <c r="A226" s="28">
        <v>222</v>
      </c>
      <c r="B226" s="25" t="s">
        <v>279</v>
      </c>
      <c r="C226" s="25" t="s">
        <v>1798</v>
      </c>
      <c r="D226" s="25" t="s">
        <v>1005</v>
      </c>
      <c r="E226" s="25" t="s">
        <v>279</v>
      </c>
      <c r="F226" s="42" t="s">
        <v>1443</v>
      </c>
      <c r="G226" s="25" t="str">
        <f t="shared" si="6"/>
        <v>MENUURLRPTRNCN</v>
      </c>
      <c r="H226" s="42" t="str">
        <f t="shared" si="7"/>
        <v>1~4000</v>
      </c>
      <c r="I226" s="42" t="s">
        <v>2122</v>
      </c>
      <c r="J226" s="42" t="s">
        <v>2124</v>
      </c>
      <c r="K226" s="40" t="s">
        <v>2123</v>
      </c>
    </row>
    <row r="227" spans="1:11" ht="17.25">
      <c r="A227" s="28">
        <v>223</v>
      </c>
      <c r="B227" s="25" t="s">
        <v>280</v>
      </c>
      <c r="C227" s="25" t="s">
        <v>1799</v>
      </c>
      <c r="D227" s="25" t="s">
        <v>1006</v>
      </c>
      <c r="E227" s="25" t="s">
        <v>280</v>
      </c>
      <c r="F227" s="42" t="s">
        <v>1441</v>
      </c>
      <c r="G227" s="25" t="str">
        <f t="shared" si="6"/>
        <v>MENUPATHTYPENO</v>
      </c>
      <c r="H227" s="42" t="str">
        <f t="shared" si="7"/>
        <v>1~100</v>
      </c>
      <c r="I227" s="42" t="s">
        <v>2122</v>
      </c>
      <c r="J227" s="42" t="s">
        <v>2124</v>
      </c>
      <c r="K227" s="40" t="s">
        <v>2123</v>
      </c>
    </row>
    <row r="228" spans="1:11" ht="51.75">
      <c r="A228" s="28">
        <v>224</v>
      </c>
      <c r="B228" s="25" t="s">
        <v>281</v>
      </c>
      <c r="C228" s="25" t="s">
        <v>1800</v>
      </c>
      <c r="D228" s="25" t="s">
        <v>1007</v>
      </c>
      <c r="E228" s="25" t="s">
        <v>734</v>
      </c>
      <c r="F228" s="42" t="s">
        <v>1457</v>
      </c>
      <c r="G228" s="25" t="str">
        <f t="shared" si="6"/>
        <v>MENUNM</v>
      </c>
      <c r="H228" s="42" t="str">
        <f t="shared" si="7"/>
        <v>1~100</v>
      </c>
      <c r="I228" s="42" t="s">
        <v>2122</v>
      </c>
      <c r="J228" s="42" t="s">
        <v>2124</v>
      </c>
      <c r="K228" s="40" t="s">
        <v>2123</v>
      </c>
    </row>
    <row r="229" spans="1:11" ht="17.25">
      <c r="A229" s="28">
        <v>225</v>
      </c>
      <c r="B229" s="25" t="s">
        <v>282</v>
      </c>
      <c r="C229" s="25" t="s">
        <v>1801</v>
      </c>
      <c r="D229" s="25" t="s">
        <v>1008</v>
      </c>
      <c r="E229" s="25" t="s">
        <v>282</v>
      </c>
      <c r="F229" s="42" t="s">
        <v>1447</v>
      </c>
      <c r="G229" s="25" t="str">
        <f t="shared" si="6"/>
        <v>MENUWORDSORTVL</v>
      </c>
      <c r="H229" s="42" t="str">
        <f t="shared" si="7"/>
        <v>1~10</v>
      </c>
      <c r="I229" s="42" t="s">
        <v>2122</v>
      </c>
      <c r="J229" s="42" t="s">
        <v>2124</v>
      </c>
      <c r="K229" s="40" t="s">
        <v>2123</v>
      </c>
    </row>
    <row r="230" spans="1:11" ht="17.25">
      <c r="A230" s="28">
        <v>226</v>
      </c>
      <c r="B230" s="25" t="s">
        <v>283</v>
      </c>
      <c r="C230" s="25" t="s">
        <v>1802</v>
      </c>
      <c r="D230" s="25" t="s">
        <v>1009</v>
      </c>
      <c r="E230" s="25" t="s">
        <v>283</v>
      </c>
      <c r="F230" s="42" t="s">
        <v>1447</v>
      </c>
      <c r="G230" s="25" t="str">
        <f t="shared" si="6"/>
        <v>MENUWORDFONTCOLRVL</v>
      </c>
      <c r="H230" s="42" t="str">
        <f t="shared" si="7"/>
        <v>1~10</v>
      </c>
      <c r="I230" s="42" t="s">
        <v>2122</v>
      </c>
      <c r="J230" s="42" t="s">
        <v>2124</v>
      </c>
      <c r="K230" s="40" t="s">
        <v>2123</v>
      </c>
    </row>
    <row r="231" spans="1:11" ht="17.25">
      <c r="A231" s="28">
        <v>227</v>
      </c>
      <c r="B231" s="25" t="s">
        <v>284</v>
      </c>
      <c r="C231" s="25" t="s">
        <v>1803</v>
      </c>
      <c r="D231" s="25" t="s">
        <v>1010</v>
      </c>
      <c r="E231" s="25" t="s">
        <v>284</v>
      </c>
      <c r="F231" s="42" t="s">
        <v>1463</v>
      </c>
      <c r="G231" s="25" t="str">
        <f t="shared" si="6"/>
        <v>MENUWORDFONTCNT</v>
      </c>
      <c r="H231" s="42" t="str">
        <f t="shared" si="7"/>
        <v>1~2</v>
      </c>
      <c r="I231" s="42" t="s">
        <v>2122</v>
      </c>
      <c r="J231" s="42" t="s">
        <v>2124</v>
      </c>
      <c r="K231" s="40" t="s">
        <v>2123</v>
      </c>
    </row>
    <row r="232" spans="1:11" ht="17.25">
      <c r="A232" s="28">
        <v>228</v>
      </c>
      <c r="B232" s="25" t="s">
        <v>285</v>
      </c>
      <c r="C232" s="25" t="s">
        <v>1804</v>
      </c>
      <c r="D232" s="25" t="s">
        <v>1011</v>
      </c>
      <c r="E232" s="25" t="s">
        <v>285</v>
      </c>
      <c r="F232" s="42" t="s">
        <v>1447</v>
      </c>
      <c r="G232" s="25" t="str">
        <f t="shared" si="6"/>
        <v>MENUBCRNCOLRVL</v>
      </c>
      <c r="H232" s="42" t="str">
        <f t="shared" si="7"/>
        <v>1~10</v>
      </c>
      <c r="I232" s="42" t="s">
        <v>2122</v>
      </c>
      <c r="J232" s="42" t="s">
        <v>2124</v>
      </c>
      <c r="K232" s="40" t="s">
        <v>2123</v>
      </c>
    </row>
    <row r="233" spans="1:11" ht="34.5">
      <c r="A233" s="28">
        <v>229</v>
      </c>
      <c r="B233" s="25" t="s">
        <v>286</v>
      </c>
      <c r="C233" s="25" t="s">
        <v>1805</v>
      </c>
      <c r="D233" s="25" t="s">
        <v>1012</v>
      </c>
      <c r="E233" s="25" t="s">
        <v>286</v>
      </c>
      <c r="F233" s="42" t="s">
        <v>1464</v>
      </c>
      <c r="G233" s="25" t="str">
        <f t="shared" si="6"/>
        <v>MENUBCRNCOLRCLRTYCNT</v>
      </c>
      <c r="H233" s="42" t="str">
        <f t="shared" si="7"/>
        <v>1~42</v>
      </c>
      <c r="I233" s="42" t="s">
        <v>2122</v>
      </c>
      <c r="J233" s="42" t="s">
        <v>2124</v>
      </c>
      <c r="K233" s="40" t="s">
        <v>2123</v>
      </c>
    </row>
    <row r="234" spans="1:11" ht="17.25">
      <c r="A234" s="28">
        <v>230</v>
      </c>
      <c r="B234" s="25" t="s">
        <v>287</v>
      </c>
      <c r="C234" s="25" t="s">
        <v>1806</v>
      </c>
      <c r="D234" s="25" t="s">
        <v>1013</v>
      </c>
      <c r="E234" s="25" t="s">
        <v>287</v>
      </c>
      <c r="F234" s="42" t="s">
        <v>1440</v>
      </c>
      <c r="G234" s="25" t="str">
        <f t="shared" si="6"/>
        <v>MENUBCRNYN</v>
      </c>
      <c r="H234" s="42" t="str">
        <f t="shared" si="7"/>
        <v>1~1</v>
      </c>
      <c r="I234" s="42" t="s">
        <v>2122</v>
      </c>
      <c r="J234" s="42" t="s">
        <v>2124</v>
      </c>
      <c r="K234" s="40" t="s">
        <v>2123</v>
      </c>
    </row>
    <row r="235" spans="1:11" ht="17.25">
      <c r="A235" s="28">
        <v>231</v>
      </c>
      <c r="B235" s="25" t="s">
        <v>288</v>
      </c>
      <c r="C235" s="25" t="s">
        <v>1807</v>
      </c>
      <c r="D235" s="25" t="s">
        <v>1014</v>
      </c>
      <c r="E235" s="25" t="s">
        <v>288</v>
      </c>
      <c r="F235" s="42" t="s">
        <v>1433</v>
      </c>
      <c r="G235" s="25" t="str">
        <f t="shared" si="6"/>
        <v>MENUBCRNFILEID</v>
      </c>
      <c r="H235" s="42" t="str">
        <f t="shared" si="7"/>
        <v>1~20</v>
      </c>
      <c r="I235" s="42" t="s">
        <v>2122</v>
      </c>
      <c r="J235" s="42" t="s">
        <v>2124</v>
      </c>
      <c r="K235" s="40" t="s">
        <v>2123</v>
      </c>
    </row>
    <row r="236" spans="1:11" ht="17.25">
      <c r="A236" s="28">
        <v>232</v>
      </c>
      <c r="B236" s="25" t="s">
        <v>289</v>
      </c>
      <c r="C236" s="25" t="s">
        <v>1808</v>
      </c>
      <c r="D236" s="25" t="s">
        <v>1015</v>
      </c>
      <c r="E236" s="25" t="s">
        <v>289</v>
      </c>
      <c r="F236" s="42" t="s">
        <v>1440</v>
      </c>
      <c r="G236" s="25" t="str">
        <f t="shared" si="6"/>
        <v>MENUNPAGYN</v>
      </c>
      <c r="H236" s="42" t="str">
        <f t="shared" si="7"/>
        <v>1~1</v>
      </c>
      <c r="I236" s="42" t="s">
        <v>2122</v>
      </c>
      <c r="J236" s="42" t="s">
        <v>2124</v>
      </c>
      <c r="K236" s="40" t="s">
        <v>2123</v>
      </c>
    </row>
    <row r="237" spans="1:11" ht="17.25">
      <c r="A237" s="28">
        <v>233</v>
      </c>
      <c r="B237" s="25" t="s">
        <v>290</v>
      </c>
      <c r="C237" s="25" t="s">
        <v>1809</v>
      </c>
      <c r="D237" s="25" t="s">
        <v>1016</v>
      </c>
      <c r="E237" s="25" t="s">
        <v>290</v>
      </c>
      <c r="F237" s="42" t="s">
        <v>1433</v>
      </c>
      <c r="G237" s="25" t="str">
        <f t="shared" si="6"/>
        <v>MENUID</v>
      </c>
      <c r="H237" s="42" t="str">
        <f t="shared" si="7"/>
        <v>1~20</v>
      </c>
      <c r="I237" s="42" t="s">
        <v>2122</v>
      </c>
      <c r="J237" s="42" t="s">
        <v>2124</v>
      </c>
      <c r="K237" s="40" t="s">
        <v>2123</v>
      </c>
    </row>
    <row r="238" spans="1:11" ht="17.25">
      <c r="A238" s="28">
        <v>234</v>
      </c>
      <c r="B238" s="25" t="s">
        <v>291</v>
      </c>
      <c r="C238" s="25" t="s">
        <v>1810</v>
      </c>
      <c r="D238" s="25" t="s">
        <v>1017</v>
      </c>
      <c r="E238" s="25" t="s">
        <v>291</v>
      </c>
      <c r="F238" s="42" t="s">
        <v>1432</v>
      </c>
      <c r="G238" s="25" t="str">
        <f t="shared" si="6"/>
        <v>MENUICONNM</v>
      </c>
      <c r="H238" s="42" t="str">
        <f t="shared" si="7"/>
        <v>1~300</v>
      </c>
      <c r="I238" s="42" t="s">
        <v>2122</v>
      </c>
      <c r="J238" s="42" t="s">
        <v>2124</v>
      </c>
      <c r="K238" s="40" t="s">
        <v>2123</v>
      </c>
    </row>
    <row r="239" spans="1:11" ht="17.25">
      <c r="A239" s="28">
        <v>235</v>
      </c>
      <c r="B239" s="25" t="s">
        <v>292</v>
      </c>
      <c r="C239" s="25" t="s">
        <v>1811</v>
      </c>
      <c r="D239" s="25" t="s">
        <v>1018</v>
      </c>
      <c r="E239" s="25" t="s">
        <v>292</v>
      </c>
      <c r="F239" s="42" t="s">
        <v>1447</v>
      </c>
      <c r="G239" s="25" t="str">
        <f t="shared" si="6"/>
        <v>MENUICONCOLRVL</v>
      </c>
      <c r="H239" s="42" t="str">
        <f t="shared" si="7"/>
        <v>1~10</v>
      </c>
      <c r="I239" s="42" t="s">
        <v>2122</v>
      </c>
      <c r="J239" s="42" t="s">
        <v>2124</v>
      </c>
      <c r="K239" s="40" t="s">
        <v>2123</v>
      </c>
    </row>
    <row r="240" spans="1:11" ht="17.25">
      <c r="A240" s="28">
        <v>236</v>
      </c>
      <c r="B240" s="25" t="s">
        <v>293</v>
      </c>
      <c r="C240" s="25" t="s">
        <v>1812</v>
      </c>
      <c r="D240" s="25" t="s">
        <v>1019</v>
      </c>
      <c r="E240" s="25" t="s">
        <v>293</v>
      </c>
      <c r="F240" s="42" t="s">
        <v>1440</v>
      </c>
      <c r="G240" s="25" t="str">
        <f t="shared" si="6"/>
        <v>MENUICONYN</v>
      </c>
      <c r="H240" s="42" t="str">
        <f t="shared" si="7"/>
        <v>1~1</v>
      </c>
      <c r="I240" s="42" t="s">
        <v>2122</v>
      </c>
      <c r="J240" s="42" t="s">
        <v>2124</v>
      </c>
      <c r="K240" s="40" t="s">
        <v>2123</v>
      </c>
    </row>
    <row r="241" spans="1:11" ht="17.25">
      <c r="A241" s="28">
        <v>237</v>
      </c>
      <c r="B241" s="25" t="s">
        <v>294</v>
      </c>
      <c r="C241" s="25" t="s">
        <v>1813</v>
      </c>
      <c r="D241" s="25" t="s">
        <v>1020</v>
      </c>
      <c r="E241" s="25" t="s">
        <v>294</v>
      </c>
      <c r="F241" s="42" t="s">
        <v>1433</v>
      </c>
      <c r="G241" s="25" t="str">
        <f t="shared" si="6"/>
        <v>MENUICONFILEID</v>
      </c>
      <c r="H241" s="42" t="str">
        <f t="shared" si="7"/>
        <v>1~20</v>
      </c>
      <c r="I241" s="42" t="s">
        <v>2122</v>
      </c>
      <c r="J241" s="42" t="s">
        <v>2124</v>
      </c>
      <c r="K241" s="40" t="s">
        <v>2123</v>
      </c>
    </row>
    <row r="242" spans="1:11" ht="17.25">
      <c r="A242" s="28">
        <v>238</v>
      </c>
      <c r="B242" s="25" t="s">
        <v>295</v>
      </c>
      <c r="C242" s="25" t="s">
        <v>1814</v>
      </c>
      <c r="D242" s="25" t="s">
        <v>1021</v>
      </c>
      <c r="E242" s="25" t="s">
        <v>295</v>
      </c>
      <c r="F242" s="42" t="s">
        <v>1440</v>
      </c>
      <c r="G242" s="25" t="str">
        <f t="shared" si="6"/>
        <v>MENUYN</v>
      </c>
      <c r="H242" s="42" t="str">
        <f t="shared" si="7"/>
        <v>1~1</v>
      </c>
      <c r="I242" s="42" t="s">
        <v>2122</v>
      </c>
      <c r="J242" s="42" t="s">
        <v>2124</v>
      </c>
      <c r="K242" s="40" t="s">
        <v>2123</v>
      </c>
    </row>
    <row r="243" spans="1:11" ht="34.5">
      <c r="A243" s="28">
        <v>239</v>
      </c>
      <c r="B243" s="25" t="s">
        <v>296</v>
      </c>
      <c r="C243" s="25" t="s">
        <v>1815</v>
      </c>
      <c r="D243" s="25" t="s">
        <v>1022</v>
      </c>
      <c r="E243" s="25" t="s">
        <v>735</v>
      </c>
      <c r="F243" s="42" t="s">
        <v>1457</v>
      </c>
      <c r="G243" s="25" t="str">
        <f t="shared" si="6"/>
        <v>MENUENGNM</v>
      </c>
      <c r="H243" s="42" t="str">
        <f t="shared" si="7"/>
        <v>1~100</v>
      </c>
      <c r="I243" s="42" t="s">
        <v>2122</v>
      </c>
      <c r="J243" s="42" t="s">
        <v>2124</v>
      </c>
      <c r="K243" s="40" t="s">
        <v>2123</v>
      </c>
    </row>
    <row r="244" spans="1:11" ht="17.25">
      <c r="A244" s="28">
        <v>240</v>
      </c>
      <c r="B244" s="25" t="s">
        <v>297</v>
      </c>
      <c r="C244" s="25" t="s">
        <v>1816</v>
      </c>
      <c r="D244" s="25" t="s">
        <v>1023</v>
      </c>
      <c r="E244" s="25" t="s">
        <v>297</v>
      </c>
      <c r="F244" s="42" t="s">
        <v>1447</v>
      </c>
      <c r="G244" s="25" t="str">
        <f t="shared" si="6"/>
        <v>MENUTYPEVL</v>
      </c>
      <c r="H244" s="42" t="str">
        <f t="shared" si="7"/>
        <v>1~10</v>
      </c>
      <c r="I244" s="42" t="s">
        <v>2122</v>
      </c>
      <c r="J244" s="42" t="s">
        <v>2124</v>
      </c>
      <c r="K244" s="40" t="s">
        <v>2123</v>
      </c>
    </row>
    <row r="245" spans="1:11" ht="51.75">
      <c r="A245" s="28">
        <v>241</v>
      </c>
      <c r="B245" s="25" t="s">
        <v>298</v>
      </c>
      <c r="C245" s="25" t="s">
        <v>1817</v>
      </c>
      <c r="D245" s="25" t="s">
        <v>1024</v>
      </c>
      <c r="E245" s="25" t="s">
        <v>736</v>
      </c>
      <c r="F245" s="42" t="s">
        <v>1434</v>
      </c>
      <c r="G245" s="25" t="str">
        <f t="shared" si="6"/>
        <v>MENUSN</v>
      </c>
      <c r="H245" s="42" t="str">
        <f t="shared" si="7"/>
        <v>1~22</v>
      </c>
      <c r="I245" s="42" t="s">
        <v>2122</v>
      </c>
      <c r="J245" s="42" t="s">
        <v>2124</v>
      </c>
      <c r="K245" s="40" t="s">
        <v>2123</v>
      </c>
    </row>
    <row r="246" spans="1:11" ht="17.25">
      <c r="A246" s="28">
        <v>242</v>
      </c>
      <c r="B246" s="25" t="s">
        <v>299</v>
      </c>
      <c r="C246" s="25" t="s">
        <v>1818</v>
      </c>
      <c r="D246" s="25" t="s">
        <v>1025</v>
      </c>
      <c r="E246" s="25" t="s">
        <v>299</v>
      </c>
      <c r="F246" s="42" t="s">
        <v>1460</v>
      </c>
      <c r="G246" s="25" t="str">
        <f t="shared" si="6"/>
        <v>MENUINFOEXPLN</v>
      </c>
      <c r="H246" s="42" t="str">
        <f t="shared" si="7"/>
        <v>1~1000</v>
      </c>
      <c r="I246" s="42" t="s">
        <v>2122</v>
      </c>
      <c r="J246" s="42" t="s">
        <v>2124</v>
      </c>
      <c r="K246" s="40" t="s">
        <v>2123</v>
      </c>
    </row>
    <row r="247" spans="1:11" ht="17.25">
      <c r="A247" s="28">
        <v>243</v>
      </c>
      <c r="B247" s="25" t="s">
        <v>300</v>
      </c>
      <c r="C247" s="25" t="s">
        <v>1819</v>
      </c>
      <c r="D247" s="25" t="s">
        <v>1026</v>
      </c>
      <c r="E247" s="25" t="s">
        <v>300</v>
      </c>
      <c r="F247" s="42" t="s">
        <v>1447</v>
      </c>
      <c r="G247" s="25" t="str">
        <f t="shared" si="6"/>
        <v>MENUFONTMPHSCOLRVL</v>
      </c>
      <c r="H247" s="42" t="str">
        <f t="shared" si="7"/>
        <v>1~10</v>
      </c>
      <c r="I247" s="42" t="s">
        <v>2122</v>
      </c>
      <c r="J247" s="42" t="s">
        <v>2124</v>
      </c>
      <c r="K247" s="40" t="s">
        <v>2123</v>
      </c>
    </row>
    <row r="248" spans="1:11" ht="17.25">
      <c r="A248" s="28">
        <v>244</v>
      </c>
      <c r="B248" s="25" t="s">
        <v>301</v>
      </c>
      <c r="C248" s="25" t="s">
        <v>1820</v>
      </c>
      <c r="D248" s="25" t="s">
        <v>1027</v>
      </c>
      <c r="E248" s="25" t="s">
        <v>301</v>
      </c>
      <c r="F248" s="42" t="s">
        <v>1447</v>
      </c>
      <c r="G248" s="25" t="str">
        <f t="shared" si="6"/>
        <v>MENUFONTCOLRVL</v>
      </c>
      <c r="H248" s="42" t="str">
        <f t="shared" si="7"/>
        <v>1~10</v>
      </c>
      <c r="I248" s="42" t="s">
        <v>2122</v>
      </c>
      <c r="J248" s="42" t="s">
        <v>2124</v>
      </c>
      <c r="K248" s="40" t="s">
        <v>2123</v>
      </c>
    </row>
    <row r="249" spans="1:11" ht="17.25">
      <c r="A249" s="28">
        <v>245</v>
      </c>
      <c r="B249" s="25" t="s">
        <v>302</v>
      </c>
      <c r="C249" s="25" t="s">
        <v>1821</v>
      </c>
      <c r="D249" s="25" t="s">
        <v>1028</v>
      </c>
      <c r="E249" s="25" t="s">
        <v>737</v>
      </c>
      <c r="F249" s="42" t="s">
        <v>1455</v>
      </c>
      <c r="G249" s="25" t="str">
        <f t="shared" si="6"/>
        <v>MDLSZRT</v>
      </c>
      <c r="H249" s="42" t="str">
        <f t="shared" si="7"/>
        <v>1~52</v>
      </c>
      <c r="I249" s="42" t="s">
        <v>2122</v>
      </c>
      <c r="J249" s="42" t="s">
        <v>2124</v>
      </c>
      <c r="K249" s="40" t="s">
        <v>2123</v>
      </c>
    </row>
    <row r="250" spans="1:11" ht="34.5">
      <c r="A250" s="28">
        <v>246</v>
      </c>
      <c r="B250" s="25" t="s">
        <v>303</v>
      </c>
      <c r="C250" s="25" t="s">
        <v>1822</v>
      </c>
      <c r="D250" s="25" t="s">
        <v>1029</v>
      </c>
      <c r="E250" s="25" t="s">
        <v>738</v>
      </c>
      <c r="F250" s="42" t="s">
        <v>1440</v>
      </c>
      <c r="G250" s="25" t="str">
        <f t="shared" si="6"/>
        <v>LTRMSGRCPTNYN</v>
      </c>
      <c r="H250" s="42" t="str">
        <f t="shared" si="7"/>
        <v>1~1</v>
      </c>
      <c r="I250" s="42" t="s">
        <v>2122</v>
      </c>
      <c r="J250" s="42" t="s">
        <v>2124</v>
      </c>
      <c r="K250" s="40" t="s">
        <v>2123</v>
      </c>
    </row>
    <row r="251" spans="1:11" ht="17.25">
      <c r="A251" s="28">
        <v>247</v>
      </c>
      <c r="B251" s="25" t="s">
        <v>304</v>
      </c>
      <c r="C251" s="25" t="s">
        <v>1823</v>
      </c>
      <c r="D251" s="25" t="s">
        <v>1030</v>
      </c>
      <c r="E251" s="25" t="s">
        <v>304</v>
      </c>
      <c r="F251" s="42" t="s">
        <v>1433</v>
      </c>
      <c r="G251" s="25" t="str">
        <f t="shared" si="6"/>
        <v>FSRTMENUID</v>
      </c>
      <c r="H251" s="42" t="str">
        <f t="shared" si="7"/>
        <v>1~20</v>
      </c>
      <c r="I251" s="42" t="s">
        <v>2122</v>
      </c>
      <c r="J251" s="42" t="s">
        <v>2124</v>
      </c>
      <c r="K251" s="40" t="s">
        <v>2123</v>
      </c>
    </row>
    <row r="252" spans="1:11" ht="17.25">
      <c r="A252" s="28">
        <v>248</v>
      </c>
      <c r="B252" s="25" t="s">
        <v>305</v>
      </c>
      <c r="C252" s="25" t="s">
        <v>1824</v>
      </c>
      <c r="D252" s="25" t="s">
        <v>1031</v>
      </c>
      <c r="E252" s="25" t="s">
        <v>305</v>
      </c>
      <c r="F252" s="42" t="s">
        <v>1447</v>
      </c>
      <c r="G252" s="25" t="str">
        <f t="shared" si="6"/>
        <v>FSRTWORDSORTVL</v>
      </c>
      <c r="H252" s="42" t="str">
        <f t="shared" si="7"/>
        <v>1~10</v>
      </c>
      <c r="I252" s="42" t="s">
        <v>2122</v>
      </c>
      <c r="J252" s="42" t="s">
        <v>2124</v>
      </c>
      <c r="K252" s="40" t="s">
        <v>2123</v>
      </c>
    </row>
    <row r="253" spans="1:11" ht="17.25">
      <c r="A253" s="28">
        <v>249</v>
      </c>
      <c r="B253" s="25" t="s">
        <v>306</v>
      </c>
      <c r="C253" s="25" t="s">
        <v>1825</v>
      </c>
      <c r="D253" s="25" t="s">
        <v>1032</v>
      </c>
      <c r="E253" s="25" t="s">
        <v>306</v>
      </c>
      <c r="F253" s="42" t="s">
        <v>1447</v>
      </c>
      <c r="G253" s="25" t="str">
        <f t="shared" si="6"/>
        <v>FSRTWORDFONTCOLRVL</v>
      </c>
      <c r="H253" s="42" t="str">
        <f t="shared" si="7"/>
        <v>1~10</v>
      </c>
      <c r="I253" s="42" t="s">
        <v>2122</v>
      </c>
      <c r="J253" s="42" t="s">
        <v>2124</v>
      </c>
      <c r="K253" s="40" t="s">
        <v>2123</v>
      </c>
    </row>
    <row r="254" spans="1:11" ht="17.25">
      <c r="A254" s="28">
        <v>250</v>
      </c>
      <c r="B254" s="25" t="s">
        <v>307</v>
      </c>
      <c r="C254" s="25" t="s">
        <v>1826</v>
      </c>
      <c r="D254" s="25" t="s">
        <v>1033</v>
      </c>
      <c r="E254" s="25" t="s">
        <v>307</v>
      </c>
      <c r="F254" s="42" t="s">
        <v>1463</v>
      </c>
      <c r="G254" s="25" t="str">
        <f t="shared" si="6"/>
        <v>FSRTWORDFONTCNT</v>
      </c>
      <c r="H254" s="42" t="str">
        <f t="shared" si="7"/>
        <v>1~2</v>
      </c>
      <c r="I254" s="42" t="s">
        <v>2122</v>
      </c>
      <c r="J254" s="42" t="s">
        <v>2124</v>
      </c>
      <c r="K254" s="40" t="s">
        <v>2123</v>
      </c>
    </row>
    <row r="255" spans="1:11" ht="17.25">
      <c r="A255" s="28">
        <v>251</v>
      </c>
      <c r="B255" s="25" t="s">
        <v>308</v>
      </c>
      <c r="C255" s="25" t="s">
        <v>1827</v>
      </c>
      <c r="D255" s="25" t="s">
        <v>1034</v>
      </c>
      <c r="E255" s="25" t="s">
        <v>308</v>
      </c>
      <c r="F255" s="42" t="s">
        <v>1447</v>
      </c>
      <c r="G255" s="25" t="str">
        <f t="shared" si="6"/>
        <v>FSRTBCRNCOLRVL</v>
      </c>
      <c r="H255" s="42" t="str">
        <f t="shared" si="7"/>
        <v>1~10</v>
      </c>
      <c r="I255" s="42" t="s">
        <v>2122</v>
      </c>
      <c r="J255" s="42" t="s">
        <v>2124</v>
      </c>
      <c r="K255" s="40" t="s">
        <v>2123</v>
      </c>
    </row>
    <row r="256" spans="1:11" ht="34.5">
      <c r="A256" s="28">
        <v>252</v>
      </c>
      <c r="B256" s="25" t="s">
        <v>309</v>
      </c>
      <c r="C256" s="25" t="s">
        <v>1828</v>
      </c>
      <c r="D256" s="25" t="s">
        <v>1035</v>
      </c>
      <c r="E256" s="25" t="s">
        <v>309</v>
      </c>
      <c r="F256" s="42" t="s">
        <v>1464</v>
      </c>
      <c r="G256" s="25" t="str">
        <f t="shared" si="6"/>
        <v>FSRTBCRNCOLRCLRTYCNT</v>
      </c>
      <c r="H256" s="42" t="str">
        <f t="shared" si="7"/>
        <v>1~42</v>
      </c>
      <c r="I256" s="42" t="s">
        <v>2122</v>
      </c>
      <c r="J256" s="42" t="s">
        <v>2124</v>
      </c>
      <c r="K256" s="40" t="s">
        <v>2123</v>
      </c>
    </row>
    <row r="257" spans="1:11" ht="17.25">
      <c r="A257" s="28">
        <v>253</v>
      </c>
      <c r="B257" s="25" t="s">
        <v>310</v>
      </c>
      <c r="C257" s="25" t="s">
        <v>1829</v>
      </c>
      <c r="D257" s="25" t="s">
        <v>1036</v>
      </c>
      <c r="E257" s="25" t="s">
        <v>310</v>
      </c>
      <c r="F257" s="42" t="s">
        <v>1440</v>
      </c>
      <c r="G257" s="25" t="str">
        <f t="shared" si="6"/>
        <v>FSRTBCRNYN</v>
      </c>
      <c r="H257" s="42" t="str">
        <f t="shared" si="7"/>
        <v>1~1</v>
      </c>
      <c r="I257" s="42" t="s">
        <v>2122</v>
      </c>
      <c r="J257" s="42" t="s">
        <v>2124</v>
      </c>
      <c r="K257" s="40" t="s">
        <v>2123</v>
      </c>
    </row>
    <row r="258" spans="1:11" ht="17.25">
      <c r="A258" s="28">
        <v>254</v>
      </c>
      <c r="B258" s="25" t="s">
        <v>311</v>
      </c>
      <c r="C258" s="25" t="s">
        <v>1830</v>
      </c>
      <c r="D258" s="25" t="s">
        <v>1037</v>
      </c>
      <c r="E258" s="25" t="s">
        <v>311</v>
      </c>
      <c r="F258" s="42" t="s">
        <v>1433</v>
      </c>
      <c r="G258" s="25" t="str">
        <f t="shared" si="6"/>
        <v>FSRTBCRNFILEID</v>
      </c>
      <c r="H258" s="42" t="str">
        <f t="shared" si="7"/>
        <v>1~20</v>
      </c>
      <c r="I258" s="42" t="s">
        <v>2122</v>
      </c>
      <c r="J258" s="42" t="s">
        <v>2124</v>
      </c>
      <c r="K258" s="40" t="s">
        <v>2123</v>
      </c>
    </row>
    <row r="259" spans="1:11" ht="17.25">
      <c r="A259" s="28">
        <v>255</v>
      </c>
      <c r="B259" s="25" t="s">
        <v>312</v>
      </c>
      <c r="C259" s="25" t="s">
        <v>1831</v>
      </c>
      <c r="D259" s="25" t="s">
        <v>1038</v>
      </c>
      <c r="E259" s="25" t="s">
        <v>312</v>
      </c>
      <c r="F259" s="42" t="s">
        <v>1447</v>
      </c>
      <c r="G259" s="25" t="str">
        <f t="shared" si="6"/>
        <v>FSRTBTNCOLRVL</v>
      </c>
      <c r="H259" s="42" t="str">
        <f t="shared" si="7"/>
        <v>1~10</v>
      </c>
      <c r="I259" s="42" t="s">
        <v>2122</v>
      </c>
      <c r="J259" s="42" t="s">
        <v>2124</v>
      </c>
      <c r="K259" s="40" t="s">
        <v>2123</v>
      </c>
    </row>
    <row r="260" spans="1:11" ht="17.25">
      <c r="A260" s="28">
        <v>256</v>
      </c>
      <c r="B260" s="25" t="s">
        <v>313</v>
      </c>
      <c r="C260" s="25" t="s">
        <v>1832</v>
      </c>
      <c r="D260" s="25" t="s">
        <v>1039</v>
      </c>
      <c r="E260" s="25" t="s">
        <v>313</v>
      </c>
      <c r="F260" s="42" t="s">
        <v>1433</v>
      </c>
      <c r="G260" s="25" t="str">
        <f t="shared" si="6"/>
        <v>FSRTBTNID</v>
      </c>
      <c r="H260" s="42" t="str">
        <f t="shared" si="7"/>
        <v>1~20</v>
      </c>
      <c r="I260" s="42" t="s">
        <v>2122</v>
      </c>
      <c r="J260" s="42" t="s">
        <v>2124</v>
      </c>
      <c r="K260" s="40" t="s">
        <v>2123</v>
      </c>
    </row>
    <row r="261" spans="1:11" ht="34.5">
      <c r="A261" s="28">
        <v>257</v>
      </c>
      <c r="B261" s="25" t="s">
        <v>314</v>
      </c>
      <c r="C261" s="25" t="s">
        <v>1833</v>
      </c>
      <c r="D261" s="25" t="s">
        <v>1040</v>
      </c>
      <c r="E261" s="25" t="s">
        <v>314</v>
      </c>
      <c r="F261" s="42" t="s">
        <v>1447</v>
      </c>
      <c r="G261" s="25" t="str">
        <f t="shared" si="6"/>
        <v>FSRTBTNFONTMPHSCOLRVL</v>
      </c>
      <c r="H261" s="42" t="str">
        <f t="shared" si="7"/>
        <v>1~10</v>
      </c>
      <c r="I261" s="42" t="s">
        <v>2122</v>
      </c>
      <c r="J261" s="42" t="s">
        <v>2124</v>
      </c>
      <c r="K261" s="40" t="s">
        <v>2123</v>
      </c>
    </row>
    <row r="262" spans="1:11" ht="17.25">
      <c r="A262" s="28">
        <v>258</v>
      </c>
      <c r="B262" s="25" t="s">
        <v>315</v>
      </c>
      <c r="C262" s="25" t="s">
        <v>1834</v>
      </c>
      <c r="D262" s="25" t="s">
        <v>1041</v>
      </c>
      <c r="E262" s="25" t="s">
        <v>315</v>
      </c>
      <c r="F262" s="42" t="s">
        <v>1447</v>
      </c>
      <c r="G262" s="25" t="str">
        <f t="shared" ref="G262:G325" si="8">SUBSTITUTE(D262, "_", "")</f>
        <v>FSRTBTNFONTCOLRVL</v>
      </c>
      <c r="H262" s="42" t="str">
        <f t="shared" ref="H262:H325" si="9">CONCATENATE("1~", _xlfn.REGEXREPLACE(F262, "[^0-9]",""))</f>
        <v>1~10</v>
      </c>
      <c r="I262" s="42" t="s">
        <v>2122</v>
      </c>
      <c r="J262" s="42" t="s">
        <v>2124</v>
      </c>
      <c r="K262" s="40" t="s">
        <v>2123</v>
      </c>
    </row>
    <row r="263" spans="1:11" ht="17.25">
      <c r="A263" s="28">
        <v>259</v>
      </c>
      <c r="B263" s="25" t="s">
        <v>316</v>
      </c>
      <c r="C263" s="25" t="s">
        <v>1835</v>
      </c>
      <c r="D263" s="25" t="s">
        <v>1042</v>
      </c>
      <c r="E263" s="25" t="s">
        <v>316</v>
      </c>
      <c r="F263" s="42" t="s">
        <v>1447</v>
      </c>
      <c r="G263" s="25" t="str">
        <f t="shared" si="8"/>
        <v>FSRTFONTMPHSCOLRVL</v>
      </c>
      <c r="H263" s="42" t="str">
        <f t="shared" si="9"/>
        <v>1~10</v>
      </c>
      <c r="I263" s="42" t="s">
        <v>2122</v>
      </c>
      <c r="J263" s="42" t="s">
        <v>2124</v>
      </c>
      <c r="K263" s="40" t="s">
        <v>2123</v>
      </c>
    </row>
    <row r="264" spans="1:11" ht="17.25">
      <c r="A264" s="28">
        <v>260</v>
      </c>
      <c r="B264" s="25" t="s">
        <v>317</v>
      </c>
      <c r="C264" s="25" t="s">
        <v>1836</v>
      </c>
      <c r="D264" s="25" t="s">
        <v>1043</v>
      </c>
      <c r="E264" s="25" t="s">
        <v>317</v>
      </c>
      <c r="F264" s="42" t="s">
        <v>1447</v>
      </c>
      <c r="G264" s="25" t="str">
        <f t="shared" si="8"/>
        <v>FSRTFONTCOLRVL</v>
      </c>
      <c r="H264" s="42" t="str">
        <f t="shared" si="9"/>
        <v>1~10</v>
      </c>
      <c r="I264" s="42" t="s">
        <v>2122</v>
      </c>
      <c r="J264" s="42" t="s">
        <v>2124</v>
      </c>
      <c r="K264" s="40" t="s">
        <v>2123</v>
      </c>
    </row>
    <row r="265" spans="1:11" ht="34.5">
      <c r="A265" s="28">
        <v>261</v>
      </c>
      <c r="B265" s="25" t="s">
        <v>318</v>
      </c>
      <c r="C265" s="25" t="s">
        <v>1837</v>
      </c>
      <c r="D265" s="25" t="s">
        <v>1044</v>
      </c>
      <c r="E265" s="25" t="s">
        <v>739</v>
      </c>
      <c r="F265" s="42" t="s">
        <v>1443</v>
      </c>
      <c r="G265" s="25" t="str">
        <f t="shared" si="8"/>
        <v>RJCTRSN</v>
      </c>
      <c r="H265" s="42" t="str">
        <f t="shared" si="9"/>
        <v>1~4000</v>
      </c>
      <c r="I265" s="42" t="s">
        <v>2122</v>
      </c>
      <c r="J265" s="42" t="s">
        <v>2124</v>
      </c>
      <c r="K265" s="40" t="s">
        <v>2123</v>
      </c>
    </row>
    <row r="266" spans="1:11" ht="17.25">
      <c r="A266" s="28">
        <v>262</v>
      </c>
      <c r="B266" s="25" t="s">
        <v>319</v>
      </c>
      <c r="C266" s="25" t="s">
        <v>1838</v>
      </c>
      <c r="D266" s="25" t="s">
        <v>1045</v>
      </c>
      <c r="E266" s="25" t="s">
        <v>319</v>
      </c>
      <c r="F266" s="42" t="s">
        <v>1433</v>
      </c>
      <c r="G266" s="25" t="str">
        <f t="shared" si="8"/>
        <v>RJCTID</v>
      </c>
      <c r="H266" s="42" t="str">
        <f t="shared" si="9"/>
        <v>1~20</v>
      </c>
      <c r="I266" s="42" t="s">
        <v>2122</v>
      </c>
      <c r="J266" s="42" t="s">
        <v>2124</v>
      </c>
      <c r="K266" s="40" t="s">
        <v>2123</v>
      </c>
    </row>
    <row r="267" spans="1:11" ht="34.5">
      <c r="A267" s="28">
        <v>263</v>
      </c>
      <c r="B267" s="25" t="s">
        <v>320</v>
      </c>
      <c r="C267" s="25" t="s">
        <v>1839</v>
      </c>
      <c r="D267" s="25" t="s">
        <v>1046</v>
      </c>
      <c r="E267" s="25" t="s">
        <v>740</v>
      </c>
      <c r="F267" s="42" t="s">
        <v>1451</v>
      </c>
      <c r="G267" s="25" t="str">
        <f t="shared" si="8"/>
        <v>RJCTDT</v>
      </c>
      <c r="H267" s="42" t="str">
        <f t="shared" si="9"/>
        <v>1~</v>
      </c>
      <c r="I267" s="42" t="s">
        <v>2122</v>
      </c>
      <c r="J267" s="42" t="s">
        <v>2124</v>
      </c>
      <c r="K267" s="40" t="s">
        <v>2123</v>
      </c>
    </row>
    <row r="268" spans="1:11" ht="17.25">
      <c r="A268" s="28">
        <v>264</v>
      </c>
      <c r="B268" s="25" t="s">
        <v>321</v>
      </c>
      <c r="C268" s="25" t="s">
        <v>1840</v>
      </c>
      <c r="D268" s="25" t="s">
        <v>1047</v>
      </c>
      <c r="E268" s="25" t="s">
        <v>321</v>
      </c>
      <c r="F268" s="42" t="s">
        <v>1433</v>
      </c>
      <c r="G268" s="25" t="str">
        <f t="shared" si="8"/>
        <v>RETUID</v>
      </c>
      <c r="H268" s="42" t="str">
        <f t="shared" si="9"/>
        <v>1~20</v>
      </c>
      <c r="I268" s="42" t="s">
        <v>2122</v>
      </c>
      <c r="J268" s="42" t="s">
        <v>2124</v>
      </c>
      <c r="K268" s="40" t="s">
        <v>2123</v>
      </c>
    </row>
    <row r="269" spans="1:11" ht="17.25">
      <c r="A269" s="28">
        <v>265</v>
      </c>
      <c r="B269" s="25" t="s">
        <v>322</v>
      </c>
      <c r="C269" s="25" t="s">
        <v>1841</v>
      </c>
      <c r="D269" s="25" t="s">
        <v>1048</v>
      </c>
      <c r="E269" s="25" t="s">
        <v>322</v>
      </c>
      <c r="F269" s="42" t="s">
        <v>1432</v>
      </c>
      <c r="G269" s="25" t="str">
        <f t="shared" si="8"/>
        <v>SOPRWALLNM</v>
      </c>
      <c r="H269" s="42" t="str">
        <f t="shared" si="9"/>
        <v>1~300</v>
      </c>
      <c r="I269" s="42" t="s">
        <v>2122</v>
      </c>
      <c r="J269" s="42" t="s">
        <v>2124</v>
      </c>
      <c r="K269" s="40" t="s">
        <v>2123</v>
      </c>
    </row>
    <row r="270" spans="1:11" ht="17.25">
      <c r="A270" s="28">
        <v>266</v>
      </c>
      <c r="B270" s="25" t="s">
        <v>323</v>
      </c>
      <c r="C270" s="25" t="s">
        <v>1842</v>
      </c>
      <c r="D270" s="25" t="s">
        <v>1049</v>
      </c>
      <c r="E270" s="25" t="s">
        <v>323</v>
      </c>
      <c r="F270" s="42" t="s">
        <v>1449</v>
      </c>
      <c r="G270" s="25" t="str">
        <f t="shared" si="8"/>
        <v>SOPRWALLCNT</v>
      </c>
      <c r="H270" s="42" t="str">
        <f t="shared" si="9"/>
        <v>1~10</v>
      </c>
      <c r="I270" s="42" t="s">
        <v>2122</v>
      </c>
      <c r="J270" s="42" t="s">
        <v>2124</v>
      </c>
      <c r="K270" s="40" t="s">
        <v>2123</v>
      </c>
    </row>
    <row r="271" spans="1:11" ht="17.25">
      <c r="A271" s="28">
        <v>267</v>
      </c>
      <c r="B271" s="25" t="s">
        <v>324</v>
      </c>
      <c r="C271" s="25" t="s">
        <v>1843</v>
      </c>
      <c r="D271" s="25" t="s">
        <v>1050</v>
      </c>
      <c r="E271" s="25" t="s">
        <v>324</v>
      </c>
      <c r="F271" s="42" t="s">
        <v>1434</v>
      </c>
      <c r="G271" s="25" t="str">
        <f t="shared" si="8"/>
        <v>SOPRWALLSN</v>
      </c>
      <c r="H271" s="42" t="str">
        <f t="shared" si="9"/>
        <v>1~22</v>
      </c>
      <c r="I271" s="42" t="s">
        <v>2122</v>
      </c>
      <c r="J271" s="42" t="s">
        <v>2124</v>
      </c>
      <c r="K271" s="40" t="s">
        <v>2123</v>
      </c>
    </row>
    <row r="272" spans="1:11" ht="17.25">
      <c r="A272" s="28">
        <v>268</v>
      </c>
      <c r="B272" s="25" t="s">
        <v>325</v>
      </c>
      <c r="C272" s="25" t="s">
        <v>1844</v>
      </c>
      <c r="D272" s="25" t="s">
        <v>1051</v>
      </c>
      <c r="E272" s="25" t="s">
        <v>325</v>
      </c>
      <c r="F272" s="42" t="s">
        <v>1447</v>
      </c>
      <c r="G272" s="25" t="str">
        <f t="shared" si="8"/>
        <v>BCRNCOLR2VL</v>
      </c>
      <c r="H272" s="42" t="str">
        <f t="shared" si="9"/>
        <v>1~10</v>
      </c>
      <c r="I272" s="42" t="s">
        <v>2122</v>
      </c>
      <c r="J272" s="42" t="s">
        <v>2124</v>
      </c>
      <c r="K272" s="40" t="s">
        <v>2123</v>
      </c>
    </row>
    <row r="273" spans="1:11" ht="17.25">
      <c r="A273" s="28">
        <v>269</v>
      </c>
      <c r="B273" s="25" t="s">
        <v>326</v>
      </c>
      <c r="C273" s="25" t="s">
        <v>1845</v>
      </c>
      <c r="D273" s="25" t="s">
        <v>1052</v>
      </c>
      <c r="E273" s="25" t="s">
        <v>326</v>
      </c>
      <c r="F273" s="42" t="s">
        <v>1447</v>
      </c>
      <c r="G273" s="25" t="str">
        <f t="shared" si="8"/>
        <v>BCRNCOLRVL</v>
      </c>
      <c r="H273" s="42" t="str">
        <f t="shared" si="9"/>
        <v>1~10</v>
      </c>
      <c r="I273" s="42" t="s">
        <v>2122</v>
      </c>
      <c r="J273" s="42" t="s">
        <v>2124</v>
      </c>
      <c r="K273" s="40" t="s">
        <v>2123</v>
      </c>
    </row>
    <row r="274" spans="1:11" ht="17.25">
      <c r="A274" s="28">
        <v>270</v>
      </c>
      <c r="B274" s="25" t="s">
        <v>327</v>
      </c>
      <c r="C274" s="25" t="s">
        <v>1846</v>
      </c>
      <c r="D274" s="25" t="s">
        <v>1053</v>
      </c>
      <c r="E274" s="25" t="s">
        <v>327</v>
      </c>
      <c r="F274" s="42" t="s">
        <v>1440</v>
      </c>
      <c r="G274" s="25" t="str">
        <f t="shared" si="8"/>
        <v>BCRNCOLRYN</v>
      </c>
      <c r="H274" s="42" t="str">
        <f t="shared" si="9"/>
        <v>1~1</v>
      </c>
      <c r="I274" s="42" t="s">
        <v>2122</v>
      </c>
      <c r="J274" s="42" t="s">
        <v>2124</v>
      </c>
      <c r="K274" s="40" t="s">
        <v>2123</v>
      </c>
    </row>
    <row r="275" spans="1:11" ht="17.25">
      <c r="A275" s="28">
        <v>271</v>
      </c>
      <c r="B275" s="25" t="s">
        <v>328</v>
      </c>
      <c r="C275" s="25" t="s">
        <v>1847</v>
      </c>
      <c r="D275" s="25" t="s">
        <v>1054</v>
      </c>
      <c r="E275" s="25" t="s">
        <v>328</v>
      </c>
      <c r="F275" s="42" t="s">
        <v>1464</v>
      </c>
      <c r="G275" s="25" t="str">
        <f t="shared" si="8"/>
        <v>BCRNCOLRCLRTYCNT</v>
      </c>
      <c r="H275" s="42" t="str">
        <f t="shared" si="9"/>
        <v>1~42</v>
      </c>
      <c r="I275" s="42" t="s">
        <v>2122</v>
      </c>
      <c r="J275" s="42" t="s">
        <v>2124</v>
      </c>
      <c r="K275" s="40" t="s">
        <v>2123</v>
      </c>
    </row>
    <row r="276" spans="1:11" ht="17.25">
      <c r="A276" s="28">
        <v>272</v>
      </c>
      <c r="B276" s="25" t="s">
        <v>329</v>
      </c>
      <c r="C276" s="25" t="s">
        <v>1848</v>
      </c>
      <c r="D276" s="25" t="s">
        <v>1055</v>
      </c>
      <c r="E276" s="25" t="s">
        <v>329</v>
      </c>
      <c r="F276" s="42" t="s">
        <v>1440</v>
      </c>
      <c r="G276" s="25" t="str">
        <f t="shared" si="8"/>
        <v>BCRNSTNG2USEYN</v>
      </c>
      <c r="H276" s="42" t="str">
        <f t="shared" si="9"/>
        <v>1~1</v>
      </c>
      <c r="I276" s="42" t="s">
        <v>2122</v>
      </c>
      <c r="J276" s="42" t="s">
        <v>2124</v>
      </c>
      <c r="K276" s="40" t="s">
        <v>2123</v>
      </c>
    </row>
    <row r="277" spans="1:11" ht="17.25">
      <c r="A277" s="28">
        <v>273</v>
      </c>
      <c r="B277" s="25" t="s">
        <v>330</v>
      </c>
      <c r="C277" s="25" t="s">
        <v>1849</v>
      </c>
      <c r="D277" s="25" t="s">
        <v>1056</v>
      </c>
      <c r="E277" s="25" t="s">
        <v>330</v>
      </c>
      <c r="F277" s="42" t="s">
        <v>1433</v>
      </c>
      <c r="G277" s="25" t="str">
        <f t="shared" si="8"/>
        <v>BCRNFILE2ID</v>
      </c>
      <c r="H277" s="42" t="str">
        <f t="shared" si="9"/>
        <v>1~20</v>
      </c>
      <c r="I277" s="42" t="s">
        <v>2122</v>
      </c>
      <c r="J277" s="42" t="s">
        <v>2124</v>
      </c>
      <c r="K277" s="40" t="s">
        <v>2123</v>
      </c>
    </row>
    <row r="278" spans="1:11" ht="17.25">
      <c r="A278" s="28">
        <v>274</v>
      </c>
      <c r="B278" s="25" t="s">
        <v>331</v>
      </c>
      <c r="C278" s="25" t="s">
        <v>1850</v>
      </c>
      <c r="D278" s="25" t="s">
        <v>1057</v>
      </c>
      <c r="E278" s="25" t="s">
        <v>331</v>
      </c>
      <c r="F278" s="42" t="s">
        <v>1433</v>
      </c>
      <c r="G278" s="25" t="str">
        <f t="shared" si="8"/>
        <v>BCRNFILEID</v>
      </c>
      <c r="H278" s="42" t="str">
        <f t="shared" si="9"/>
        <v>1~20</v>
      </c>
      <c r="I278" s="42" t="s">
        <v>2122</v>
      </c>
      <c r="J278" s="42" t="s">
        <v>2124</v>
      </c>
      <c r="K278" s="40" t="s">
        <v>2123</v>
      </c>
    </row>
    <row r="279" spans="1:11" ht="17.25">
      <c r="A279" s="28">
        <v>275</v>
      </c>
      <c r="B279" s="25" t="s">
        <v>332</v>
      </c>
      <c r="C279" s="25" t="s">
        <v>1851</v>
      </c>
      <c r="D279" s="25" t="s">
        <v>1058</v>
      </c>
      <c r="E279" s="25" t="s">
        <v>332</v>
      </c>
      <c r="F279" s="42" t="s">
        <v>1447</v>
      </c>
      <c r="G279" s="25" t="str">
        <f t="shared" si="8"/>
        <v>BNRTYPEVL</v>
      </c>
      <c r="H279" s="42" t="str">
        <f t="shared" si="9"/>
        <v>1~10</v>
      </c>
      <c r="I279" s="42" t="s">
        <v>2122</v>
      </c>
      <c r="J279" s="42" t="s">
        <v>2124</v>
      </c>
      <c r="K279" s="40" t="s">
        <v>2123</v>
      </c>
    </row>
    <row r="280" spans="1:11" ht="17.25">
      <c r="A280" s="28">
        <v>276</v>
      </c>
      <c r="B280" s="25" t="s">
        <v>333</v>
      </c>
      <c r="C280" s="25" t="s">
        <v>1852</v>
      </c>
      <c r="D280" s="25" t="s">
        <v>1059</v>
      </c>
      <c r="E280" s="25" t="s">
        <v>333</v>
      </c>
      <c r="F280" s="42" t="s">
        <v>1434</v>
      </c>
      <c r="G280" s="25" t="str">
        <f t="shared" si="8"/>
        <v>BNRIMGSN</v>
      </c>
      <c r="H280" s="42" t="str">
        <f t="shared" si="9"/>
        <v>1~22</v>
      </c>
      <c r="I280" s="42" t="s">
        <v>2122</v>
      </c>
      <c r="J280" s="42" t="s">
        <v>2124</v>
      </c>
      <c r="K280" s="40" t="s">
        <v>2123</v>
      </c>
    </row>
    <row r="281" spans="1:11" ht="17.25">
      <c r="A281" s="28">
        <v>277</v>
      </c>
      <c r="B281" s="25" t="s">
        <v>334</v>
      </c>
      <c r="C281" s="25" t="s">
        <v>1853</v>
      </c>
      <c r="D281" s="25" t="s">
        <v>1060</v>
      </c>
      <c r="E281" s="25" t="s">
        <v>334</v>
      </c>
      <c r="F281" s="42" t="s">
        <v>1433</v>
      </c>
      <c r="G281" s="25" t="str">
        <f t="shared" si="8"/>
        <v>BNRCONTSID</v>
      </c>
      <c r="H281" s="42" t="str">
        <f t="shared" si="9"/>
        <v>1~20</v>
      </c>
      <c r="I281" s="42" t="s">
        <v>2122</v>
      </c>
      <c r="J281" s="42" t="s">
        <v>2124</v>
      </c>
      <c r="K281" s="40" t="s">
        <v>2123</v>
      </c>
    </row>
    <row r="282" spans="1:11" ht="17.25">
      <c r="A282" s="28">
        <v>278</v>
      </c>
      <c r="B282" s="25" t="s">
        <v>335</v>
      </c>
      <c r="C282" s="25" t="s">
        <v>1854</v>
      </c>
      <c r="D282" s="25" t="s">
        <v>1061</v>
      </c>
      <c r="E282" s="25" t="s">
        <v>335</v>
      </c>
      <c r="F282" s="42" t="s">
        <v>1440</v>
      </c>
      <c r="G282" s="25" t="str">
        <f t="shared" si="8"/>
        <v>BNRFILEYN</v>
      </c>
      <c r="H282" s="42" t="str">
        <f t="shared" si="9"/>
        <v>1~1</v>
      </c>
      <c r="I282" s="42" t="s">
        <v>2122</v>
      </c>
      <c r="J282" s="42" t="s">
        <v>2124</v>
      </c>
      <c r="K282" s="40" t="s">
        <v>2123</v>
      </c>
    </row>
    <row r="283" spans="1:11" ht="17.25">
      <c r="A283" s="28">
        <v>279</v>
      </c>
      <c r="B283" s="25" t="s">
        <v>336</v>
      </c>
      <c r="C283" s="25" t="s">
        <v>1855</v>
      </c>
      <c r="D283" s="25" t="s">
        <v>1062</v>
      </c>
      <c r="E283" s="25" t="s">
        <v>336</v>
      </c>
      <c r="F283" s="42" t="s">
        <v>1441</v>
      </c>
      <c r="G283" s="25" t="str">
        <f t="shared" si="8"/>
        <v>BTNNO</v>
      </c>
      <c r="H283" s="42" t="str">
        <f t="shared" si="9"/>
        <v>1~100</v>
      </c>
      <c r="I283" s="42" t="s">
        <v>2122</v>
      </c>
      <c r="J283" s="42" t="s">
        <v>2124</v>
      </c>
      <c r="K283" s="40" t="s">
        <v>2123</v>
      </c>
    </row>
    <row r="284" spans="1:11" ht="17.25">
      <c r="A284" s="28">
        <v>280</v>
      </c>
      <c r="B284" s="25" t="s">
        <v>337</v>
      </c>
      <c r="C284" s="25" t="s">
        <v>1856</v>
      </c>
      <c r="D284" s="25" t="s">
        <v>1063</v>
      </c>
      <c r="E284" s="25" t="s">
        <v>337</v>
      </c>
      <c r="F284" s="42" t="s">
        <v>1433</v>
      </c>
      <c r="G284" s="25" t="str">
        <f t="shared" si="8"/>
        <v>UUIDID</v>
      </c>
      <c r="H284" s="42" t="str">
        <f t="shared" si="9"/>
        <v>1~20</v>
      </c>
      <c r="I284" s="42" t="s">
        <v>2122</v>
      </c>
      <c r="J284" s="42" t="s">
        <v>2124</v>
      </c>
      <c r="K284" s="40" t="s">
        <v>2123</v>
      </c>
    </row>
    <row r="285" spans="1:11" ht="17.25">
      <c r="A285" s="28">
        <v>281</v>
      </c>
      <c r="B285" s="25" t="s">
        <v>338</v>
      </c>
      <c r="C285" s="25" t="s">
        <v>1857</v>
      </c>
      <c r="D285" s="25" t="s">
        <v>1064</v>
      </c>
      <c r="E285" s="25" t="s">
        <v>338</v>
      </c>
      <c r="F285" s="42" t="s">
        <v>1447</v>
      </c>
      <c r="G285" s="25" t="str">
        <f t="shared" si="8"/>
        <v>CHGTYPEVL</v>
      </c>
      <c r="H285" s="42" t="str">
        <f t="shared" si="9"/>
        <v>1~10</v>
      </c>
      <c r="I285" s="42" t="s">
        <v>2122</v>
      </c>
      <c r="J285" s="42" t="s">
        <v>2124</v>
      </c>
      <c r="K285" s="40" t="s">
        <v>2123</v>
      </c>
    </row>
    <row r="286" spans="1:11" ht="34.5">
      <c r="A286" s="28">
        <v>282</v>
      </c>
      <c r="B286" s="25" t="s">
        <v>339</v>
      </c>
      <c r="C286" s="25" t="s">
        <v>1858</v>
      </c>
      <c r="D286" s="25" t="s">
        <v>1065</v>
      </c>
      <c r="E286" s="25" t="s">
        <v>339</v>
      </c>
      <c r="F286" s="42" t="s">
        <v>1447</v>
      </c>
      <c r="G286" s="25" t="str">
        <f t="shared" si="8"/>
        <v>SUBMENUFONTMPHSCOLRVL</v>
      </c>
      <c r="H286" s="42" t="str">
        <f t="shared" si="9"/>
        <v>1~10</v>
      </c>
      <c r="I286" s="42" t="s">
        <v>2122</v>
      </c>
      <c r="J286" s="42" t="s">
        <v>2124</v>
      </c>
      <c r="K286" s="40" t="s">
        <v>2123</v>
      </c>
    </row>
    <row r="287" spans="1:11" ht="17.25">
      <c r="A287" s="28">
        <v>283</v>
      </c>
      <c r="B287" s="25" t="s">
        <v>340</v>
      </c>
      <c r="C287" s="25" t="s">
        <v>1859</v>
      </c>
      <c r="D287" s="25" t="s">
        <v>1066</v>
      </c>
      <c r="E287" s="25" t="s">
        <v>340</v>
      </c>
      <c r="F287" s="42" t="s">
        <v>1447</v>
      </c>
      <c r="G287" s="25" t="str">
        <f t="shared" si="8"/>
        <v>DEPTSEVL</v>
      </c>
      <c r="H287" s="42" t="str">
        <f t="shared" si="9"/>
        <v>1~10</v>
      </c>
      <c r="I287" s="42" t="s">
        <v>2122</v>
      </c>
      <c r="J287" s="42" t="s">
        <v>2124</v>
      </c>
      <c r="K287" s="40" t="s">
        <v>2123</v>
      </c>
    </row>
    <row r="288" spans="1:11" ht="34.5">
      <c r="A288" s="28">
        <v>284</v>
      </c>
      <c r="B288" s="25" t="s">
        <v>341</v>
      </c>
      <c r="C288" s="25" t="s">
        <v>1860</v>
      </c>
      <c r="D288" s="25" t="s">
        <v>1067</v>
      </c>
      <c r="E288" s="25" t="s">
        <v>741</v>
      </c>
      <c r="F288" s="42" t="s">
        <v>1458</v>
      </c>
      <c r="G288" s="25" t="str">
        <f t="shared" si="8"/>
        <v>DEPTNM</v>
      </c>
      <c r="H288" s="42" t="str">
        <f t="shared" si="9"/>
        <v>1~200</v>
      </c>
      <c r="I288" s="42" t="s">
        <v>2122</v>
      </c>
      <c r="J288" s="42" t="s">
        <v>2124</v>
      </c>
      <c r="K288" s="40" t="s">
        <v>2123</v>
      </c>
    </row>
    <row r="289" spans="1:11" ht="17.25">
      <c r="A289" s="28">
        <v>285</v>
      </c>
      <c r="B289" s="25" t="s">
        <v>342</v>
      </c>
      <c r="C289" s="25" t="s">
        <v>1861</v>
      </c>
      <c r="D289" s="25" t="s">
        <v>1068</v>
      </c>
      <c r="E289" s="25" t="s">
        <v>342</v>
      </c>
      <c r="F289" s="42" t="s">
        <v>1447</v>
      </c>
      <c r="G289" s="25" t="str">
        <f t="shared" si="8"/>
        <v>SBTTLCOLRVL</v>
      </c>
      <c r="H289" s="42" t="str">
        <f t="shared" si="9"/>
        <v>1~10</v>
      </c>
      <c r="I289" s="42" t="s">
        <v>2122</v>
      </c>
      <c r="J289" s="42" t="s">
        <v>2124</v>
      </c>
      <c r="K289" s="40" t="s">
        <v>2123</v>
      </c>
    </row>
    <row r="290" spans="1:11" ht="17.25">
      <c r="A290" s="28">
        <v>286</v>
      </c>
      <c r="B290" s="25" t="s">
        <v>343</v>
      </c>
      <c r="C290" s="25" t="s">
        <v>1862</v>
      </c>
      <c r="D290" s="25" t="s">
        <v>1069</v>
      </c>
      <c r="E290" s="25" t="s">
        <v>343</v>
      </c>
      <c r="F290" s="42" t="s">
        <v>1441</v>
      </c>
      <c r="G290" s="25" t="str">
        <f t="shared" si="8"/>
        <v>SBTTLSORTNO</v>
      </c>
      <c r="H290" s="42" t="str">
        <f t="shared" si="9"/>
        <v>1~100</v>
      </c>
      <c r="I290" s="42" t="s">
        <v>2122</v>
      </c>
      <c r="J290" s="42" t="s">
        <v>2124</v>
      </c>
      <c r="K290" s="40" t="s">
        <v>2123</v>
      </c>
    </row>
    <row r="291" spans="1:11" ht="17.25">
      <c r="A291" s="28">
        <v>287</v>
      </c>
      <c r="B291" s="25" t="s">
        <v>344</v>
      </c>
      <c r="C291" s="25" t="s">
        <v>1863</v>
      </c>
      <c r="D291" s="25" t="s">
        <v>1070</v>
      </c>
      <c r="E291" s="25" t="s">
        <v>344</v>
      </c>
      <c r="F291" s="42" t="s">
        <v>1463</v>
      </c>
      <c r="G291" s="25" t="str">
        <f t="shared" si="8"/>
        <v>SBTTLFONTCNT</v>
      </c>
      <c r="H291" s="42" t="str">
        <f t="shared" si="9"/>
        <v>1~2</v>
      </c>
      <c r="I291" s="42" t="s">
        <v>2122</v>
      </c>
      <c r="J291" s="42" t="s">
        <v>2124</v>
      </c>
      <c r="K291" s="40" t="s">
        <v>2123</v>
      </c>
    </row>
    <row r="292" spans="1:11" ht="17.25">
      <c r="A292" s="28">
        <v>288</v>
      </c>
      <c r="B292" s="25" t="s">
        <v>345</v>
      </c>
      <c r="C292" s="25" t="s">
        <v>1864</v>
      </c>
      <c r="D292" s="25" t="s">
        <v>1071</v>
      </c>
      <c r="E292" s="25" t="s">
        <v>345</v>
      </c>
      <c r="F292" s="42" t="s">
        <v>1443</v>
      </c>
      <c r="G292" s="25" t="str">
        <f t="shared" si="8"/>
        <v>CLSFARAGCN</v>
      </c>
      <c r="H292" s="42" t="str">
        <f t="shared" si="9"/>
        <v>1~4000</v>
      </c>
      <c r="I292" s="42" t="s">
        <v>2122</v>
      </c>
      <c r="J292" s="42" t="s">
        <v>2124</v>
      </c>
      <c r="K292" s="40" t="s">
        <v>2123</v>
      </c>
    </row>
    <row r="293" spans="1:11" ht="17.25">
      <c r="A293" s="28">
        <v>289</v>
      </c>
      <c r="B293" s="25" t="s">
        <v>346</v>
      </c>
      <c r="C293" s="25" t="s">
        <v>1865</v>
      </c>
      <c r="D293" s="25" t="s">
        <v>1072</v>
      </c>
      <c r="E293" s="25" t="s">
        <v>346</v>
      </c>
      <c r="F293" s="42" t="s">
        <v>1443</v>
      </c>
      <c r="G293" s="25" t="str">
        <f t="shared" si="8"/>
        <v>ANLSRSLTCN</v>
      </c>
      <c r="H293" s="42" t="str">
        <f t="shared" si="9"/>
        <v>1~4000</v>
      </c>
      <c r="I293" s="42" t="s">
        <v>2122</v>
      </c>
      <c r="J293" s="42" t="s">
        <v>2124</v>
      </c>
      <c r="K293" s="40" t="s">
        <v>2123</v>
      </c>
    </row>
    <row r="294" spans="1:11" ht="17.25">
      <c r="A294" s="28">
        <v>290</v>
      </c>
      <c r="B294" s="25" t="s">
        <v>347</v>
      </c>
      <c r="C294" s="25" t="s">
        <v>1866</v>
      </c>
      <c r="D294" s="25" t="s">
        <v>1073</v>
      </c>
      <c r="E294" s="25" t="s">
        <v>347</v>
      </c>
      <c r="F294" s="42" t="s">
        <v>1432</v>
      </c>
      <c r="G294" s="25" t="str">
        <f t="shared" si="8"/>
        <v>ANLSRSLTNM</v>
      </c>
      <c r="H294" s="42" t="str">
        <f t="shared" si="9"/>
        <v>1~300</v>
      </c>
      <c r="I294" s="42" t="s">
        <v>2122</v>
      </c>
      <c r="J294" s="42" t="s">
        <v>2124</v>
      </c>
      <c r="K294" s="40" t="s">
        <v>2123</v>
      </c>
    </row>
    <row r="295" spans="1:11" ht="17.25">
      <c r="A295" s="28">
        <v>291</v>
      </c>
      <c r="B295" s="25" t="s">
        <v>348</v>
      </c>
      <c r="C295" s="25" t="s">
        <v>1867</v>
      </c>
      <c r="D295" s="25" t="s">
        <v>1074</v>
      </c>
      <c r="E295" s="25" t="s">
        <v>348</v>
      </c>
      <c r="F295" s="42" t="s">
        <v>1433</v>
      </c>
      <c r="G295" s="25" t="str">
        <f t="shared" si="8"/>
        <v>ANLSRSLTID</v>
      </c>
      <c r="H295" s="42" t="str">
        <f t="shared" si="9"/>
        <v>1~20</v>
      </c>
      <c r="I295" s="42" t="s">
        <v>2122</v>
      </c>
      <c r="J295" s="42" t="s">
        <v>2124</v>
      </c>
      <c r="K295" s="40" t="s">
        <v>2123</v>
      </c>
    </row>
    <row r="296" spans="1:11" ht="17.25">
      <c r="A296" s="28">
        <v>292</v>
      </c>
      <c r="B296" s="25" t="s">
        <v>349</v>
      </c>
      <c r="C296" s="25" t="s">
        <v>1868</v>
      </c>
      <c r="D296" s="25" t="s">
        <v>1075</v>
      </c>
      <c r="E296" s="25" t="s">
        <v>349</v>
      </c>
      <c r="F296" s="42" t="s">
        <v>1435</v>
      </c>
      <c r="G296" s="25" t="str">
        <f t="shared" si="8"/>
        <v>ANLSRSLTTYPEVL</v>
      </c>
      <c r="H296" s="42" t="str">
        <f t="shared" si="9"/>
        <v>1~100</v>
      </c>
      <c r="I296" s="42" t="s">
        <v>2122</v>
      </c>
      <c r="J296" s="42" t="s">
        <v>2124</v>
      </c>
      <c r="K296" s="40" t="s">
        <v>2123</v>
      </c>
    </row>
    <row r="297" spans="1:11" ht="17.25">
      <c r="A297" s="28">
        <v>293</v>
      </c>
      <c r="B297" s="25" t="s">
        <v>350</v>
      </c>
      <c r="C297" s="25" t="s">
        <v>1869</v>
      </c>
      <c r="D297" s="25" t="s">
        <v>1076</v>
      </c>
      <c r="E297" s="25" t="s">
        <v>350</v>
      </c>
      <c r="F297" s="42" t="s">
        <v>1433</v>
      </c>
      <c r="G297" s="25" t="str">
        <f t="shared" si="8"/>
        <v>ANLSMDLID</v>
      </c>
      <c r="H297" s="42" t="str">
        <f t="shared" si="9"/>
        <v>1~20</v>
      </c>
      <c r="I297" s="42" t="s">
        <v>2122</v>
      </c>
      <c r="J297" s="42" t="s">
        <v>2124</v>
      </c>
      <c r="K297" s="40" t="s">
        <v>2123</v>
      </c>
    </row>
    <row r="298" spans="1:11" ht="17.25">
      <c r="A298" s="28">
        <v>294</v>
      </c>
      <c r="B298" s="25" t="s">
        <v>351</v>
      </c>
      <c r="C298" s="25" t="s">
        <v>1870</v>
      </c>
      <c r="D298" s="25" t="s">
        <v>1077</v>
      </c>
      <c r="E298" s="25" t="s">
        <v>351</v>
      </c>
      <c r="F298" s="42" t="s">
        <v>1443</v>
      </c>
      <c r="G298" s="25" t="str">
        <f t="shared" si="8"/>
        <v>ANLSMDLTYPECN</v>
      </c>
      <c r="H298" s="42" t="str">
        <f t="shared" si="9"/>
        <v>1~4000</v>
      </c>
      <c r="I298" s="42" t="s">
        <v>2122</v>
      </c>
      <c r="J298" s="42" t="s">
        <v>2124</v>
      </c>
      <c r="K298" s="40" t="s">
        <v>2123</v>
      </c>
    </row>
    <row r="299" spans="1:11" ht="17.25">
      <c r="A299" s="28">
        <v>295</v>
      </c>
      <c r="B299" s="25" t="s">
        <v>352</v>
      </c>
      <c r="C299" s="25" t="s">
        <v>1871</v>
      </c>
      <c r="D299" s="25" t="s">
        <v>1078</v>
      </c>
      <c r="E299" s="25" t="s">
        <v>352</v>
      </c>
      <c r="F299" s="42" t="s">
        <v>1432</v>
      </c>
      <c r="G299" s="25" t="str">
        <f t="shared" si="8"/>
        <v>ANLSMDLTYPENM</v>
      </c>
      <c r="H299" s="42" t="str">
        <f t="shared" si="9"/>
        <v>1~300</v>
      </c>
      <c r="I299" s="42" t="s">
        <v>2122</v>
      </c>
      <c r="J299" s="42" t="s">
        <v>2124</v>
      </c>
      <c r="K299" s="40" t="s">
        <v>2123</v>
      </c>
    </row>
    <row r="300" spans="1:11" ht="17.25">
      <c r="A300" s="28">
        <v>296</v>
      </c>
      <c r="B300" s="25" t="s">
        <v>353</v>
      </c>
      <c r="C300" s="25" t="s">
        <v>1872</v>
      </c>
      <c r="D300" s="25" t="s">
        <v>1079</v>
      </c>
      <c r="E300" s="25" t="s">
        <v>353</v>
      </c>
      <c r="F300" s="42" t="s">
        <v>1432</v>
      </c>
      <c r="G300" s="25" t="str">
        <f t="shared" si="8"/>
        <v>ANLSSRVCKNDNM</v>
      </c>
      <c r="H300" s="42" t="str">
        <f t="shared" si="9"/>
        <v>1~300</v>
      </c>
      <c r="I300" s="42" t="s">
        <v>2122</v>
      </c>
      <c r="J300" s="42" t="s">
        <v>2124</v>
      </c>
      <c r="K300" s="40" t="s">
        <v>2123</v>
      </c>
    </row>
    <row r="301" spans="1:11" ht="17.25">
      <c r="A301" s="28">
        <v>297</v>
      </c>
      <c r="B301" s="25" t="s">
        <v>354</v>
      </c>
      <c r="C301" s="25" t="s">
        <v>1873</v>
      </c>
      <c r="D301" s="25" t="s">
        <v>1080</v>
      </c>
      <c r="E301" s="25" t="s">
        <v>354</v>
      </c>
      <c r="F301" s="42" t="s">
        <v>1443</v>
      </c>
      <c r="G301" s="25" t="str">
        <f t="shared" si="8"/>
        <v>ANLSSTNGCN</v>
      </c>
      <c r="H301" s="42" t="str">
        <f t="shared" si="9"/>
        <v>1~4000</v>
      </c>
      <c r="I301" s="42" t="s">
        <v>2122</v>
      </c>
      <c r="J301" s="42" t="s">
        <v>2124</v>
      </c>
      <c r="K301" s="40" t="s">
        <v>2123</v>
      </c>
    </row>
    <row r="302" spans="1:11" ht="17.25">
      <c r="A302" s="28">
        <v>298</v>
      </c>
      <c r="B302" s="25" t="s">
        <v>355</v>
      </c>
      <c r="C302" s="25" t="s">
        <v>1874</v>
      </c>
      <c r="D302" s="25" t="s">
        <v>1081</v>
      </c>
      <c r="E302" s="25" t="s">
        <v>355</v>
      </c>
      <c r="F302" s="42" t="s">
        <v>1432</v>
      </c>
      <c r="G302" s="25" t="str">
        <f t="shared" si="8"/>
        <v>ANLSSTNGNM</v>
      </c>
      <c r="H302" s="42" t="str">
        <f t="shared" si="9"/>
        <v>1~300</v>
      </c>
      <c r="I302" s="42" t="s">
        <v>2122</v>
      </c>
      <c r="J302" s="42" t="s">
        <v>2124</v>
      </c>
      <c r="K302" s="40" t="s">
        <v>2123</v>
      </c>
    </row>
    <row r="303" spans="1:11" ht="17.25">
      <c r="A303" s="28">
        <v>299</v>
      </c>
      <c r="B303" s="25" t="s">
        <v>356</v>
      </c>
      <c r="C303" s="25" t="s">
        <v>1875</v>
      </c>
      <c r="D303" s="25" t="s">
        <v>1082</v>
      </c>
      <c r="E303" s="25" t="s">
        <v>356</v>
      </c>
      <c r="F303" s="42" t="s">
        <v>1433</v>
      </c>
      <c r="G303" s="25" t="str">
        <f t="shared" si="8"/>
        <v>ANLSSTNGID</v>
      </c>
      <c r="H303" s="42" t="str">
        <f t="shared" si="9"/>
        <v>1~20</v>
      </c>
      <c r="I303" s="42" t="s">
        <v>2122</v>
      </c>
      <c r="J303" s="42" t="s">
        <v>2124</v>
      </c>
      <c r="K303" s="40" t="s">
        <v>2123</v>
      </c>
    </row>
    <row r="304" spans="1:11" ht="17.25">
      <c r="A304" s="28">
        <v>300</v>
      </c>
      <c r="B304" s="25" t="s">
        <v>357</v>
      </c>
      <c r="C304" s="25" t="s">
        <v>1876</v>
      </c>
      <c r="D304" s="25" t="s">
        <v>1083</v>
      </c>
      <c r="E304" s="25" t="s">
        <v>357</v>
      </c>
      <c r="F304" s="42" t="s">
        <v>1435</v>
      </c>
      <c r="G304" s="25" t="str">
        <f t="shared" si="8"/>
        <v>ANLSHRVL</v>
      </c>
      <c r="H304" s="42" t="str">
        <f t="shared" si="9"/>
        <v>1~100</v>
      </c>
      <c r="I304" s="42" t="s">
        <v>2122</v>
      </c>
      <c r="J304" s="42" t="s">
        <v>2124</v>
      </c>
      <c r="K304" s="40" t="s">
        <v>2123</v>
      </c>
    </row>
    <row r="305" spans="1:11" ht="17.25">
      <c r="A305" s="28">
        <v>301</v>
      </c>
      <c r="B305" s="25" t="s">
        <v>358</v>
      </c>
      <c r="C305" s="25" t="s">
        <v>1877</v>
      </c>
      <c r="D305" s="25" t="s">
        <v>1084</v>
      </c>
      <c r="E305" s="25" t="s">
        <v>358</v>
      </c>
      <c r="F305" s="42" t="s">
        <v>1441</v>
      </c>
      <c r="G305" s="25" t="str">
        <f t="shared" si="8"/>
        <v>ANLSNTCNNO</v>
      </c>
      <c r="H305" s="42" t="str">
        <f t="shared" si="9"/>
        <v>1~100</v>
      </c>
      <c r="I305" s="42" t="s">
        <v>2122</v>
      </c>
      <c r="J305" s="42" t="s">
        <v>2124</v>
      </c>
      <c r="K305" s="40" t="s">
        <v>2123</v>
      </c>
    </row>
    <row r="306" spans="1:11" ht="17.25">
      <c r="A306" s="28">
        <v>302</v>
      </c>
      <c r="B306" s="25" t="s">
        <v>359</v>
      </c>
      <c r="C306" s="25" t="s">
        <v>1878</v>
      </c>
      <c r="D306" s="25" t="s">
        <v>1085</v>
      </c>
      <c r="E306" s="25" t="s">
        <v>359</v>
      </c>
      <c r="F306" s="42" t="s">
        <v>1434</v>
      </c>
      <c r="G306" s="25" t="str">
        <f t="shared" si="8"/>
        <v>ANLSNTCNSN</v>
      </c>
      <c r="H306" s="42" t="str">
        <f t="shared" si="9"/>
        <v>1~22</v>
      </c>
      <c r="I306" s="42" t="s">
        <v>2122</v>
      </c>
      <c r="J306" s="42" t="s">
        <v>2124</v>
      </c>
      <c r="K306" s="40" t="s">
        <v>2123</v>
      </c>
    </row>
    <row r="307" spans="1:11" ht="17.25">
      <c r="A307" s="28">
        <v>303</v>
      </c>
      <c r="B307" s="25" t="s">
        <v>360</v>
      </c>
      <c r="C307" s="25" t="s">
        <v>1879</v>
      </c>
      <c r="D307" s="25" t="s">
        <v>1086</v>
      </c>
      <c r="E307" s="25" t="s">
        <v>360</v>
      </c>
      <c r="F307" s="42" t="s">
        <v>1435</v>
      </c>
      <c r="G307" s="25" t="str">
        <f t="shared" si="8"/>
        <v>ANLSDMNDTYPEVL</v>
      </c>
      <c r="H307" s="42" t="str">
        <f t="shared" si="9"/>
        <v>1~100</v>
      </c>
      <c r="I307" s="42" t="s">
        <v>2122</v>
      </c>
      <c r="J307" s="42" t="s">
        <v>2124</v>
      </c>
      <c r="K307" s="40" t="s">
        <v>2123</v>
      </c>
    </row>
    <row r="308" spans="1:11" ht="17.25">
      <c r="A308" s="28">
        <v>304</v>
      </c>
      <c r="B308" s="25" t="s">
        <v>361</v>
      </c>
      <c r="C308" s="25" t="s">
        <v>1880</v>
      </c>
      <c r="D308" s="25" t="s">
        <v>1087</v>
      </c>
      <c r="E308" s="25" t="s">
        <v>361</v>
      </c>
      <c r="F308" s="42" t="s">
        <v>1435</v>
      </c>
      <c r="G308" s="25" t="str">
        <f t="shared" si="8"/>
        <v>ANLSCOMPTNITRLVL</v>
      </c>
      <c r="H308" s="42" t="str">
        <f t="shared" si="9"/>
        <v>1~100</v>
      </c>
      <c r="I308" s="42" t="s">
        <v>2122</v>
      </c>
      <c r="J308" s="42" t="s">
        <v>2124</v>
      </c>
      <c r="K308" s="40" t="s">
        <v>2123</v>
      </c>
    </row>
    <row r="309" spans="1:11" ht="34.5">
      <c r="A309" s="28">
        <v>305</v>
      </c>
      <c r="B309" s="25" t="s">
        <v>362</v>
      </c>
      <c r="C309" s="25" t="s">
        <v>1881</v>
      </c>
      <c r="D309" s="25" t="s">
        <v>1088</v>
      </c>
      <c r="E309" s="25" t="s">
        <v>742</v>
      </c>
      <c r="F309" s="42" t="s">
        <v>1443</v>
      </c>
      <c r="G309" s="25" t="str">
        <f t="shared" si="8"/>
        <v>RMRKCN</v>
      </c>
      <c r="H309" s="42" t="str">
        <f t="shared" si="9"/>
        <v>1~4000</v>
      </c>
      <c r="I309" s="42" t="s">
        <v>2122</v>
      </c>
      <c r="J309" s="42" t="s">
        <v>2124</v>
      </c>
      <c r="K309" s="40" t="s">
        <v>2123</v>
      </c>
    </row>
    <row r="310" spans="1:11" ht="17.25">
      <c r="A310" s="28">
        <v>306</v>
      </c>
      <c r="B310" s="25" t="s">
        <v>363</v>
      </c>
      <c r="C310" s="25" t="s">
        <v>1882</v>
      </c>
      <c r="D310" s="25" t="s">
        <v>1089</v>
      </c>
      <c r="E310" s="25" t="s">
        <v>363</v>
      </c>
      <c r="F310" s="42" t="s">
        <v>1440</v>
      </c>
      <c r="G310" s="25" t="str">
        <f t="shared" si="8"/>
        <v>USESHRNYN</v>
      </c>
      <c r="H310" s="42" t="str">
        <f t="shared" si="9"/>
        <v>1~1</v>
      </c>
      <c r="I310" s="42" t="s">
        <v>2122</v>
      </c>
      <c r="J310" s="42" t="s">
        <v>2124</v>
      </c>
      <c r="K310" s="40" t="s">
        <v>2123</v>
      </c>
    </row>
    <row r="311" spans="1:11" ht="17.25">
      <c r="A311" s="28">
        <v>307</v>
      </c>
      <c r="B311" s="25" t="s">
        <v>364</v>
      </c>
      <c r="C311" s="25" t="s">
        <v>1883</v>
      </c>
      <c r="D311" s="25" t="s">
        <v>1090</v>
      </c>
      <c r="E311" s="25" t="s">
        <v>364</v>
      </c>
      <c r="F311" s="42" t="s">
        <v>1432</v>
      </c>
      <c r="G311" s="25" t="str">
        <f t="shared" si="8"/>
        <v>USEBRWSRNM</v>
      </c>
      <c r="H311" s="42" t="str">
        <f t="shared" si="9"/>
        <v>1~300</v>
      </c>
      <c r="I311" s="42" t="s">
        <v>2122</v>
      </c>
      <c r="J311" s="42" t="s">
        <v>2124</v>
      </c>
      <c r="K311" s="40" t="s">
        <v>2123</v>
      </c>
    </row>
    <row r="312" spans="1:11" ht="34.5">
      <c r="A312" s="28">
        <v>308</v>
      </c>
      <c r="B312" s="25" t="s">
        <v>365</v>
      </c>
      <c r="C312" s="25" t="s">
        <v>1884</v>
      </c>
      <c r="D312" s="25" t="s">
        <v>1091</v>
      </c>
      <c r="E312" s="25" t="s">
        <v>743</v>
      </c>
      <c r="F312" s="42" t="s">
        <v>1440</v>
      </c>
      <c r="G312" s="25" t="str">
        <f t="shared" si="8"/>
        <v>USEYN</v>
      </c>
      <c r="H312" s="42" t="str">
        <f t="shared" si="9"/>
        <v>1~1</v>
      </c>
      <c r="I312" s="42" t="s">
        <v>2122</v>
      </c>
      <c r="J312" s="42" t="s">
        <v>2124</v>
      </c>
      <c r="K312" s="40" t="s">
        <v>2123</v>
      </c>
    </row>
    <row r="313" spans="1:11" ht="17.25">
      <c r="A313" s="28">
        <v>309</v>
      </c>
      <c r="B313" s="25" t="s">
        <v>706</v>
      </c>
      <c r="C313" s="25" t="s">
        <v>1885</v>
      </c>
      <c r="D313" s="25" t="s">
        <v>1092</v>
      </c>
      <c r="E313" s="25" t="s">
        <v>706</v>
      </c>
      <c r="F313" s="42" t="s">
        <v>1433</v>
      </c>
      <c r="G313" s="25" t="str">
        <f t="shared" si="8"/>
        <v>USERID</v>
      </c>
      <c r="H313" s="42" t="str">
        <f t="shared" si="9"/>
        <v>1~20</v>
      </c>
      <c r="I313" s="42" t="s">
        <v>2122</v>
      </c>
      <c r="J313" s="42" t="s">
        <v>2124</v>
      </c>
      <c r="K313" s="40" t="s">
        <v>2123</v>
      </c>
    </row>
    <row r="314" spans="1:11" ht="17.25">
      <c r="A314" s="28">
        <v>310</v>
      </c>
      <c r="B314" s="25" t="s">
        <v>366</v>
      </c>
      <c r="C314" s="25" t="s">
        <v>1886</v>
      </c>
      <c r="D314" s="25" t="s">
        <v>1093</v>
      </c>
      <c r="E314" s="25" t="s">
        <v>366</v>
      </c>
      <c r="F314" s="42" t="s">
        <v>1432</v>
      </c>
      <c r="G314" s="25" t="str">
        <f t="shared" si="8"/>
        <v>USERDATNM</v>
      </c>
      <c r="H314" s="42" t="str">
        <f t="shared" si="9"/>
        <v>1~300</v>
      </c>
      <c r="I314" s="42" t="s">
        <v>2122</v>
      </c>
      <c r="J314" s="42" t="s">
        <v>2124</v>
      </c>
      <c r="K314" s="40" t="s">
        <v>2123</v>
      </c>
    </row>
    <row r="315" spans="1:11" ht="17.25">
      <c r="A315" s="28">
        <v>311</v>
      </c>
      <c r="B315" s="25" t="s">
        <v>367</v>
      </c>
      <c r="C315" s="25" t="s">
        <v>1887</v>
      </c>
      <c r="D315" s="25" t="s">
        <v>1094</v>
      </c>
      <c r="E315" s="25" t="s">
        <v>367</v>
      </c>
      <c r="F315" s="42" t="s">
        <v>1433</v>
      </c>
      <c r="G315" s="25" t="str">
        <f t="shared" si="8"/>
        <v>USERDATID</v>
      </c>
      <c r="H315" s="42" t="str">
        <f t="shared" si="9"/>
        <v>1~20</v>
      </c>
      <c r="I315" s="42" t="s">
        <v>2122</v>
      </c>
      <c r="J315" s="42" t="s">
        <v>2124</v>
      </c>
      <c r="K315" s="40" t="s">
        <v>2123</v>
      </c>
    </row>
    <row r="316" spans="1:11" ht="17.25">
      <c r="A316" s="28">
        <v>312</v>
      </c>
      <c r="B316" s="25" t="s">
        <v>368</v>
      </c>
      <c r="C316" s="25" t="s">
        <v>1888</v>
      </c>
      <c r="D316" s="25" t="s">
        <v>1095</v>
      </c>
      <c r="E316" s="25" t="s">
        <v>368</v>
      </c>
      <c r="F316" s="42" t="s">
        <v>1449</v>
      </c>
      <c r="G316" s="25" t="str">
        <f t="shared" si="8"/>
        <v>USERREGCNT</v>
      </c>
      <c r="H316" s="42" t="str">
        <f t="shared" si="9"/>
        <v>1~10</v>
      </c>
      <c r="I316" s="42" t="s">
        <v>2122</v>
      </c>
      <c r="J316" s="42" t="s">
        <v>2124</v>
      </c>
      <c r="K316" s="40" t="s">
        <v>2123</v>
      </c>
    </row>
    <row r="317" spans="1:11" ht="17.25">
      <c r="A317" s="28">
        <v>313</v>
      </c>
      <c r="B317" s="25" t="s">
        <v>707</v>
      </c>
      <c r="C317" s="25" t="s">
        <v>1889</v>
      </c>
      <c r="D317" s="25" t="s">
        <v>1096</v>
      </c>
      <c r="E317" s="25" t="s">
        <v>744</v>
      </c>
      <c r="F317" s="42" t="s">
        <v>1435</v>
      </c>
      <c r="G317" s="25" t="str">
        <f t="shared" si="8"/>
        <v>USERMENUSEVL</v>
      </c>
      <c r="H317" s="42" t="str">
        <f t="shared" si="9"/>
        <v>1~100</v>
      </c>
      <c r="I317" s="42" t="s">
        <v>2122</v>
      </c>
      <c r="J317" s="42" t="s">
        <v>2124</v>
      </c>
      <c r="K317" s="40" t="s">
        <v>2123</v>
      </c>
    </row>
    <row r="318" spans="1:11" ht="34.5">
      <c r="A318" s="28">
        <v>314</v>
      </c>
      <c r="B318" s="25" t="s">
        <v>369</v>
      </c>
      <c r="C318" s="25" t="s">
        <v>1890</v>
      </c>
      <c r="D318" s="25" t="s">
        <v>1097</v>
      </c>
      <c r="E318" s="25" t="s">
        <v>745</v>
      </c>
      <c r="F318" s="42" t="s">
        <v>1457</v>
      </c>
      <c r="G318" s="25" t="str">
        <f t="shared" si="8"/>
        <v>USERNM</v>
      </c>
      <c r="H318" s="42" t="str">
        <f t="shared" si="9"/>
        <v>1~100</v>
      </c>
      <c r="I318" s="42" t="s">
        <v>2122</v>
      </c>
      <c r="J318" s="42" t="s">
        <v>2124</v>
      </c>
      <c r="K318" s="40" t="s">
        <v>2123</v>
      </c>
    </row>
    <row r="319" spans="1:11" ht="17.25">
      <c r="A319" s="28">
        <v>315</v>
      </c>
      <c r="B319" s="25" t="s">
        <v>370</v>
      </c>
      <c r="C319" s="25" t="s">
        <v>1891</v>
      </c>
      <c r="D319" s="25" t="s">
        <v>1098</v>
      </c>
      <c r="E319" s="25" t="s">
        <v>370</v>
      </c>
      <c r="F319" s="42" t="s">
        <v>1441</v>
      </c>
      <c r="G319" s="25" t="str">
        <f t="shared" si="8"/>
        <v>USERPSWD</v>
      </c>
      <c r="H319" s="42" t="str">
        <f t="shared" si="9"/>
        <v>1~100</v>
      </c>
      <c r="I319" s="42" t="s">
        <v>2122</v>
      </c>
      <c r="J319" s="42" t="s">
        <v>2124</v>
      </c>
      <c r="K319" s="40" t="s">
        <v>2123</v>
      </c>
    </row>
    <row r="320" spans="1:11" ht="17.25">
      <c r="A320" s="28">
        <v>316</v>
      </c>
      <c r="B320" s="25" t="s">
        <v>371</v>
      </c>
      <c r="C320" s="25" t="s">
        <v>1892</v>
      </c>
      <c r="D320" s="25" t="s">
        <v>1099</v>
      </c>
      <c r="E320" s="25" t="s">
        <v>371</v>
      </c>
      <c r="F320" s="42" t="s">
        <v>1448</v>
      </c>
      <c r="G320" s="25" t="str">
        <f t="shared" si="8"/>
        <v>USERAGNTEXPLN</v>
      </c>
      <c r="H320" s="42" t="str">
        <f t="shared" si="9"/>
        <v>1~2000</v>
      </c>
      <c r="I320" s="42" t="s">
        <v>2122</v>
      </c>
      <c r="J320" s="42" t="s">
        <v>2124</v>
      </c>
      <c r="K320" s="40" t="s">
        <v>2123</v>
      </c>
    </row>
    <row r="321" spans="1:11" ht="17.25">
      <c r="A321" s="28">
        <v>317</v>
      </c>
      <c r="B321" s="25" t="s">
        <v>372</v>
      </c>
      <c r="C321" s="25" t="s">
        <v>1893</v>
      </c>
      <c r="D321" s="25" t="s">
        <v>1100</v>
      </c>
      <c r="E321" s="25" t="s">
        <v>372</v>
      </c>
      <c r="F321" s="42" t="s">
        <v>1432</v>
      </c>
      <c r="G321" s="25" t="str">
        <f t="shared" si="8"/>
        <v>USERROLENM</v>
      </c>
      <c r="H321" s="42" t="str">
        <f t="shared" si="9"/>
        <v>1~300</v>
      </c>
      <c r="I321" s="42" t="s">
        <v>2122</v>
      </c>
      <c r="J321" s="42" t="s">
        <v>2124</v>
      </c>
      <c r="K321" s="40" t="s">
        <v>2123</v>
      </c>
    </row>
    <row r="322" spans="1:11" ht="17.25">
      <c r="A322" s="28">
        <v>318</v>
      </c>
      <c r="B322" s="25" t="s">
        <v>373</v>
      </c>
      <c r="C322" s="25" t="s">
        <v>1894</v>
      </c>
      <c r="D322" s="25" t="s">
        <v>1101</v>
      </c>
      <c r="E322" s="25" t="s">
        <v>373</v>
      </c>
      <c r="F322" s="42" t="s">
        <v>1434</v>
      </c>
      <c r="G322" s="25" t="str">
        <f t="shared" si="8"/>
        <v>USERROLESN</v>
      </c>
      <c r="H322" s="42" t="str">
        <f t="shared" si="9"/>
        <v>1~22</v>
      </c>
      <c r="I322" s="42" t="s">
        <v>2122</v>
      </c>
      <c r="J322" s="42" t="s">
        <v>2124</v>
      </c>
      <c r="K322" s="40" t="s">
        <v>2123</v>
      </c>
    </row>
    <row r="323" spans="1:11" ht="17.25">
      <c r="A323" s="28">
        <v>319</v>
      </c>
      <c r="B323" s="25" t="s">
        <v>374</v>
      </c>
      <c r="C323" s="25" t="s">
        <v>1895</v>
      </c>
      <c r="D323" s="25" t="s">
        <v>1102</v>
      </c>
      <c r="E323" s="25" t="s">
        <v>374</v>
      </c>
      <c r="F323" s="42" t="s">
        <v>1460</v>
      </c>
      <c r="G323" s="25" t="str">
        <f t="shared" si="8"/>
        <v>USERTYPE</v>
      </c>
      <c r="H323" s="42" t="str">
        <f t="shared" si="9"/>
        <v>1~1000</v>
      </c>
      <c r="I323" s="42" t="s">
        <v>2122</v>
      </c>
      <c r="J323" s="42" t="s">
        <v>2124</v>
      </c>
      <c r="K323" s="40" t="s">
        <v>2123</v>
      </c>
    </row>
    <row r="324" spans="1:11" ht="34.5">
      <c r="A324" s="28">
        <v>320</v>
      </c>
      <c r="B324" s="25" t="s">
        <v>375</v>
      </c>
      <c r="C324" s="25" t="s">
        <v>1896</v>
      </c>
      <c r="D324" s="25" t="s">
        <v>1103</v>
      </c>
      <c r="E324" s="25" t="s">
        <v>746</v>
      </c>
      <c r="F324" s="42" t="s">
        <v>1453</v>
      </c>
      <c r="G324" s="25" t="str">
        <f t="shared" si="8"/>
        <v>USERSN</v>
      </c>
      <c r="H324" s="42" t="str">
        <f t="shared" si="9"/>
        <v>1~10</v>
      </c>
      <c r="I324" s="42" t="s">
        <v>2122</v>
      </c>
      <c r="J324" s="42" t="s">
        <v>2124</v>
      </c>
      <c r="K324" s="40" t="s">
        <v>2123</v>
      </c>
    </row>
    <row r="325" spans="1:11" ht="17.25">
      <c r="A325" s="28">
        <v>321</v>
      </c>
      <c r="B325" s="25" t="s">
        <v>376</v>
      </c>
      <c r="C325" s="25" t="s">
        <v>1897</v>
      </c>
      <c r="D325" s="25" t="s">
        <v>1104</v>
      </c>
      <c r="E325" s="25" t="s">
        <v>376</v>
      </c>
      <c r="F325" s="42" t="s">
        <v>1435</v>
      </c>
      <c r="G325" s="25" t="str">
        <f t="shared" si="8"/>
        <v>USERCONTSVL</v>
      </c>
      <c r="H325" s="42" t="str">
        <f t="shared" si="9"/>
        <v>1~100</v>
      </c>
      <c r="I325" s="42" t="s">
        <v>2122</v>
      </c>
      <c r="J325" s="42" t="s">
        <v>2124</v>
      </c>
      <c r="K325" s="40" t="s">
        <v>2123</v>
      </c>
    </row>
    <row r="326" spans="1:11" ht="17.25">
      <c r="A326" s="28">
        <v>322</v>
      </c>
      <c r="B326" s="25" t="s">
        <v>377</v>
      </c>
      <c r="C326" s="25" t="s">
        <v>1898</v>
      </c>
      <c r="D326" s="25" t="s">
        <v>1105</v>
      </c>
      <c r="E326" s="25" t="s">
        <v>377</v>
      </c>
      <c r="F326" s="42" t="s">
        <v>1432</v>
      </c>
      <c r="G326" s="25" t="str">
        <f t="shared" ref="G326:G389" si="10">SUBSTITUTE(D326, "_", "")</f>
        <v>USERCONTSNM</v>
      </c>
      <c r="H326" s="42" t="str">
        <f t="shared" ref="H326:H389" si="11">CONCATENATE("1~", _xlfn.REGEXREPLACE(F326, "[^0-9]",""))</f>
        <v>1~300</v>
      </c>
      <c r="I326" s="42" t="s">
        <v>2122</v>
      </c>
      <c r="J326" s="42" t="s">
        <v>2124</v>
      </c>
      <c r="K326" s="40" t="s">
        <v>2123</v>
      </c>
    </row>
    <row r="327" spans="1:11" ht="17.25">
      <c r="A327" s="28">
        <v>323</v>
      </c>
      <c r="B327" s="25" t="s">
        <v>378</v>
      </c>
      <c r="C327" s="25" t="s">
        <v>1899</v>
      </c>
      <c r="D327" s="25" t="s">
        <v>1106</v>
      </c>
      <c r="E327" s="25" t="s">
        <v>378</v>
      </c>
      <c r="F327" s="42" t="s">
        <v>1434</v>
      </c>
      <c r="G327" s="25" t="str">
        <f t="shared" si="10"/>
        <v>USERCONTSSN</v>
      </c>
      <c r="H327" s="42" t="str">
        <f t="shared" si="11"/>
        <v>1~22</v>
      </c>
      <c r="I327" s="42" t="s">
        <v>2122</v>
      </c>
      <c r="J327" s="42" t="s">
        <v>2124</v>
      </c>
      <c r="K327" s="40" t="s">
        <v>2123</v>
      </c>
    </row>
    <row r="328" spans="1:11" ht="17.25">
      <c r="A328" s="28">
        <v>324</v>
      </c>
      <c r="B328" s="25" t="s">
        <v>379</v>
      </c>
      <c r="C328" s="25" t="s">
        <v>1900</v>
      </c>
      <c r="D328" s="25" t="s">
        <v>1107</v>
      </c>
      <c r="E328" s="25" t="s">
        <v>379</v>
      </c>
      <c r="F328" s="42" t="s">
        <v>1434</v>
      </c>
      <c r="G328" s="25" t="str">
        <f t="shared" si="10"/>
        <v>USERCONTSVTLZSN</v>
      </c>
      <c r="H328" s="42" t="str">
        <f t="shared" si="11"/>
        <v>1~22</v>
      </c>
      <c r="I328" s="42" t="s">
        <v>2122</v>
      </c>
      <c r="J328" s="42" t="s">
        <v>2124</v>
      </c>
      <c r="K328" s="40" t="s">
        <v>2123</v>
      </c>
    </row>
    <row r="329" spans="1:11" ht="34.5">
      <c r="A329" s="28">
        <v>325</v>
      </c>
      <c r="B329" s="25" t="s">
        <v>380</v>
      </c>
      <c r="C329" s="25" t="s">
        <v>1901</v>
      </c>
      <c r="D329" s="25" t="s">
        <v>1108</v>
      </c>
      <c r="E329" s="25" t="s">
        <v>747</v>
      </c>
      <c r="F329" s="42" t="s">
        <v>1459</v>
      </c>
      <c r="G329" s="25" t="str">
        <f t="shared" si="10"/>
        <v>USERMBLTELNO</v>
      </c>
      <c r="H329" s="42" t="str">
        <f t="shared" si="11"/>
        <v>1~11</v>
      </c>
      <c r="I329" s="42" t="s">
        <v>2122</v>
      </c>
      <c r="J329" s="42" t="s">
        <v>2124</v>
      </c>
      <c r="K329" s="40" t="s">
        <v>2123</v>
      </c>
    </row>
    <row r="330" spans="1:11" ht="17.25">
      <c r="A330" s="28">
        <v>326</v>
      </c>
      <c r="B330" s="25" t="s">
        <v>381</v>
      </c>
      <c r="C330" s="25" t="s">
        <v>1902</v>
      </c>
      <c r="D330" s="25" t="s">
        <v>1109</v>
      </c>
      <c r="E330" s="25" t="s">
        <v>381</v>
      </c>
      <c r="F330" s="42" t="s">
        <v>1434</v>
      </c>
      <c r="G330" s="25" t="str">
        <f t="shared" si="10"/>
        <v>SITEAPISN</v>
      </c>
      <c r="H330" s="42" t="str">
        <f t="shared" si="11"/>
        <v>1~22</v>
      </c>
      <c r="I330" s="42" t="s">
        <v>2122</v>
      </c>
      <c r="J330" s="42" t="s">
        <v>2124</v>
      </c>
      <c r="K330" s="40" t="s">
        <v>2123</v>
      </c>
    </row>
    <row r="331" spans="1:11" ht="34.5">
      <c r="A331" s="28">
        <v>327</v>
      </c>
      <c r="B331" s="25" t="s">
        <v>382</v>
      </c>
      <c r="C331" s="25" t="s">
        <v>1903</v>
      </c>
      <c r="D331" s="25" t="s">
        <v>1110</v>
      </c>
      <c r="E331" s="25" t="s">
        <v>748</v>
      </c>
      <c r="F331" s="42" t="s">
        <v>1440</v>
      </c>
      <c r="G331" s="25" t="str">
        <f t="shared" si="10"/>
        <v>DELYN</v>
      </c>
      <c r="H331" s="42" t="str">
        <f t="shared" si="11"/>
        <v>1~1</v>
      </c>
      <c r="I331" s="42" t="s">
        <v>2122</v>
      </c>
      <c r="J331" s="42" t="s">
        <v>2124</v>
      </c>
      <c r="K331" s="40" t="s">
        <v>2123</v>
      </c>
    </row>
    <row r="332" spans="1:11" ht="34.5">
      <c r="A332" s="28">
        <v>328</v>
      </c>
      <c r="B332" s="25" t="s">
        <v>383</v>
      </c>
      <c r="C332" s="25" t="s">
        <v>1904</v>
      </c>
      <c r="D332" s="25" t="s">
        <v>1111</v>
      </c>
      <c r="E332" s="25" t="s">
        <v>749</v>
      </c>
      <c r="F332" s="42" t="s">
        <v>1451</v>
      </c>
      <c r="G332" s="25" t="str">
        <f t="shared" si="10"/>
        <v>DELDT</v>
      </c>
      <c r="H332" s="42" t="str">
        <f t="shared" si="11"/>
        <v>1~</v>
      </c>
      <c r="I332" s="42" t="s">
        <v>2122</v>
      </c>
      <c r="J332" s="42" t="s">
        <v>2124</v>
      </c>
      <c r="K332" s="40" t="s">
        <v>2123</v>
      </c>
    </row>
    <row r="333" spans="1:11" ht="34.5">
      <c r="A333" s="28">
        <v>329</v>
      </c>
      <c r="B333" s="25" t="s">
        <v>384</v>
      </c>
      <c r="C333" s="25" t="s">
        <v>1905</v>
      </c>
      <c r="D333" s="25" t="s">
        <v>1112</v>
      </c>
      <c r="E333" s="25" t="s">
        <v>750</v>
      </c>
      <c r="F333" s="42" t="s">
        <v>1446</v>
      </c>
      <c r="G333" s="25" t="str">
        <f t="shared" si="10"/>
        <v>DELYMD</v>
      </c>
      <c r="H333" s="42" t="str">
        <f t="shared" si="11"/>
        <v>1~8</v>
      </c>
      <c r="I333" s="42" t="s">
        <v>2122</v>
      </c>
      <c r="J333" s="42" t="s">
        <v>2124</v>
      </c>
      <c r="K333" s="40" t="s">
        <v>2123</v>
      </c>
    </row>
    <row r="334" spans="1:11" ht="17.25">
      <c r="A334" s="28">
        <v>330</v>
      </c>
      <c r="B334" s="25" t="s">
        <v>385</v>
      </c>
      <c r="C334" s="25" t="s">
        <v>1906</v>
      </c>
      <c r="D334" s="25" t="s">
        <v>1113</v>
      </c>
      <c r="E334" s="25" t="s">
        <v>751</v>
      </c>
      <c r="F334" s="42" t="s">
        <v>1433</v>
      </c>
      <c r="G334" s="25" t="str">
        <f t="shared" si="10"/>
        <v>UPMENUID</v>
      </c>
      <c r="H334" s="42" t="str">
        <f t="shared" si="11"/>
        <v>1~20</v>
      </c>
      <c r="I334" s="42" t="s">
        <v>2122</v>
      </c>
      <c r="J334" s="42" t="s">
        <v>2124</v>
      </c>
      <c r="K334" s="40" t="s">
        <v>2123</v>
      </c>
    </row>
    <row r="335" spans="1:11" ht="51.75">
      <c r="A335" s="28">
        <v>331</v>
      </c>
      <c r="B335" s="25" t="s">
        <v>386</v>
      </c>
      <c r="C335" s="25" t="s">
        <v>1907</v>
      </c>
      <c r="D335" s="25" t="s">
        <v>1114</v>
      </c>
      <c r="E335" s="25" t="s">
        <v>752</v>
      </c>
      <c r="F335" s="42" t="s">
        <v>1434</v>
      </c>
      <c r="G335" s="25" t="str">
        <f t="shared" si="10"/>
        <v>UPMENUSN</v>
      </c>
      <c r="H335" s="42" t="str">
        <f t="shared" si="11"/>
        <v>1~22</v>
      </c>
      <c r="I335" s="42" t="s">
        <v>2122</v>
      </c>
      <c r="J335" s="42" t="s">
        <v>2124</v>
      </c>
      <c r="K335" s="40" t="s">
        <v>2123</v>
      </c>
    </row>
    <row r="336" spans="1:11" ht="17.25">
      <c r="A336" s="28">
        <v>332</v>
      </c>
      <c r="B336" s="25" t="s">
        <v>387</v>
      </c>
      <c r="C336" s="25" t="s">
        <v>1908</v>
      </c>
      <c r="D336" s="25" t="s">
        <v>1115</v>
      </c>
      <c r="E336" s="25" t="s">
        <v>387</v>
      </c>
      <c r="F336" s="42" t="s">
        <v>1432</v>
      </c>
      <c r="G336" s="25" t="str">
        <f t="shared" si="10"/>
        <v>UPENGTTL</v>
      </c>
      <c r="H336" s="42" t="str">
        <f t="shared" si="11"/>
        <v>1~300</v>
      </c>
      <c r="I336" s="42" t="s">
        <v>2122</v>
      </c>
      <c r="J336" s="42" t="s">
        <v>2124</v>
      </c>
      <c r="K336" s="40" t="s">
        <v>2123</v>
      </c>
    </row>
    <row r="337" spans="1:11" ht="17.25">
      <c r="A337" s="28">
        <v>333</v>
      </c>
      <c r="B337" s="25" t="s">
        <v>388</v>
      </c>
      <c r="C337" s="25" t="s">
        <v>1909</v>
      </c>
      <c r="D337" s="25" t="s">
        <v>1116</v>
      </c>
      <c r="E337" s="25" t="s">
        <v>388</v>
      </c>
      <c r="F337" s="42" t="s">
        <v>1432</v>
      </c>
      <c r="G337" s="25" t="str">
        <f t="shared" si="10"/>
        <v>UPTTL</v>
      </c>
      <c r="H337" s="42" t="str">
        <f t="shared" si="11"/>
        <v>1~300</v>
      </c>
      <c r="I337" s="42" t="s">
        <v>2122</v>
      </c>
      <c r="J337" s="42" t="s">
        <v>2124</v>
      </c>
      <c r="K337" s="40" t="s">
        <v>2123</v>
      </c>
    </row>
    <row r="338" spans="1:11" ht="17.25">
      <c r="A338" s="28">
        <v>334</v>
      </c>
      <c r="B338" s="25" t="s">
        <v>389</v>
      </c>
      <c r="C338" s="25" t="s">
        <v>1910</v>
      </c>
      <c r="D338" s="25" t="s">
        <v>1117</v>
      </c>
      <c r="E338" s="25" t="s">
        <v>389</v>
      </c>
      <c r="F338" s="42" t="s">
        <v>1447</v>
      </c>
      <c r="G338" s="25" t="str">
        <f t="shared" si="10"/>
        <v>STTSVL</v>
      </c>
      <c r="H338" s="42" t="str">
        <f t="shared" si="11"/>
        <v>1~10</v>
      </c>
      <c r="I338" s="42" t="s">
        <v>2122</v>
      </c>
      <c r="J338" s="42" t="s">
        <v>2124</v>
      </c>
      <c r="K338" s="40" t="s">
        <v>2123</v>
      </c>
    </row>
    <row r="339" spans="1:11" ht="17.25">
      <c r="A339" s="28">
        <v>335</v>
      </c>
      <c r="B339" s="25" t="s">
        <v>390</v>
      </c>
      <c r="C339" s="25" t="s">
        <v>1911</v>
      </c>
      <c r="D339" s="25" t="s">
        <v>1118</v>
      </c>
      <c r="E339" s="25" t="s">
        <v>753</v>
      </c>
      <c r="F339" s="42" t="s">
        <v>1458</v>
      </c>
      <c r="G339" s="25" t="str">
        <f t="shared" si="10"/>
        <v>GDSNM</v>
      </c>
      <c r="H339" s="42" t="str">
        <f t="shared" si="11"/>
        <v>1~200</v>
      </c>
      <c r="I339" s="42" t="s">
        <v>2122</v>
      </c>
      <c r="J339" s="42" t="s">
        <v>2124</v>
      </c>
      <c r="K339" s="40" t="s">
        <v>2123</v>
      </c>
    </row>
    <row r="340" spans="1:11" ht="17.25">
      <c r="A340" s="28">
        <v>336</v>
      </c>
      <c r="B340" s="25" t="s">
        <v>391</v>
      </c>
      <c r="C340" s="25" t="s">
        <v>1912</v>
      </c>
      <c r="D340" s="25" t="s">
        <v>1119</v>
      </c>
      <c r="E340" s="25" t="s">
        <v>754</v>
      </c>
      <c r="F340" s="42" t="s">
        <v>1434</v>
      </c>
      <c r="G340" s="25" t="str">
        <f t="shared" si="10"/>
        <v>GDSSN</v>
      </c>
      <c r="H340" s="42" t="str">
        <f t="shared" si="11"/>
        <v>1~22</v>
      </c>
      <c r="I340" s="42" t="s">
        <v>2122</v>
      </c>
      <c r="J340" s="42" t="s">
        <v>2124</v>
      </c>
      <c r="K340" s="40" t="s">
        <v>2123</v>
      </c>
    </row>
    <row r="341" spans="1:11" ht="17.25">
      <c r="A341" s="28">
        <v>337</v>
      </c>
      <c r="B341" s="25" t="s">
        <v>392</v>
      </c>
      <c r="C341" s="25" t="s">
        <v>1913</v>
      </c>
      <c r="D341" s="25" t="s">
        <v>1120</v>
      </c>
      <c r="E341" s="25" t="s">
        <v>392</v>
      </c>
      <c r="F341" s="42" t="s">
        <v>1434</v>
      </c>
      <c r="G341" s="25" t="str">
        <f t="shared" si="10"/>
        <v>COLRINDXSN</v>
      </c>
      <c r="H341" s="42" t="str">
        <f t="shared" si="11"/>
        <v>1~22</v>
      </c>
      <c r="I341" s="42" t="s">
        <v>2122</v>
      </c>
      <c r="J341" s="42" t="s">
        <v>2124</v>
      </c>
      <c r="K341" s="40" t="s">
        <v>2123</v>
      </c>
    </row>
    <row r="342" spans="1:11" ht="17.25">
      <c r="A342" s="28">
        <v>338</v>
      </c>
      <c r="B342" s="25" t="s">
        <v>393</v>
      </c>
      <c r="C342" s="25" t="s">
        <v>1761</v>
      </c>
      <c r="D342" s="25" t="s">
        <v>1121</v>
      </c>
      <c r="E342" s="25" t="s">
        <v>393</v>
      </c>
      <c r="F342" s="42" t="s">
        <v>1447</v>
      </c>
      <c r="G342" s="25" t="str">
        <f t="shared" si="10"/>
        <v>SBMENUBCRNCOLRVL</v>
      </c>
      <c r="H342" s="42" t="str">
        <f t="shared" si="11"/>
        <v>1~10</v>
      </c>
      <c r="I342" s="42" t="s">
        <v>2122</v>
      </c>
      <c r="J342" s="42" t="s">
        <v>2124</v>
      </c>
      <c r="K342" s="40" t="s">
        <v>2123</v>
      </c>
    </row>
    <row r="343" spans="1:11" ht="17.25">
      <c r="A343" s="28">
        <v>339</v>
      </c>
      <c r="B343" s="25" t="s">
        <v>394</v>
      </c>
      <c r="C343" s="25" t="s">
        <v>1762</v>
      </c>
      <c r="D343" s="25" t="s">
        <v>1122</v>
      </c>
      <c r="E343" s="25" t="s">
        <v>394</v>
      </c>
      <c r="F343" s="42" t="s">
        <v>1464</v>
      </c>
      <c r="G343" s="25" t="str">
        <f t="shared" si="10"/>
        <v>SBMENUBCRNCOLRCNT</v>
      </c>
      <c r="H343" s="42" t="str">
        <f t="shared" si="11"/>
        <v>1~42</v>
      </c>
      <c r="I343" s="42" t="s">
        <v>2122</v>
      </c>
      <c r="J343" s="42" t="s">
        <v>2124</v>
      </c>
      <c r="K343" s="40" t="s">
        <v>2123</v>
      </c>
    </row>
    <row r="344" spans="1:11" ht="34.5">
      <c r="A344" s="28">
        <v>340</v>
      </c>
      <c r="B344" s="25" t="s">
        <v>395</v>
      </c>
      <c r="C344" s="25" t="s">
        <v>1763</v>
      </c>
      <c r="D344" s="25" t="s">
        <v>1123</v>
      </c>
      <c r="E344" s="25" t="s">
        <v>395</v>
      </c>
      <c r="F344" s="42" t="s">
        <v>1464</v>
      </c>
      <c r="G344" s="25" t="str">
        <f t="shared" si="10"/>
        <v>SBMENUBCRNCOLRCLRTYCNT</v>
      </c>
      <c r="H344" s="42" t="str">
        <f t="shared" si="11"/>
        <v>1~42</v>
      </c>
      <c r="I344" s="42" t="s">
        <v>2122</v>
      </c>
      <c r="J344" s="42" t="s">
        <v>2124</v>
      </c>
      <c r="K344" s="40" t="s">
        <v>2123</v>
      </c>
    </row>
    <row r="345" spans="1:11" ht="17.25">
      <c r="A345" s="28">
        <v>341</v>
      </c>
      <c r="B345" s="25" t="s">
        <v>396</v>
      </c>
      <c r="C345" s="25" t="s">
        <v>1764</v>
      </c>
      <c r="D345" s="25" t="s">
        <v>1124</v>
      </c>
      <c r="E345" s="25" t="s">
        <v>396</v>
      </c>
      <c r="F345" s="42" t="s">
        <v>1433</v>
      </c>
      <c r="G345" s="25" t="str">
        <f t="shared" si="10"/>
        <v>SBMENUID</v>
      </c>
      <c r="H345" s="42" t="str">
        <f t="shared" si="11"/>
        <v>1~20</v>
      </c>
      <c r="I345" s="42" t="s">
        <v>2122</v>
      </c>
      <c r="J345" s="42" t="s">
        <v>2124</v>
      </c>
      <c r="K345" s="40" t="s">
        <v>2123</v>
      </c>
    </row>
    <row r="346" spans="1:11" ht="17.25">
      <c r="A346" s="28">
        <v>342</v>
      </c>
      <c r="B346" s="25" t="s">
        <v>397</v>
      </c>
      <c r="C346" s="25" t="s">
        <v>1765</v>
      </c>
      <c r="D346" s="25" t="s">
        <v>1125</v>
      </c>
      <c r="E346" s="25" t="s">
        <v>397</v>
      </c>
      <c r="F346" s="42" t="s">
        <v>1447</v>
      </c>
      <c r="G346" s="25" t="str">
        <f t="shared" si="10"/>
        <v>SBMENUFONTCOLRVL</v>
      </c>
      <c r="H346" s="42" t="str">
        <f t="shared" si="11"/>
        <v>1~10</v>
      </c>
      <c r="I346" s="42" t="s">
        <v>2122</v>
      </c>
      <c r="J346" s="42" t="s">
        <v>2124</v>
      </c>
      <c r="K346" s="40" t="s">
        <v>2123</v>
      </c>
    </row>
    <row r="347" spans="1:11" ht="17.25">
      <c r="A347" s="28">
        <v>343</v>
      </c>
      <c r="B347" s="25" t="s">
        <v>398</v>
      </c>
      <c r="C347" s="25" t="s">
        <v>1766</v>
      </c>
      <c r="D347" s="25" t="s">
        <v>1126</v>
      </c>
      <c r="E347" s="25" t="s">
        <v>398</v>
      </c>
      <c r="F347" s="42" t="s">
        <v>1435</v>
      </c>
      <c r="G347" s="25" t="str">
        <f t="shared" si="10"/>
        <v>SRVCURLADDRVL</v>
      </c>
      <c r="H347" s="42" t="str">
        <f t="shared" si="11"/>
        <v>1~100</v>
      </c>
      <c r="I347" s="42" t="s">
        <v>2122</v>
      </c>
      <c r="J347" s="42" t="s">
        <v>2124</v>
      </c>
      <c r="K347" s="40" t="s">
        <v>2123</v>
      </c>
    </row>
    <row r="348" spans="1:11" ht="34.5">
      <c r="A348" s="28">
        <v>344</v>
      </c>
      <c r="B348" s="25" t="s">
        <v>399</v>
      </c>
      <c r="C348" s="25" t="s">
        <v>1767</v>
      </c>
      <c r="D348" s="25" t="s">
        <v>1127</v>
      </c>
      <c r="E348" s="25" t="s">
        <v>755</v>
      </c>
      <c r="F348" s="42" t="s">
        <v>1457</v>
      </c>
      <c r="G348" s="25" t="str">
        <f t="shared" si="10"/>
        <v>SRVCNM</v>
      </c>
      <c r="H348" s="42" t="str">
        <f t="shared" si="11"/>
        <v>1~100</v>
      </c>
      <c r="I348" s="42" t="s">
        <v>2122</v>
      </c>
      <c r="J348" s="42" t="s">
        <v>2124</v>
      </c>
      <c r="K348" s="40" t="s">
        <v>2123</v>
      </c>
    </row>
    <row r="349" spans="1:11" ht="17.25">
      <c r="A349" s="28">
        <v>345</v>
      </c>
      <c r="B349" s="25" t="s">
        <v>400</v>
      </c>
      <c r="C349" s="25" t="s">
        <v>1768</v>
      </c>
      <c r="D349" s="25" t="s">
        <v>1128</v>
      </c>
      <c r="E349" s="25" t="s">
        <v>400</v>
      </c>
      <c r="F349" s="42" t="s">
        <v>1441</v>
      </c>
      <c r="G349" s="25" t="str">
        <f t="shared" si="10"/>
        <v>SRVCNO</v>
      </c>
      <c r="H349" s="42" t="str">
        <f t="shared" si="11"/>
        <v>1~100</v>
      </c>
      <c r="I349" s="42" t="s">
        <v>2122</v>
      </c>
      <c r="J349" s="42" t="s">
        <v>2124</v>
      </c>
      <c r="K349" s="40" t="s">
        <v>2123</v>
      </c>
    </row>
    <row r="350" spans="1:11" ht="34.5">
      <c r="A350" s="28">
        <v>346</v>
      </c>
      <c r="B350" s="25" t="s">
        <v>401</v>
      </c>
      <c r="C350" s="25" t="s">
        <v>1769</v>
      </c>
      <c r="D350" s="25" t="s">
        <v>1129</v>
      </c>
      <c r="E350" s="25" t="s">
        <v>756</v>
      </c>
      <c r="F350" s="42" t="s">
        <v>1443</v>
      </c>
      <c r="G350" s="25" t="str">
        <f t="shared" si="10"/>
        <v>SRVCEXPLN</v>
      </c>
      <c r="H350" s="42" t="str">
        <f t="shared" si="11"/>
        <v>1~4000</v>
      </c>
      <c r="I350" s="42" t="s">
        <v>2122</v>
      </c>
      <c r="J350" s="42" t="s">
        <v>2124</v>
      </c>
      <c r="K350" s="40" t="s">
        <v>2123</v>
      </c>
    </row>
    <row r="351" spans="1:11" ht="17.25">
      <c r="A351" s="28">
        <v>347</v>
      </c>
      <c r="B351" s="25" t="s">
        <v>402</v>
      </c>
      <c r="C351" s="25" t="s">
        <v>1770</v>
      </c>
      <c r="D351" s="25" t="s">
        <v>1130</v>
      </c>
      <c r="E351" s="25" t="s">
        <v>402</v>
      </c>
      <c r="F351" s="42" t="s">
        <v>1441</v>
      </c>
      <c r="G351" s="25" t="str">
        <f t="shared" si="10"/>
        <v>SRVCAPLYNO</v>
      </c>
      <c r="H351" s="42" t="str">
        <f t="shared" si="11"/>
        <v>1~100</v>
      </c>
      <c r="I351" s="42" t="s">
        <v>2122</v>
      </c>
      <c r="J351" s="42" t="s">
        <v>2124</v>
      </c>
      <c r="K351" s="40" t="s">
        <v>2123</v>
      </c>
    </row>
    <row r="352" spans="1:11" ht="17.25">
      <c r="A352" s="28">
        <v>348</v>
      </c>
      <c r="B352" s="25" t="s">
        <v>403</v>
      </c>
      <c r="C352" s="25" t="s">
        <v>1771</v>
      </c>
      <c r="D352" s="25" t="s">
        <v>1131</v>
      </c>
      <c r="E352" s="25" t="s">
        <v>403</v>
      </c>
      <c r="F352" s="42" t="s">
        <v>1434</v>
      </c>
      <c r="G352" s="25" t="str">
        <f t="shared" si="10"/>
        <v>SRVCAPLYDTLSN</v>
      </c>
      <c r="H352" s="42" t="str">
        <f t="shared" si="11"/>
        <v>1~22</v>
      </c>
      <c r="I352" s="42" t="s">
        <v>2122</v>
      </c>
      <c r="J352" s="42" t="s">
        <v>2124</v>
      </c>
      <c r="K352" s="40" t="s">
        <v>2123</v>
      </c>
    </row>
    <row r="353" spans="1:11" ht="17.25">
      <c r="A353" s="28">
        <v>349</v>
      </c>
      <c r="B353" s="25" t="s">
        <v>404</v>
      </c>
      <c r="C353" s="25" t="s">
        <v>1772</v>
      </c>
      <c r="D353" s="25" t="s">
        <v>1132</v>
      </c>
      <c r="E353" s="25" t="s">
        <v>404</v>
      </c>
      <c r="F353" s="42" t="s">
        <v>1433</v>
      </c>
      <c r="G353" s="25" t="str">
        <f t="shared" si="10"/>
        <v>SRVCAPLYAPRVID</v>
      </c>
      <c r="H353" s="42" t="str">
        <f t="shared" si="11"/>
        <v>1~20</v>
      </c>
      <c r="I353" s="42" t="s">
        <v>2122</v>
      </c>
      <c r="J353" s="42" t="s">
        <v>2124</v>
      </c>
      <c r="K353" s="40" t="s">
        <v>2123</v>
      </c>
    </row>
    <row r="354" spans="1:11" ht="17.25">
      <c r="A354" s="28">
        <v>350</v>
      </c>
      <c r="B354" s="25" t="s">
        <v>405</v>
      </c>
      <c r="C354" s="25" t="s">
        <v>1773</v>
      </c>
      <c r="D354" s="25" t="s">
        <v>1133</v>
      </c>
      <c r="E354" s="25" t="s">
        <v>405</v>
      </c>
      <c r="F354" s="42" t="s">
        <v>1451</v>
      </c>
      <c r="G354" s="25" t="str">
        <f t="shared" si="10"/>
        <v>SRVCAPLYAPRVDT</v>
      </c>
      <c r="H354" s="42" t="str">
        <f t="shared" si="11"/>
        <v>1~</v>
      </c>
      <c r="I354" s="42" t="s">
        <v>2122</v>
      </c>
      <c r="J354" s="42" t="s">
        <v>2124</v>
      </c>
      <c r="K354" s="40" t="s">
        <v>2123</v>
      </c>
    </row>
    <row r="355" spans="1:11" ht="17.25">
      <c r="A355" s="28">
        <v>351</v>
      </c>
      <c r="B355" s="25" t="s">
        <v>406</v>
      </c>
      <c r="C355" s="25" t="s">
        <v>1774</v>
      </c>
      <c r="D355" s="25" t="s">
        <v>1134</v>
      </c>
      <c r="E355" s="25" t="s">
        <v>406</v>
      </c>
      <c r="F355" s="42" t="s">
        <v>1434</v>
      </c>
      <c r="G355" s="25" t="str">
        <f t="shared" si="10"/>
        <v>SRVCAPLYSN</v>
      </c>
      <c r="H355" s="42" t="str">
        <f t="shared" si="11"/>
        <v>1~22</v>
      </c>
      <c r="I355" s="42" t="s">
        <v>2122</v>
      </c>
      <c r="J355" s="42" t="s">
        <v>2124</v>
      </c>
      <c r="K355" s="40" t="s">
        <v>2123</v>
      </c>
    </row>
    <row r="356" spans="1:11" ht="17.25">
      <c r="A356" s="28">
        <v>352</v>
      </c>
      <c r="B356" s="25" t="s">
        <v>407</v>
      </c>
      <c r="C356" s="25" t="s">
        <v>1775</v>
      </c>
      <c r="D356" s="25" t="s">
        <v>1135</v>
      </c>
      <c r="E356" s="25" t="s">
        <v>407</v>
      </c>
      <c r="F356" s="42" t="s">
        <v>1434</v>
      </c>
      <c r="G356" s="25" t="str">
        <f t="shared" si="10"/>
        <v>SRVCAPLYDAYSN</v>
      </c>
      <c r="H356" s="42" t="str">
        <f t="shared" si="11"/>
        <v>1~22</v>
      </c>
      <c r="I356" s="42" t="s">
        <v>2122</v>
      </c>
      <c r="J356" s="42" t="s">
        <v>2124</v>
      </c>
      <c r="K356" s="40" t="s">
        <v>2123</v>
      </c>
    </row>
    <row r="357" spans="1:11" ht="17.25">
      <c r="A357" s="28">
        <v>353</v>
      </c>
      <c r="B357" s="25" t="s">
        <v>408</v>
      </c>
      <c r="C357" s="25" t="s">
        <v>1776</v>
      </c>
      <c r="D357" s="25" t="s">
        <v>1136</v>
      </c>
      <c r="E357" s="25" t="s">
        <v>408</v>
      </c>
      <c r="F357" s="42" t="s">
        <v>1454</v>
      </c>
      <c r="G357" s="25" t="str">
        <f t="shared" si="10"/>
        <v>SRVCAPLYCD</v>
      </c>
      <c r="H357" s="42" t="str">
        <f t="shared" si="11"/>
        <v>1~10</v>
      </c>
      <c r="I357" s="42" t="s">
        <v>2122</v>
      </c>
      <c r="J357" s="42" t="s">
        <v>2124</v>
      </c>
      <c r="K357" s="40" t="s">
        <v>2123</v>
      </c>
    </row>
    <row r="358" spans="1:11" ht="17.25">
      <c r="A358" s="28">
        <v>354</v>
      </c>
      <c r="B358" s="25" t="s">
        <v>409</v>
      </c>
      <c r="C358" s="25" t="s">
        <v>1777</v>
      </c>
      <c r="D358" s="25" t="s">
        <v>1137</v>
      </c>
      <c r="E358" s="25" t="s">
        <v>409</v>
      </c>
      <c r="F358" s="42" t="s">
        <v>1432</v>
      </c>
      <c r="G358" s="25" t="str">
        <f t="shared" si="10"/>
        <v>SRVCENGNM</v>
      </c>
      <c r="H358" s="42" t="str">
        <f t="shared" si="11"/>
        <v>1~300</v>
      </c>
      <c r="I358" s="42" t="s">
        <v>2122</v>
      </c>
      <c r="J358" s="42" t="s">
        <v>2124</v>
      </c>
      <c r="K358" s="40" t="s">
        <v>2123</v>
      </c>
    </row>
    <row r="359" spans="1:11" ht="17.25">
      <c r="A359" s="28">
        <v>355</v>
      </c>
      <c r="B359" s="25" t="s">
        <v>410</v>
      </c>
      <c r="C359" s="25" t="s">
        <v>1778</v>
      </c>
      <c r="D359" s="25" t="s">
        <v>1138</v>
      </c>
      <c r="E359" s="25" t="s">
        <v>410</v>
      </c>
      <c r="F359" s="42" t="s">
        <v>1462</v>
      </c>
      <c r="G359" s="25" t="str">
        <f t="shared" si="10"/>
        <v>SRVCTYPESECD</v>
      </c>
      <c r="H359" s="42" t="str">
        <f t="shared" si="11"/>
        <v>1~1</v>
      </c>
      <c r="I359" s="42" t="s">
        <v>2122</v>
      </c>
      <c r="J359" s="42" t="s">
        <v>2124</v>
      </c>
      <c r="K359" s="40" t="s">
        <v>2123</v>
      </c>
    </row>
    <row r="360" spans="1:11" ht="17.25">
      <c r="A360" s="28">
        <v>356</v>
      </c>
      <c r="B360" s="25" t="s">
        <v>411</v>
      </c>
      <c r="C360" s="25" t="s">
        <v>1779</v>
      </c>
      <c r="D360" s="25" t="s">
        <v>1139</v>
      </c>
      <c r="E360" s="25" t="s">
        <v>411</v>
      </c>
      <c r="F360" s="42" t="s">
        <v>1434</v>
      </c>
      <c r="G360" s="25" t="str">
        <f t="shared" si="10"/>
        <v>SRVCSN</v>
      </c>
      <c r="H360" s="42" t="str">
        <f t="shared" si="11"/>
        <v>1~22</v>
      </c>
      <c r="I360" s="42" t="s">
        <v>2122</v>
      </c>
      <c r="J360" s="42" t="s">
        <v>2124</v>
      </c>
      <c r="K360" s="40" t="s">
        <v>2123</v>
      </c>
    </row>
    <row r="361" spans="1:11" ht="17.25">
      <c r="A361" s="28">
        <v>357</v>
      </c>
      <c r="B361" s="25" t="s">
        <v>412</v>
      </c>
      <c r="C361" s="25" t="s">
        <v>1780</v>
      </c>
      <c r="D361" s="25" t="s">
        <v>1140</v>
      </c>
      <c r="E361" s="25" t="s">
        <v>412</v>
      </c>
      <c r="F361" s="42" t="s">
        <v>1435</v>
      </c>
      <c r="G361" s="25" t="str">
        <f t="shared" si="10"/>
        <v>SRVCKYWDVL</v>
      </c>
      <c r="H361" s="42" t="str">
        <f t="shared" si="11"/>
        <v>1~100</v>
      </c>
      <c r="I361" s="42" t="s">
        <v>2122</v>
      </c>
      <c r="J361" s="42" t="s">
        <v>2124</v>
      </c>
      <c r="K361" s="40" t="s">
        <v>2123</v>
      </c>
    </row>
    <row r="362" spans="1:11" ht="17.25">
      <c r="A362" s="28">
        <v>358</v>
      </c>
      <c r="B362" s="25" t="s">
        <v>413</v>
      </c>
      <c r="C362" s="25" t="s">
        <v>1781</v>
      </c>
      <c r="D362" s="25" t="s">
        <v>1141</v>
      </c>
      <c r="E362" s="25" t="s">
        <v>413</v>
      </c>
      <c r="F362" s="42" t="s">
        <v>1435</v>
      </c>
      <c r="G362" s="25" t="str">
        <f t="shared" si="10"/>
        <v>NSEGRDVL</v>
      </c>
      <c r="H362" s="42" t="str">
        <f t="shared" si="11"/>
        <v>1~100</v>
      </c>
      <c r="I362" s="42" t="s">
        <v>2122</v>
      </c>
      <c r="J362" s="42" t="s">
        <v>2124</v>
      </c>
      <c r="K362" s="40" t="s">
        <v>2123</v>
      </c>
    </row>
    <row r="363" spans="1:11" ht="17.25">
      <c r="A363" s="28">
        <v>359</v>
      </c>
      <c r="B363" s="25" t="s">
        <v>414</v>
      </c>
      <c r="C363" s="25" t="s">
        <v>1782</v>
      </c>
      <c r="D363" s="25" t="s">
        <v>1142</v>
      </c>
      <c r="E363" s="25" t="s">
        <v>414</v>
      </c>
      <c r="F363" s="42" t="s">
        <v>1434</v>
      </c>
      <c r="G363" s="25" t="str">
        <f t="shared" si="10"/>
        <v>NSEGRDDTLSN</v>
      </c>
      <c r="H363" s="42" t="str">
        <f t="shared" si="11"/>
        <v>1~22</v>
      </c>
      <c r="I363" s="42" t="s">
        <v>2122</v>
      </c>
      <c r="J363" s="42" t="s">
        <v>2124</v>
      </c>
      <c r="K363" s="40" t="s">
        <v>2123</v>
      </c>
    </row>
    <row r="364" spans="1:11" ht="17.25">
      <c r="A364" s="28">
        <v>360</v>
      </c>
      <c r="B364" s="25" t="s">
        <v>415</v>
      </c>
      <c r="C364" s="25" t="s">
        <v>1783</v>
      </c>
      <c r="D364" s="25" t="s">
        <v>1143</v>
      </c>
      <c r="E364" s="25" t="s">
        <v>415</v>
      </c>
      <c r="F364" s="42" t="s">
        <v>1432</v>
      </c>
      <c r="G364" s="25" t="str">
        <f t="shared" si="10"/>
        <v>NSERNM</v>
      </c>
      <c r="H364" s="42" t="str">
        <f t="shared" si="11"/>
        <v>1~300</v>
      </c>
      <c r="I364" s="42" t="s">
        <v>2122</v>
      </c>
      <c r="J364" s="42" t="s">
        <v>2124</v>
      </c>
      <c r="K364" s="40" t="s">
        <v>2123</v>
      </c>
    </row>
    <row r="365" spans="1:11" ht="17.25">
      <c r="A365" s="28">
        <v>361</v>
      </c>
      <c r="B365" s="25" t="s">
        <v>416</v>
      </c>
      <c r="C365" s="25" t="s">
        <v>1784</v>
      </c>
      <c r="D365" s="25" t="s">
        <v>1144</v>
      </c>
      <c r="E365" s="25" t="s">
        <v>416</v>
      </c>
      <c r="F365" s="42" t="s">
        <v>1449</v>
      </c>
      <c r="G365" s="25" t="str">
        <f t="shared" si="10"/>
        <v>NSERCNT</v>
      </c>
      <c r="H365" s="42" t="str">
        <f t="shared" si="11"/>
        <v>1~10</v>
      </c>
      <c r="I365" s="42" t="s">
        <v>2122</v>
      </c>
      <c r="J365" s="42" t="s">
        <v>2124</v>
      </c>
      <c r="K365" s="40" t="s">
        <v>2123</v>
      </c>
    </row>
    <row r="366" spans="1:11" ht="17.25">
      <c r="A366" s="28">
        <v>362</v>
      </c>
      <c r="B366" s="25" t="s">
        <v>417</v>
      </c>
      <c r="C366" s="25" t="s">
        <v>1785</v>
      </c>
      <c r="D366" s="25" t="s">
        <v>1145</v>
      </c>
      <c r="E366" s="25" t="s">
        <v>417</v>
      </c>
      <c r="F366" s="42" t="s">
        <v>1434</v>
      </c>
      <c r="G366" s="25" t="str">
        <f t="shared" si="10"/>
        <v>NSERSN</v>
      </c>
      <c r="H366" s="42" t="str">
        <f t="shared" si="11"/>
        <v>1~22</v>
      </c>
      <c r="I366" s="42" t="s">
        <v>2122</v>
      </c>
      <c r="J366" s="42" t="s">
        <v>2124</v>
      </c>
      <c r="K366" s="40" t="s">
        <v>2123</v>
      </c>
    </row>
    <row r="367" spans="1:11" ht="17.25">
      <c r="A367" s="28">
        <v>363</v>
      </c>
      <c r="B367" s="25" t="s">
        <v>418</v>
      </c>
      <c r="C367" s="25" t="s">
        <v>1786</v>
      </c>
      <c r="D367" s="25" t="s">
        <v>1146</v>
      </c>
      <c r="E367" s="25" t="s">
        <v>418</v>
      </c>
      <c r="F367" s="42" t="s">
        <v>1435</v>
      </c>
      <c r="G367" s="25" t="str">
        <f t="shared" si="10"/>
        <v>NSEMAXVL</v>
      </c>
      <c r="H367" s="42" t="str">
        <f t="shared" si="11"/>
        <v>1~100</v>
      </c>
      <c r="I367" s="42" t="s">
        <v>2122</v>
      </c>
      <c r="J367" s="42" t="s">
        <v>2124</v>
      </c>
      <c r="K367" s="40" t="s">
        <v>2123</v>
      </c>
    </row>
    <row r="368" spans="1:11" ht="17.25">
      <c r="A368" s="28">
        <v>364</v>
      </c>
      <c r="B368" s="25" t="s">
        <v>419</v>
      </c>
      <c r="C368" s="25" t="s">
        <v>1787</v>
      </c>
      <c r="D368" s="25" t="s">
        <v>1147</v>
      </c>
      <c r="E368" s="25" t="s">
        <v>419</v>
      </c>
      <c r="F368" s="42" t="s">
        <v>1435</v>
      </c>
      <c r="G368" s="25" t="str">
        <f t="shared" si="10"/>
        <v>NSEMINVL</v>
      </c>
      <c r="H368" s="42" t="str">
        <f t="shared" si="11"/>
        <v>1~100</v>
      </c>
      <c r="I368" s="42" t="s">
        <v>2122</v>
      </c>
      <c r="J368" s="42" t="s">
        <v>2124</v>
      </c>
      <c r="K368" s="40" t="s">
        <v>2123</v>
      </c>
    </row>
    <row r="369" spans="1:11" ht="17.25">
      <c r="A369" s="28">
        <v>365</v>
      </c>
      <c r="B369" s="25" t="s">
        <v>420</v>
      </c>
      <c r="C369" s="25" t="s">
        <v>1788</v>
      </c>
      <c r="D369" s="25" t="s">
        <v>1148</v>
      </c>
      <c r="E369" s="25" t="s">
        <v>420</v>
      </c>
      <c r="F369" s="42" t="s">
        <v>1435</v>
      </c>
      <c r="G369" s="25" t="str">
        <f t="shared" si="10"/>
        <v>NSETAHZ1VL</v>
      </c>
      <c r="H369" s="42" t="str">
        <f t="shared" si="11"/>
        <v>1~100</v>
      </c>
      <c r="I369" s="42" t="s">
        <v>2122</v>
      </c>
      <c r="J369" s="42" t="s">
        <v>2124</v>
      </c>
      <c r="K369" s="40" t="s">
        <v>2123</v>
      </c>
    </row>
    <row r="370" spans="1:11" ht="17.25">
      <c r="A370" s="28">
        <v>366</v>
      </c>
      <c r="B370" s="25" t="s">
        <v>421</v>
      </c>
      <c r="C370" s="25" t="s">
        <v>1789</v>
      </c>
      <c r="D370" s="25" t="s">
        <v>1149</v>
      </c>
      <c r="E370" s="25" t="s">
        <v>421</v>
      </c>
      <c r="F370" s="42" t="s">
        <v>1435</v>
      </c>
      <c r="G370" s="25" t="str">
        <f t="shared" si="10"/>
        <v>NSETAHZ2VL</v>
      </c>
      <c r="H370" s="42" t="str">
        <f t="shared" si="11"/>
        <v>1~100</v>
      </c>
      <c r="I370" s="42" t="s">
        <v>2122</v>
      </c>
      <c r="J370" s="42" t="s">
        <v>2124</v>
      </c>
      <c r="K370" s="40" t="s">
        <v>2123</v>
      </c>
    </row>
    <row r="371" spans="1:11" ht="17.25">
      <c r="A371" s="28">
        <v>367</v>
      </c>
      <c r="B371" s="25" t="s">
        <v>422</v>
      </c>
      <c r="C371" s="25" t="s">
        <v>1790</v>
      </c>
      <c r="D371" s="25" t="s">
        <v>1150</v>
      </c>
      <c r="E371" s="25" t="s">
        <v>422</v>
      </c>
      <c r="F371" s="42" t="s">
        <v>1435</v>
      </c>
      <c r="G371" s="25" t="str">
        <f t="shared" si="10"/>
        <v>NSETAHZ4VL</v>
      </c>
      <c r="H371" s="42" t="str">
        <f t="shared" si="11"/>
        <v>1~100</v>
      </c>
      <c r="I371" s="42" t="s">
        <v>2122</v>
      </c>
      <c r="J371" s="42" t="s">
        <v>2124</v>
      </c>
      <c r="K371" s="40" t="s">
        <v>2123</v>
      </c>
    </row>
    <row r="372" spans="1:11" ht="17.25">
      <c r="A372" s="28">
        <v>368</v>
      </c>
      <c r="B372" s="25" t="s">
        <v>423</v>
      </c>
      <c r="C372" s="25" t="s">
        <v>1791</v>
      </c>
      <c r="D372" s="25" t="s">
        <v>1151</v>
      </c>
      <c r="E372" s="25" t="s">
        <v>423</v>
      </c>
      <c r="F372" s="42" t="s">
        <v>1435</v>
      </c>
      <c r="G372" s="25" t="str">
        <f t="shared" si="10"/>
        <v>NSETAHZ5VL</v>
      </c>
      <c r="H372" s="42" t="str">
        <f t="shared" si="11"/>
        <v>1~100</v>
      </c>
      <c r="I372" s="42" t="s">
        <v>2122</v>
      </c>
      <c r="J372" s="42" t="s">
        <v>2124</v>
      </c>
      <c r="K372" s="40" t="s">
        <v>2123</v>
      </c>
    </row>
    <row r="373" spans="1:11" ht="17.25">
      <c r="A373" s="28">
        <v>369</v>
      </c>
      <c r="B373" s="25" t="s">
        <v>424</v>
      </c>
      <c r="C373" s="25" t="s">
        <v>1792</v>
      </c>
      <c r="D373" s="25" t="s">
        <v>1152</v>
      </c>
      <c r="E373" s="25" t="s">
        <v>424</v>
      </c>
      <c r="F373" s="42" t="s">
        <v>1435</v>
      </c>
      <c r="G373" s="25" t="str">
        <f t="shared" si="10"/>
        <v>NSEHZ125VL</v>
      </c>
      <c r="H373" s="42" t="str">
        <f t="shared" si="11"/>
        <v>1~100</v>
      </c>
      <c r="I373" s="42" t="s">
        <v>2122</v>
      </c>
      <c r="J373" s="42" t="s">
        <v>2124</v>
      </c>
      <c r="K373" s="40" t="s">
        <v>2123</v>
      </c>
    </row>
    <row r="374" spans="1:11" ht="17.25">
      <c r="A374" s="28">
        <v>370</v>
      </c>
      <c r="B374" s="25" t="s">
        <v>425</v>
      </c>
      <c r="C374" s="25" t="s">
        <v>1793</v>
      </c>
      <c r="D374" s="25" t="s">
        <v>1153</v>
      </c>
      <c r="E374" s="25" t="s">
        <v>425</v>
      </c>
      <c r="F374" s="42" t="s">
        <v>1435</v>
      </c>
      <c r="G374" s="25" t="str">
        <f t="shared" si="10"/>
        <v>NSEHZ250VL</v>
      </c>
      <c r="H374" s="42" t="str">
        <f t="shared" si="11"/>
        <v>1~100</v>
      </c>
      <c r="I374" s="42" t="s">
        <v>2122</v>
      </c>
      <c r="J374" s="42" t="s">
        <v>2124</v>
      </c>
      <c r="K374" s="40" t="s">
        <v>2123</v>
      </c>
    </row>
    <row r="375" spans="1:11" ht="17.25">
      <c r="A375" s="28">
        <v>371</v>
      </c>
      <c r="B375" s="25" t="s">
        <v>426</v>
      </c>
      <c r="C375" s="25" t="s">
        <v>1794</v>
      </c>
      <c r="D375" s="25" t="s">
        <v>1154</v>
      </c>
      <c r="E375" s="25" t="s">
        <v>426</v>
      </c>
      <c r="F375" s="42" t="s">
        <v>1435</v>
      </c>
      <c r="G375" s="25" t="str">
        <f t="shared" si="10"/>
        <v>NSEHZ500VL</v>
      </c>
      <c r="H375" s="42" t="str">
        <f t="shared" si="11"/>
        <v>1~100</v>
      </c>
      <c r="I375" s="42" t="s">
        <v>2122</v>
      </c>
      <c r="J375" s="42" t="s">
        <v>2124</v>
      </c>
      <c r="K375" s="40" t="s">
        <v>2123</v>
      </c>
    </row>
    <row r="376" spans="1:11" ht="17.25">
      <c r="A376" s="28">
        <v>372</v>
      </c>
      <c r="B376" s="25" t="s">
        <v>427</v>
      </c>
      <c r="C376" s="25" t="s">
        <v>1795</v>
      </c>
      <c r="D376" s="25" t="s">
        <v>1155</v>
      </c>
      <c r="E376" s="25" t="s">
        <v>427</v>
      </c>
      <c r="F376" s="42" t="s">
        <v>1435</v>
      </c>
      <c r="G376" s="25" t="str">
        <f t="shared" si="10"/>
        <v>NSEHZ63VL</v>
      </c>
      <c r="H376" s="42" t="str">
        <f t="shared" si="11"/>
        <v>1~100</v>
      </c>
      <c r="I376" s="42" t="s">
        <v>2122</v>
      </c>
      <c r="J376" s="42" t="s">
        <v>2124</v>
      </c>
      <c r="K376" s="40" t="s">
        <v>2123</v>
      </c>
    </row>
    <row r="377" spans="1:11" ht="17.25">
      <c r="A377" s="28">
        <v>373</v>
      </c>
      <c r="B377" s="25" t="s">
        <v>428</v>
      </c>
      <c r="C377" s="25" t="s">
        <v>1796</v>
      </c>
      <c r="D377" s="25" t="s">
        <v>1156</v>
      </c>
      <c r="E377" s="25" t="s">
        <v>428</v>
      </c>
      <c r="F377" s="42" t="s">
        <v>1435</v>
      </c>
      <c r="G377" s="25" t="str">
        <f t="shared" si="10"/>
        <v>NSEABRPRTVL</v>
      </c>
      <c r="H377" s="42" t="str">
        <f t="shared" si="11"/>
        <v>1~100</v>
      </c>
      <c r="I377" s="42" t="s">
        <v>2122</v>
      </c>
      <c r="J377" s="42" t="s">
        <v>2124</v>
      </c>
      <c r="K377" s="40" t="s">
        <v>2123</v>
      </c>
    </row>
    <row r="378" spans="1:11" ht="17.25">
      <c r="A378" s="28">
        <v>374</v>
      </c>
      <c r="B378" s="25" t="s">
        <v>429</v>
      </c>
      <c r="C378" s="25" t="s">
        <v>1674</v>
      </c>
      <c r="D378" s="25" t="s">
        <v>1157</v>
      </c>
      <c r="E378" s="25" t="s">
        <v>429</v>
      </c>
      <c r="F378" s="42" t="s">
        <v>1432</v>
      </c>
      <c r="G378" s="25" t="str">
        <f t="shared" si="10"/>
        <v>RCPTNFILEPATHNM</v>
      </c>
      <c r="H378" s="42" t="str">
        <f t="shared" si="11"/>
        <v>1~300</v>
      </c>
      <c r="I378" s="42" t="s">
        <v>2122</v>
      </c>
      <c r="J378" s="42" t="s">
        <v>2124</v>
      </c>
      <c r="K378" s="40" t="s">
        <v>2123</v>
      </c>
    </row>
    <row r="379" spans="1:11" ht="17.25">
      <c r="A379" s="28">
        <v>375</v>
      </c>
      <c r="B379" s="25" t="s">
        <v>430</v>
      </c>
      <c r="C379" s="25" t="s">
        <v>1675</v>
      </c>
      <c r="D379" s="25" t="s">
        <v>1158</v>
      </c>
      <c r="E379" s="25" t="s">
        <v>757</v>
      </c>
      <c r="F379" s="42" t="s">
        <v>1451</v>
      </c>
      <c r="G379" s="25" t="str">
        <f t="shared" si="10"/>
        <v>MDFCNDT</v>
      </c>
      <c r="H379" s="42" t="s">
        <v>2127</v>
      </c>
      <c r="I379" s="42" t="s">
        <v>2122</v>
      </c>
      <c r="J379" s="42" t="s">
        <v>2124</v>
      </c>
      <c r="K379" s="40" t="s">
        <v>2123</v>
      </c>
    </row>
    <row r="380" spans="1:11" ht="17.25">
      <c r="A380" s="28">
        <v>376</v>
      </c>
      <c r="B380" s="25" t="s">
        <v>431</v>
      </c>
      <c r="C380" s="25" t="s">
        <v>1676</v>
      </c>
      <c r="D380" s="25" t="s">
        <v>1159</v>
      </c>
      <c r="E380" s="25" t="s">
        <v>431</v>
      </c>
      <c r="F380" s="42" t="s">
        <v>1433</v>
      </c>
      <c r="G380" s="25" t="str">
        <f t="shared" si="10"/>
        <v>MDFRID</v>
      </c>
      <c r="H380" s="42" t="str">
        <f t="shared" si="11"/>
        <v>1~20</v>
      </c>
      <c r="I380" s="42" t="s">
        <v>2122</v>
      </c>
      <c r="J380" s="42" t="s">
        <v>2124</v>
      </c>
      <c r="K380" s="40" t="s">
        <v>2123</v>
      </c>
    </row>
    <row r="381" spans="1:11" ht="17.25">
      <c r="A381" s="28">
        <v>377</v>
      </c>
      <c r="B381" s="25" t="s">
        <v>432</v>
      </c>
      <c r="C381" s="25" t="s">
        <v>1677</v>
      </c>
      <c r="D381" s="25" t="s">
        <v>1160</v>
      </c>
      <c r="E381" s="25" t="s">
        <v>432</v>
      </c>
      <c r="F381" s="42" t="s">
        <v>1434</v>
      </c>
      <c r="G381" s="25" t="str">
        <f t="shared" si="10"/>
        <v>SEQSN</v>
      </c>
      <c r="H381" s="42" t="str">
        <f t="shared" si="11"/>
        <v>1~22</v>
      </c>
      <c r="I381" s="42" t="s">
        <v>2122</v>
      </c>
      <c r="J381" s="42" t="s">
        <v>2124</v>
      </c>
      <c r="K381" s="40" t="s">
        <v>2123</v>
      </c>
    </row>
    <row r="382" spans="1:11" ht="17.25">
      <c r="A382" s="28">
        <v>378</v>
      </c>
      <c r="B382" s="25" t="s">
        <v>433</v>
      </c>
      <c r="C382" s="25" t="s">
        <v>1678</v>
      </c>
      <c r="D382" s="25" t="s">
        <v>1161</v>
      </c>
      <c r="E382" s="25" t="s">
        <v>433</v>
      </c>
      <c r="F382" s="42" t="s">
        <v>1460</v>
      </c>
      <c r="G382" s="25" t="str">
        <f t="shared" si="10"/>
        <v>SCHMCN</v>
      </c>
      <c r="H382" s="42" t="str">
        <f t="shared" si="11"/>
        <v>1~1000</v>
      </c>
      <c r="I382" s="42" t="s">
        <v>2122</v>
      </c>
      <c r="J382" s="42" t="s">
        <v>2124</v>
      </c>
      <c r="K382" s="40" t="s">
        <v>2123</v>
      </c>
    </row>
    <row r="383" spans="1:11" ht="51.75">
      <c r="A383" s="28">
        <v>379</v>
      </c>
      <c r="B383" s="25" t="s">
        <v>434</v>
      </c>
      <c r="C383" s="25" t="s">
        <v>1679</v>
      </c>
      <c r="D383" s="25" t="s">
        <v>1162</v>
      </c>
      <c r="E383" s="25" t="s">
        <v>758</v>
      </c>
      <c r="F383" s="42" t="s">
        <v>1432</v>
      </c>
      <c r="G383" s="25" t="str">
        <f t="shared" si="10"/>
        <v>SCHMNM</v>
      </c>
      <c r="H383" s="42" t="str">
        <f t="shared" si="11"/>
        <v>1~300</v>
      </c>
      <c r="I383" s="42" t="s">
        <v>2122</v>
      </c>
      <c r="J383" s="42" t="s">
        <v>2124</v>
      </c>
      <c r="K383" s="40" t="s">
        <v>2123</v>
      </c>
    </row>
    <row r="384" spans="1:11" ht="17.25">
      <c r="A384" s="28">
        <v>380</v>
      </c>
      <c r="B384" s="25" t="s">
        <v>435</v>
      </c>
      <c r="C384" s="25" t="s">
        <v>1680</v>
      </c>
      <c r="D384" s="25" t="s">
        <v>1163</v>
      </c>
      <c r="E384" s="25" t="s">
        <v>435</v>
      </c>
      <c r="F384" s="42" t="s">
        <v>1432</v>
      </c>
      <c r="G384" s="25" t="str">
        <f t="shared" si="10"/>
        <v>STLYNM</v>
      </c>
      <c r="H384" s="42" t="str">
        <f t="shared" si="11"/>
        <v>1~300</v>
      </c>
      <c r="I384" s="42" t="s">
        <v>2122</v>
      </c>
      <c r="J384" s="42" t="s">
        <v>2124</v>
      </c>
      <c r="K384" s="40" t="s">
        <v>2123</v>
      </c>
    </row>
    <row r="385" spans="1:11" ht="17.25">
      <c r="A385" s="28">
        <v>381</v>
      </c>
      <c r="B385" s="25" t="s">
        <v>436</v>
      </c>
      <c r="C385" s="25" t="s">
        <v>1681</v>
      </c>
      <c r="D385" s="25" t="s">
        <v>1164</v>
      </c>
      <c r="E385" s="25" t="s">
        <v>436</v>
      </c>
      <c r="F385" s="42" t="s">
        <v>1433</v>
      </c>
      <c r="G385" s="25" t="str">
        <f t="shared" si="10"/>
        <v>STLYIDNTID</v>
      </c>
      <c r="H385" s="42" t="str">
        <f t="shared" si="11"/>
        <v>1~20</v>
      </c>
      <c r="I385" s="42" t="s">
        <v>2122</v>
      </c>
      <c r="J385" s="42" t="s">
        <v>2124</v>
      </c>
      <c r="K385" s="40" t="s">
        <v>2123</v>
      </c>
    </row>
    <row r="386" spans="1:11" ht="17.25">
      <c r="A386" s="28">
        <v>382</v>
      </c>
      <c r="B386" s="25" t="s">
        <v>437</v>
      </c>
      <c r="C386" s="25" t="s">
        <v>1682</v>
      </c>
      <c r="D386" s="25" t="s">
        <v>1165</v>
      </c>
      <c r="E386" s="25" t="s">
        <v>437</v>
      </c>
      <c r="F386" s="42" t="s">
        <v>1447</v>
      </c>
      <c r="G386" s="25" t="str">
        <f t="shared" si="10"/>
        <v>STLYTYPEVL</v>
      </c>
      <c r="H386" s="42" t="str">
        <f t="shared" si="11"/>
        <v>1~10</v>
      </c>
      <c r="I386" s="42" t="s">
        <v>2122</v>
      </c>
      <c r="J386" s="42" t="s">
        <v>2124</v>
      </c>
      <c r="K386" s="40" t="s">
        <v>2123</v>
      </c>
    </row>
    <row r="387" spans="1:11" ht="17.25">
      <c r="A387" s="28">
        <v>383</v>
      </c>
      <c r="B387" s="25" t="s">
        <v>438</v>
      </c>
      <c r="C387" s="25" t="s">
        <v>1683</v>
      </c>
      <c r="D387" s="25" t="s">
        <v>1166</v>
      </c>
      <c r="E387" s="25" t="s">
        <v>759</v>
      </c>
      <c r="F387" s="42" t="s">
        <v>1451</v>
      </c>
      <c r="G387" s="25" t="str">
        <f t="shared" si="10"/>
        <v>APRVDT</v>
      </c>
      <c r="H387" s="42" t="s">
        <v>2127</v>
      </c>
      <c r="I387" s="42" t="s">
        <v>2122</v>
      </c>
      <c r="J387" s="42" t="s">
        <v>2124</v>
      </c>
      <c r="K387" s="40" t="s">
        <v>2123</v>
      </c>
    </row>
    <row r="388" spans="1:11" ht="17.25">
      <c r="A388" s="28">
        <v>384</v>
      </c>
      <c r="B388" s="25" t="s">
        <v>439</v>
      </c>
      <c r="C388" s="25" t="s">
        <v>1684</v>
      </c>
      <c r="D388" s="25" t="s">
        <v>1167</v>
      </c>
      <c r="E388" s="25" t="s">
        <v>439</v>
      </c>
      <c r="F388" s="42" t="s">
        <v>1433</v>
      </c>
      <c r="G388" s="25" t="str">
        <f t="shared" si="10"/>
        <v>AUTZRID</v>
      </c>
      <c r="H388" s="42" t="str">
        <f t="shared" si="11"/>
        <v>1~20</v>
      </c>
      <c r="I388" s="42" t="s">
        <v>2122</v>
      </c>
      <c r="J388" s="42" t="s">
        <v>2124</v>
      </c>
      <c r="K388" s="40" t="s">
        <v>2123</v>
      </c>
    </row>
    <row r="389" spans="1:11" ht="17.25">
      <c r="A389" s="28">
        <v>385</v>
      </c>
      <c r="B389" s="25" t="s">
        <v>440</v>
      </c>
      <c r="C389" s="25" t="s">
        <v>1685</v>
      </c>
      <c r="D389" s="25" t="s">
        <v>1168</v>
      </c>
      <c r="E389" s="25" t="s">
        <v>440</v>
      </c>
      <c r="F389" s="42" t="s">
        <v>1447</v>
      </c>
      <c r="G389" s="25" t="str">
        <f t="shared" si="10"/>
        <v>AUTZRTYPEVL</v>
      </c>
      <c r="H389" s="42" t="str">
        <f t="shared" si="11"/>
        <v>1~10</v>
      </c>
      <c r="I389" s="42" t="s">
        <v>2122</v>
      </c>
      <c r="J389" s="42" t="s">
        <v>2124</v>
      </c>
      <c r="K389" s="40" t="s">
        <v>2123</v>
      </c>
    </row>
    <row r="390" spans="1:11" ht="17.25">
      <c r="A390" s="28">
        <v>386</v>
      </c>
      <c r="B390" s="25" t="s">
        <v>441</v>
      </c>
      <c r="C390" s="25" t="s">
        <v>1686</v>
      </c>
      <c r="D390" s="25" t="s">
        <v>1169</v>
      </c>
      <c r="E390" s="25" t="s">
        <v>441</v>
      </c>
      <c r="F390" s="42" t="s">
        <v>1434</v>
      </c>
      <c r="G390" s="25" t="str">
        <f t="shared" ref="G390:G453" si="12">SUBSTITUTE(D390, "_", "")</f>
        <v>SMLTSN</v>
      </c>
      <c r="H390" s="42" t="str">
        <f t="shared" ref="H390:H453" si="13">CONCATENATE("1~", _xlfn.REGEXREPLACE(F390, "[^0-9]",""))</f>
        <v>1~22</v>
      </c>
      <c r="I390" s="42" t="s">
        <v>2122</v>
      </c>
      <c r="J390" s="42" t="s">
        <v>2124</v>
      </c>
      <c r="K390" s="40" t="s">
        <v>2123</v>
      </c>
    </row>
    <row r="391" spans="1:11" ht="17.25">
      <c r="A391" s="28">
        <v>387</v>
      </c>
      <c r="B391" s="25" t="s">
        <v>442</v>
      </c>
      <c r="C391" s="25" t="s">
        <v>1687</v>
      </c>
      <c r="D391" s="25" t="s">
        <v>1170</v>
      </c>
      <c r="E391" s="25" t="s">
        <v>442</v>
      </c>
      <c r="F391" s="42" t="s">
        <v>1435</v>
      </c>
      <c r="G391" s="25" t="str">
        <f t="shared" si="12"/>
        <v>SMLTMAXVL</v>
      </c>
      <c r="H391" s="42" t="str">
        <f t="shared" si="13"/>
        <v>1~100</v>
      </c>
      <c r="I391" s="42" t="s">
        <v>2122</v>
      </c>
      <c r="J391" s="42" t="s">
        <v>2124</v>
      </c>
      <c r="K391" s="40" t="s">
        <v>2123</v>
      </c>
    </row>
    <row r="392" spans="1:11" ht="17.25">
      <c r="A392" s="28">
        <v>388</v>
      </c>
      <c r="B392" s="25" t="s">
        <v>443</v>
      </c>
      <c r="C392" s="25" t="s">
        <v>1688</v>
      </c>
      <c r="D392" s="25" t="s">
        <v>1171</v>
      </c>
      <c r="E392" s="25" t="s">
        <v>443</v>
      </c>
      <c r="F392" s="42" t="s">
        <v>1435</v>
      </c>
      <c r="G392" s="25" t="str">
        <f t="shared" si="12"/>
        <v>SMLTMINVL</v>
      </c>
      <c r="H392" s="42" t="str">
        <f t="shared" si="13"/>
        <v>1~100</v>
      </c>
      <c r="I392" s="42" t="s">
        <v>2122</v>
      </c>
      <c r="J392" s="42" t="s">
        <v>2124</v>
      </c>
      <c r="K392" s="40" t="s">
        <v>2123</v>
      </c>
    </row>
    <row r="393" spans="1:11" ht="17.25">
      <c r="A393" s="28">
        <v>389</v>
      </c>
      <c r="B393" s="25" t="s">
        <v>444</v>
      </c>
      <c r="C393" s="25" t="s">
        <v>1689</v>
      </c>
      <c r="D393" s="25" t="s">
        <v>1172</v>
      </c>
      <c r="E393" s="25" t="s">
        <v>444</v>
      </c>
      <c r="F393" s="42" t="s">
        <v>1435</v>
      </c>
      <c r="G393" s="25" t="str">
        <f t="shared" si="12"/>
        <v>SYSSEVL</v>
      </c>
      <c r="H393" s="42" t="str">
        <f t="shared" si="13"/>
        <v>1~100</v>
      </c>
      <c r="I393" s="42" t="s">
        <v>2122</v>
      </c>
      <c r="J393" s="42" t="s">
        <v>2124</v>
      </c>
      <c r="K393" s="40" t="s">
        <v>2123</v>
      </c>
    </row>
    <row r="394" spans="1:11" ht="17.25">
      <c r="A394" s="28">
        <v>390</v>
      </c>
      <c r="B394" s="25" t="s">
        <v>445</v>
      </c>
      <c r="C394" s="25" t="s">
        <v>1690</v>
      </c>
      <c r="D394" s="25" t="s">
        <v>1173</v>
      </c>
      <c r="E394" s="25" t="s">
        <v>445</v>
      </c>
      <c r="F394" s="42" t="s">
        <v>1454</v>
      </c>
      <c r="G394" s="25" t="str">
        <f t="shared" si="12"/>
        <v>SYSGROUPCD</v>
      </c>
      <c r="H394" s="42" t="str">
        <f t="shared" si="13"/>
        <v>1~10</v>
      </c>
      <c r="I394" s="42" t="s">
        <v>2122</v>
      </c>
      <c r="J394" s="42" t="s">
        <v>2124</v>
      </c>
      <c r="K394" s="40" t="s">
        <v>2123</v>
      </c>
    </row>
    <row r="395" spans="1:11" ht="17.25">
      <c r="A395" s="28">
        <v>391</v>
      </c>
      <c r="B395" s="25" t="s">
        <v>446</v>
      </c>
      <c r="C395" s="25" t="s">
        <v>1691</v>
      </c>
      <c r="D395" s="25" t="s">
        <v>1174</v>
      </c>
      <c r="E395" s="25" t="s">
        <v>446</v>
      </c>
      <c r="F395" s="42" t="s">
        <v>1447</v>
      </c>
      <c r="G395" s="25" t="str">
        <f t="shared" si="12"/>
        <v>SYSTYPEVL</v>
      </c>
      <c r="H395" s="42" t="str">
        <f t="shared" si="13"/>
        <v>1~10</v>
      </c>
      <c r="I395" s="42" t="s">
        <v>2122</v>
      </c>
      <c r="J395" s="42" t="s">
        <v>2124</v>
      </c>
      <c r="K395" s="40" t="s">
        <v>2123</v>
      </c>
    </row>
    <row r="396" spans="1:11" ht="17.25">
      <c r="A396" s="28">
        <v>392</v>
      </c>
      <c r="B396" s="25" t="s">
        <v>447</v>
      </c>
      <c r="C396" s="25" t="s">
        <v>1692</v>
      </c>
      <c r="D396" s="25" t="s">
        <v>1175</v>
      </c>
      <c r="E396" s="25" t="s">
        <v>447</v>
      </c>
      <c r="F396" s="42" t="s">
        <v>1447</v>
      </c>
      <c r="G396" s="25" t="str">
        <f t="shared" si="12"/>
        <v>SYSCDVL</v>
      </c>
      <c r="H396" s="42" t="str">
        <f t="shared" si="13"/>
        <v>1~10</v>
      </c>
      <c r="I396" s="42" t="s">
        <v>2122</v>
      </c>
      <c r="J396" s="42" t="s">
        <v>2124</v>
      </c>
      <c r="K396" s="40" t="s">
        <v>2123</v>
      </c>
    </row>
    <row r="397" spans="1:11" ht="17.25">
      <c r="A397" s="28">
        <v>393</v>
      </c>
      <c r="B397" s="25" t="s">
        <v>448</v>
      </c>
      <c r="C397" s="25" t="s">
        <v>1693</v>
      </c>
      <c r="D397" s="25" t="s">
        <v>1176</v>
      </c>
      <c r="E397" s="25" t="s">
        <v>448</v>
      </c>
      <c r="F397" s="42" t="s">
        <v>1447</v>
      </c>
      <c r="G397" s="25" t="str">
        <f t="shared" si="12"/>
        <v>VSBYDATSEVL</v>
      </c>
      <c r="H397" s="42" t="str">
        <f t="shared" si="13"/>
        <v>1~10</v>
      </c>
      <c r="I397" s="42" t="s">
        <v>2122</v>
      </c>
      <c r="J397" s="42" t="s">
        <v>2124</v>
      </c>
      <c r="K397" s="40" t="s">
        <v>2123</v>
      </c>
    </row>
    <row r="398" spans="1:11" ht="17.25">
      <c r="A398" s="28">
        <v>394</v>
      </c>
      <c r="B398" s="25" t="s">
        <v>449</v>
      </c>
      <c r="C398" s="25" t="s">
        <v>1694</v>
      </c>
      <c r="D398" s="25" t="s">
        <v>1177</v>
      </c>
      <c r="E398" s="25" t="s">
        <v>449</v>
      </c>
      <c r="F398" s="42" t="s">
        <v>1440</v>
      </c>
      <c r="G398" s="25" t="str">
        <f t="shared" si="12"/>
        <v>VSBYDATMENUYN</v>
      </c>
      <c r="H398" s="42" t="str">
        <f t="shared" si="13"/>
        <v>1~1</v>
      </c>
      <c r="I398" s="42" t="s">
        <v>2122</v>
      </c>
      <c r="J398" s="42" t="s">
        <v>2124</v>
      </c>
      <c r="K398" s="40" t="s">
        <v>2123</v>
      </c>
    </row>
    <row r="399" spans="1:11" ht="17.25">
      <c r="A399" s="28">
        <v>395</v>
      </c>
      <c r="B399" s="25" t="s">
        <v>450</v>
      </c>
      <c r="C399" s="25" t="s">
        <v>1695</v>
      </c>
      <c r="D399" s="25" t="s">
        <v>1178</v>
      </c>
      <c r="E399" s="25" t="s">
        <v>450</v>
      </c>
      <c r="F399" s="42" t="s">
        <v>1440</v>
      </c>
      <c r="G399" s="25" t="str">
        <f t="shared" si="12"/>
        <v>VSBYDATUSEYN</v>
      </c>
      <c r="H399" s="42" t="str">
        <f t="shared" si="13"/>
        <v>1~1</v>
      </c>
      <c r="I399" s="42" t="s">
        <v>2122</v>
      </c>
      <c r="J399" s="42" t="s">
        <v>2124</v>
      </c>
      <c r="K399" s="40" t="s">
        <v>2123</v>
      </c>
    </row>
    <row r="400" spans="1:11" ht="17.25">
      <c r="A400" s="28">
        <v>396</v>
      </c>
      <c r="B400" s="25" t="s">
        <v>451</v>
      </c>
      <c r="C400" s="25" t="s">
        <v>1696</v>
      </c>
      <c r="D400" s="25" t="s">
        <v>1179</v>
      </c>
      <c r="E400" s="25" t="s">
        <v>760</v>
      </c>
      <c r="F400" s="42" t="s">
        <v>1443</v>
      </c>
      <c r="G400" s="25" t="str">
        <f t="shared" si="12"/>
        <v>APLYRSN</v>
      </c>
      <c r="H400" s="42" t="str">
        <f t="shared" si="13"/>
        <v>1~4000</v>
      </c>
      <c r="I400" s="42" t="s">
        <v>2122</v>
      </c>
      <c r="J400" s="42" t="s">
        <v>2124</v>
      </c>
      <c r="K400" s="40" t="s">
        <v>2123</v>
      </c>
    </row>
    <row r="401" spans="1:11" ht="17.25">
      <c r="A401" s="28">
        <v>397</v>
      </c>
      <c r="B401" s="25" t="s">
        <v>452</v>
      </c>
      <c r="C401" s="25" t="s">
        <v>1697</v>
      </c>
      <c r="D401" s="25" t="s">
        <v>1180</v>
      </c>
      <c r="E401" s="25" t="s">
        <v>452</v>
      </c>
      <c r="F401" s="42" t="s">
        <v>1447</v>
      </c>
      <c r="G401" s="25" t="str">
        <f t="shared" si="12"/>
        <v>APLYSTTSVL</v>
      </c>
      <c r="H401" s="42" t="str">
        <f t="shared" si="13"/>
        <v>1~10</v>
      </c>
      <c r="I401" s="42" t="s">
        <v>2122</v>
      </c>
      <c r="J401" s="42" t="s">
        <v>2124</v>
      </c>
      <c r="K401" s="40" t="s">
        <v>2123</v>
      </c>
    </row>
    <row r="402" spans="1:11" ht="34.5">
      <c r="A402" s="28">
        <v>398</v>
      </c>
      <c r="B402" s="25" t="s">
        <v>453</v>
      </c>
      <c r="C402" s="25" t="s">
        <v>1698</v>
      </c>
      <c r="D402" s="25" t="s">
        <v>1181</v>
      </c>
      <c r="E402" s="25" t="s">
        <v>761</v>
      </c>
      <c r="F402" s="42" t="s">
        <v>1440</v>
      </c>
      <c r="G402" s="25" t="str">
        <f t="shared" si="12"/>
        <v>APLYYN</v>
      </c>
      <c r="H402" s="42" t="str">
        <f t="shared" si="13"/>
        <v>1~1</v>
      </c>
      <c r="I402" s="42" t="s">
        <v>2122</v>
      </c>
      <c r="J402" s="42" t="s">
        <v>2124</v>
      </c>
      <c r="K402" s="40" t="s">
        <v>2123</v>
      </c>
    </row>
    <row r="403" spans="1:11" ht="34.5">
      <c r="A403" s="28">
        <v>399</v>
      </c>
      <c r="B403" s="25" t="s">
        <v>454</v>
      </c>
      <c r="C403" s="25" t="s">
        <v>1699</v>
      </c>
      <c r="D403" s="25" t="s">
        <v>1182</v>
      </c>
      <c r="E403" s="25" t="s">
        <v>762</v>
      </c>
      <c r="F403" s="42" t="s">
        <v>1434</v>
      </c>
      <c r="G403" s="25" t="str">
        <f t="shared" si="12"/>
        <v>APLYSN</v>
      </c>
      <c r="H403" s="42" t="str">
        <f t="shared" si="13"/>
        <v>1~22</v>
      </c>
      <c r="I403" s="42" t="s">
        <v>2122</v>
      </c>
      <c r="J403" s="42" t="s">
        <v>2124</v>
      </c>
      <c r="K403" s="40" t="s">
        <v>2123</v>
      </c>
    </row>
    <row r="404" spans="1:11" ht="17.25">
      <c r="A404" s="28">
        <v>400</v>
      </c>
      <c r="B404" s="25" t="s">
        <v>455</v>
      </c>
      <c r="C404" s="25" t="s">
        <v>1700</v>
      </c>
      <c r="D404" s="25" t="s">
        <v>1183</v>
      </c>
      <c r="E404" s="25" t="s">
        <v>455</v>
      </c>
      <c r="F404" s="42" t="s">
        <v>1433</v>
      </c>
      <c r="G404" s="25" t="str">
        <f t="shared" si="12"/>
        <v>APLCNTID</v>
      </c>
      <c r="H404" s="42" t="str">
        <f t="shared" si="13"/>
        <v>1~20</v>
      </c>
      <c r="I404" s="42" t="s">
        <v>2122</v>
      </c>
      <c r="J404" s="42" t="s">
        <v>2124</v>
      </c>
      <c r="K404" s="40" t="s">
        <v>2123</v>
      </c>
    </row>
    <row r="405" spans="1:11" ht="17.25">
      <c r="A405" s="28">
        <v>401</v>
      </c>
      <c r="B405" s="25" t="s">
        <v>456</v>
      </c>
      <c r="C405" s="25" t="s">
        <v>1701</v>
      </c>
      <c r="D405" s="25" t="s">
        <v>1184</v>
      </c>
      <c r="E405" s="25" t="s">
        <v>456</v>
      </c>
      <c r="F405" s="42" t="s">
        <v>1432</v>
      </c>
      <c r="G405" s="25" t="str">
        <f t="shared" si="12"/>
        <v>SYOLSTLYNM</v>
      </c>
      <c r="H405" s="42" t="str">
        <f t="shared" si="13"/>
        <v>1~300</v>
      </c>
      <c r="I405" s="42" t="s">
        <v>2122</v>
      </c>
      <c r="J405" s="42" t="s">
        <v>2124</v>
      </c>
      <c r="K405" s="40" t="s">
        <v>2123</v>
      </c>
    </row>
    <row r="406" spans="1:11" ht="17.25">
      <c r="A406" s="28">
        <v>402</v>
      </c>
      <c r="B406" s="25" t="s">
        <v>457</v>
      </c>
      <c r="C406" s="25" t="s">
        <v>1702</v>
      </c>
      <c r="D406" s="25" t="s">
        <v>1185</v>
      </c>
      <c r="E406" s="25" t="s">
        <v>457</v>
      </c>
      <c r="F406" s="42" t="s">
        <v>1443</v>
      </c>
      <c r="G406" s="25" t="str">
        <f t="shared" si="12"/>
        <v>SYOLCNDCN</v>
      </c>
      <c r="H406" s="42" t="str">
        <f t="shared" si="13"/>
        <v>1~4000</v>
      </c>
      <c r="I406" s="42" t="s">
        <v>2122</v>
      </c>
      <c r="J406" s="42" t="s">
        <v>2124</v>
      </c>
      <c r="K406" s="40" t="s">
        <v>2123</v>
      </c>
    </row>
    <row r="407" spans="1:11" ht="17.25">
      <c r="A407" s="28">
        <v>403</v>
      </c>
      <c r="B407" s="25" t="s">
        <v>458</v>
      </c>
      <c r="C407" s="25" t="s">
        <v>1703</v>
      </c>
      <c r="D407" s="25" t="s">
        <v>1186</v>
      </c>
      <c r="E407" s="25" t="s">
        <v>458</v>
      </c>
      <c r="F407" s="42" t="s">
        <v>1432</v>
      </c>
      <c r="G407" s="25" t="str">
        <f t="shared" si="12"/>
        <v>GDFILENM</v>
      </c>
      <c r="H407" s="42" t="str">
        <f t="shared" si="13"/>
        <v>1~300</v>
      </c>
      <c r="I407" s="42" t="s">
        <v>2122</v>
      </c>
      <c r="J407" s="42" t="s">
        <v>2124</v>
      </c>
      <c r="K407" s="40" t="s">
        <v>2123</v>
      </c>
    </row>
    <row r="408" spans="1:11" ht="17.25">
      <c r="A408" s="28">
        <v>404</v>
      </c>
      <c r="B408" s="25" t="s">
        <v>459</v>
      </c>
      <c r="C408" s="25" t="s">
        <v>1704</v>
      </c>
      <c r="D408" s="25" t="s">
        <v>1187</v>
      </c>
      <c r="E408" s="25" t="s">
        <v>459</v>
      </c>
      <c r="F408" s="42" t="s">
        <v>1447</v>
      </c>
      <c r="G408" s="25" t="str">
        <f t="shared" si="12"/>
        <v>GDFILETYPEVL</v>
      </c>
      <c r="H408" s="42" t="str">
        <f t="shared" si="13"/>
        <v>1~10</v>
      </c>
      <c r="I408" s="42" t="s">
        <v>2122</v>
      </c>
      <c r="J408" s="42" t="s">
        <v>2124</v>
      </c>
      <c r="K408" s="40" t="s">
        <v>2123</v>
      </c>
    </row>
    <row r="409" spans="1:11" ht="17.25">
      <c r="A409" s="28">
        <v>405</v>
      </c>
      <c r="B409" s="25" t="s">
        <v>460</v>
      </c>
      <c r="C409" s="25" t="s">
        <v>1705</v>
      </c>
      <c r="D409" s="25" t="s">
        <v>1188</v>
      </c>
      <c r="E409" s="25" t="s">
        <v>460</v>
      </c>
      <c r="F409" s="42" t="s">
        <v>1434</v>
      </c>
      <c r="G409" s="25" t="str">
        <f t="shared" si="12"/>
        <v>GDFILESN</v>
      </c>
      <c r="H409" s="42" t="str">
        <f t="shared" si="13"/>
        <v>1~22</v>
      </c>
      <c r="I409" s="42" t="s">
        <v>2122</v>
      </c>
      <c r="J409" s="42" t="s">
        <v>2124</v>
      </c>
      <c r="K409" s="40" t="s">
        <v>2123</v>
      </c>
    </row>
    <row r="410" spans="1:11" ht="17.25">
      <c r="A410" s="28">
        <v>406</v>
      </c>
      <c r="B410" s="25" t="s">
        <v>461</v>
      </c>
      <c r="C410" s="25" t="s">
        <v>1706</v>
      </c>
      <c r="D410" s="25" t="s">
        <v>1189</v>
      </c>
      <c r="E410" s="25" t="s">
        <v>461</v>
      </c>
      <c r="F410" s="42" t="s">
        <v>1432</v>
      </c>
      <c r="G410" s="25" t="str">
        <f t="shared" si="12"/>
        <v>UPDATBLNM</v>
      </c>
      <c r="H410" s="42" t="str">
        <f t="shared" si="13"/>
        <v>1~300</v>
      </c>
      <c r="I410" s="42" t="s">
        <v>2122</v>
      </c>
      <c r="J410" s="42" t="s">
        <v>2124</v>
      </c>
      <c r="K410" s="40" t="s">
        <v>2123</v>
      </c>
    </row>
    <row r="411" spans="1:11" ht="17.25">
      <c r="A411" s="28">
        <v>407</v>
      </c>
      <c r="B411" s="25" t="s">
        <v>462</v>
      </c>
      <c r="C411" s="25" t="s">
        <v>1707</v>
      </c>
      <c r="D411" s="25" t="s">
        <v>1190</v>
      </c>
      <c r="E411" s="25" t="s">
        <v>462</v>
      </c>
      <c r="F411" s="42" t="s">
        <v>1447</v>
      </c>
      <c r="G411" s="25" t="str">
        <f t="shared" si="12"/>
        <v>TASKCLSFVL</v>
      </c>
      <c r="H411" s="42" t="str">
        <f t="shared" si="13"/>
        <v>1~10</v>
      </c>
      <c r="I411" s="42" t="s">
        <v>2122</v>
      </c>
      <c r="J411" s="42" t="s">
        <v>2124</v>
      </c>
      <c r="K411" s="40" t="s">
        <v>2123</v>
      </c>
    </row>
    <row r="412" spans="1:11" ht="17.25">
      <c r="A412" s="28">
        <v>408</v>
      </c>
      <c r="B412" s="25" t="s">
        <v>463</v>
      </c>
      <c r="C412" s="25" t="s">
        <v>1708</v>
      </c>
      <c r="D412" s="25" t="s">
        <v>1191</v>
      </c>
      <c r="E412" s="25" t="s">
        <v>463</v>
      </c>
      <c r="F412" s="42" t="s">
        <v>1435</v>
      </c>
      <c r="G412" s="25" t="str">
        <f t="shared" si="12"/>
        <v>EXTWCOLRVL</v>
      </c>
      <c r="H412" s="42" t="str">
        <f t="shared" si="13"/>
        <v>1~100</v>
      </c>
      <c r="I412" s="42" t="s">
        <v>2122</v>
      </c>
      <c r="J412" s="42" t="s">
        <v>2124</v>
      </c>
      <c r="K412" s="40" t="s">
        <v>2123</v>
      </c>
    </row>
    <row r="413" spans="1:11" ht="17.25">
      <c r="A413" s="28">
        <v>409</v>
      </c>
      <c r="B413" s="25" t="s">
        <v>464</v>
      </c>
      <c r="C413" s="25" t="s">
        <v>1709</v>
      </c>
      <c r="D413" s="25" t="s">
        <v>1192</v>
      </c>
      <c r="E413" s="25" t="s">
        <v>464</v>
      </c>
      <c r="F413" s="42" t="s">
        <v>1441</v>
      </c>
      <c r="G413" s="25" t="str">
        <f t="shared" si="12"/>
        <v>ORGNLDATNO</v>
      </c>
      <c r="H413" s="42" t="str">
        <f t="shared" si="13"/>
        <v>1~100</v>
      </c>
      <c r="I413" s="42" t="s">
        <v>2122</v>
      </c>
      <c r="J413" s="42" t="s">
        <v>2124</v>
      </c>
      <c r="K413" s="40" t="s">
        <v>2123</v>
      </c>
    </row>
    <row r="414" spans="1:11" ht="17.25">
      <c r="A414" s="28">
        <v>410</v>
      </c>
      <c r="B414" s="25" t="s">
        <v>465</v>
      </c>
      <c r="C414" s="25" t="s">
        <v>1710</v>
      </c>
      <c r="D414" s="25" t="s">
        <v>1193</v>
      </c>
      <c r="E414" s="25" t="s">
        <v>465</v>
      </c>
      <c r="F414" s="42" t="s">
        <v>1441</v>
      </c>
      <c r="G414" s="25" t="str">
        <f t="shared" si="12"/>
        <v>ORGNLCHATNO</v>
      </c>
      <c r="H414" s="42" t="str">
        <f t="shared" si="13"/>
        <v>1~100</v>
      </c>
      <c r="I414" s="42" t="s">
        <v>2122</v>
      </c>
      <c r="J414" s="42" t="s">
        <v>2124</v>
      </c>
      <c r="K414" s="40" t="s">
        <v>2123</v>
      </c>
    </row>
    <row r="415" spans="1:11" ht="34.5">
      <c r="A415" s="28">
        <v>411</v>
      </c>
      <c r="B415" s="25" t="s">
        <v>466</v>
      </c>
      <c r="C415" s="25" t="s">
        <v>1711</v>
      </c>
      <c r="D415" s="25" t="s">
        <v>1194</v>
      </c>
      <c r="E415" s="25" t="s">
        <v>763</v>
      </c>
      <c r="F415" s="42" t="s">
        <v>1432</v>
      </c>
      <c r="G415" s="25" t="str">
        <f t="shared" si="12"/>
        <v>ORGNLFILENM</v>
      </c>
      <c r="H415" s="42" t="str">
        <f t="shared" si="13"/>
        <v>1~300</v>
      </c>
      <c r="I415" s="42" t="s">
        <v>2122</v>
      </c>
      <c r="J415" s="42" t="s">
        <v>2124</v>
      </c>
      <c r="K415" s="40" t="s">
        <v>2123</v>
      </c>
    </row>
    <row r="416" spans="1:11" ht="17.25">
      <c r="A416" s="28">
        <v>412</v>
      </c>
      <c r="B416" s="25" t="s">
        <v>467</v>
      </c>
      <c r="C416" s="25" t="s">
        <v>1712</v>
      </c>
      <c r="D416" s="25" t="s">
        <v>1195</v>
      </c>
      <c r="E416" s="25" t="s">
        <v>467</v>
      </c>
      <c r="F416" s="42" t="s">
        <v>1433</v>
      </c>
      <c r="G416" s="25" t="str">
        <f t="shared" si="12"/>
        <v>ORGNLFILEID</v>
      </c>
      <c r="H416" s="42" t="str">
        <f t="shared" si="13"/>
        <v>1~20</v>
      </c>
      <c r="I416" s="42" t="s">
        <v>2122</v>
      </c>
      <c r="J416" s="42" t="s">
        <v>2124</v>
      </c>
      <c r="K416" s="40" t="s">
        <v>2123</v>
      </c>
    </row>
    <row r="417" spans="1:11" ht="34.5">
      <c r="A417" s="28">
        <v>413</v>
      </c>
      <c r="B417" s="25" t="s">
        <v>468</v>
      </c>
      <c r="C417" s="25" t="s">
        <v>1711</v>
      </c>
      <c r="D417" s="25" t="s">
        <v>1196</v>
      </c>
      <c r="E417" s="25" t="s">
        <v>763</v>
      </c>
      <c r="F417" s="42" t="s">
        <v>1432</v>
      </c>
      <c r="G417" s="25" t="str">
        <f t="shared" si="12"/>
        <v>ORGNFLNM</v>
      </c>
      <c r="H417" s="42" t="str">
        <f t="shared" si="13"/>
        <v>1~300</v>
      </c>
      <c r="I417" s="42" t="s">
        <v>2122</v>
      </c>
      <c r="J417" s="42" t="s">
        <v>2124</v>
      </c>
      <c r="K417" s="40" t="s">
        <v>2123</v>
      </c>
    </row>
    <row r="418" spans="1:11" ht="17.25">
      <c r="A418" s="28">
        <v>414</v>
      </c>
      <c r="B418" s="25" t="s">
        <v>469</v>
      </c>
      <c r="C418" s="25" t="s">
        <v>1713</v>
      </c>
      <c r="D418" s="25" t="s">
        <v>1197</v>
      </c>
      <c r="E418" s="25" t="s">
        <v>469</v>
      </c>
      <c r="F418" s="42" t="s">
        <v>1448</v>
      </c>
      <c r="G418" s="25" t="str">
        <f t="shared" si="12"/>
        <v>WMPLYRWHOLFLEREXPLN</v>
      </c>
      <c r="H418" s="42" t="str">
        <f t="shared" si="13"/>
        <v>1~2000</v>
      </c>
      <c r="I418" s="42" t="s">
        <v>2122</v>
      </c>
      <c r="J418" s="42" t="s">
        <v>2124</v>
      </c>
      <c r="K418" s="40" t="s">
        <v>2123</v>
      </c>
    </row>
    <row r="419" spans="1:11" ht="17.25">
      <c r="A419" s="28">
        <v>415</v>
      </c>
      <c r="B419" s="25" t="s">
        <v>470</v>
      </c>
      <c r="C419" s="25" t="s">
        <v>1714</v>
      </c>
      <c r="D419" s="25" t="s">
        <v>1198</v>
      </c>
      <c r="E419" s="25" t="s">
        <v>470</v>
      </c>
      <c r="F419" s="42" t="s">
        <v>1433</v>
      </c>
      <c r="G419" s="25" t="str">
        <f t="shared" si="12"/>
        <v>WMPSTNGOBJTIDNTID</v>
      </c>
      <c r="H419" s="42" t="str">
        <f t="shared" si="13"/>
        <v>1~20</v>
      </c>
      <c r="I419" s="42" t="s">
        <v>2122</v>
      </c>
      <c r="J419" s="42" t="s">
        <v>2124</v>
      </c>
      <c r="K419" s="40" t="s">
        <v>2123</v>
      </c>
    </row>
    <row r="420" spans="1:11" ht="17.25">
      <c r="A420" s="28">
        <v>416</v>
      </c>
      <c r="B420" s="25" t="s">
        <v>471</v>
      </c>
      <c r="C420" s="25" t="s">
        <v>1715</v>
      </c>
      <c r="D420" s="25" t="s">
        <v>1199</v>
      </c>
      <c r="E420" s="25" t="s">
        <v>471</v>
      </c>
      <c r="F420" s="42" t="s">
        <v>1447</v>
      </c>
      <c r="G420" s="25" t="str">
        <f t="shared" si="12"/>
        <v>WMPSTNGOBJTTYPEVL</v>
      </c>
      <c r="H420" s="42" t="str">
        <f t="shared" si="13"/>
        <v>1~10</v>
      </c>
      <c r="I420" s="42" t="s">
        <v>2122</v>
      </c>
      <c r="J420" s="42" t="s">
        <v>2124</v>
      </c>
      <c r="K420" s="40" t="s">
        <v>2123</v>
      </c>
    </row>
    <row r="421" spans="1:11" ht="17.25">
      <c r="A421" s="28">
        <v>417</v>
      </c>
      <c r="B421" s="25" t="s">
        <v>472</v>
      </c>
      <c r="C421" s="25" t="s">
        <v>1716</v>
      </c>
      <c r="D421" s="25" t="s">
        <v>1200</v>
      </c>
      <c r="E421" s="25" t="s">
        <v>472</v>
      </c>
      <c r="F421" s="42" t="s">
        <v>1435</v>
      </c>
      <c r="G421" s="25" t="str">
        <f t="shared" si="12"/>
        <v>WEBAPPHSTRYTYPEVL</v>
      </c>
      <c r="H421" s="42" t="str">
        <f t="shared" si="13"/>
        <v>1~100</v>
      </c>
      <c r="I421" s="42" t="s">
        <v>2122</v>
      </c>
      <c r="J421" s="42" t="s">
        <v>2124</v>
      </c>
      <c r="K421" s="40" t="s">
        <v>2123</v>
      </c>
    </row>
    <row r="422" spans="1:11" ht="17.25">
      <c r="A422" s="28">
        <v>418</v>
      </c>
      <c r="B422" s="25" t="s">
        <v>473</v>
      </c>
      <c r="C422" s="25" t="s">
        <v>1717</v>
      </c>
      <c r="D422" s="25" t="s">
        <v>1201</v>
      </c>
      <c r="E422" s="25" t="s">
        <v>473</v>
      </c>
      <c r="F422" s="42" t="s">
        <v>1434</v>
      </c>
      <c r="G422" s="25" t="str">
        <f t="shared" si="12"/>
        <v>WEBAPPHSTRYSN</v>
      </c>
      <c r="H422" s="42" t="str">
        <f t="shared" si="13"/>
        <v>1~22</v>
      </c>
      <c r="I422" s="42" t="s">
        <v>2122</v>
      </c>
      <c r="J422" s="42" t="s">
        <v>2124</v>
      </c>
      <c r="K422" s="40" t="s">
        <v>2123</v>
      </c>
    </row>
    <row r="423" spans="1:11" ht="17.25">
      <c r="A423" s="28">
        <v>419</v>
      </c>
      <c r="B423" s="25" t="s">
        <v>474</v>
      </c>
      <c r="C423" s="25" t="s">
        <v>1718</v>
      </c>
      <c r="D423" s="25" t="s">
        <v>1202</v>
      </c>
      <c r="E423" s="25" t="s">
        <v>474</v>
      </c>
      <c r="F423" s="42" t="s">
        <v>1433</v>
      </c>
      <c r="G423" s="25" t="str">
        <f t="shared" si="12"/>
        <v>WEBAPPTMATID</v>
      </c>
      <c r="H423" s="42" t="str">
        <f t="shared" si="13"/>
        <v>1~20</v>
      </c>
      <c r="I423" s="42" t="s">
        <v>2122</v>
      </c>
      <c r="J423" s="42" t="s">
        <v>2124</v>
      </c>
      <c r="K423" s="40" t="s">
        <v>2123</v>
      </c>
    </row>
    <row r="424" spans="1:11" ht="17.25">
      <c r="A424" s="28">
        <v>420</v>
      </c>
      <c r="B424" s="25" t="s">
        <v>475</v>
      </c>
      <c r="C424" s="25" t="s">
        <v>1719</v>
      </c>
      <c r="D424" s="25" t="s">
        <v>1203</v>
      </c>
      <c r="E424" s="25" t="s">
        <v>475</v>
      </c>
      <c r="F424" s="42" t="s">
        <v>1443</v>
      </c>
      <c r="G424" s="25" t="str">
        <f t="shared" si="12"/>
        <v>WEBTMATHSTRYCN</v>
      </c>
      <c r="H424" s="42" t="str">
        <f t="shared" si="13"/>
        <v>1~4000</v>
      </c>
      <c r="I424" s="42" t="s">
        <v>2122</v>
      </c>
      <c r="J424" s="42" t="s">
        <v>2124</v>
      </c>
      <c r="K424" s="40" t="s">
        <v>2123</v>
      </c>
    </row>
    <row r="425" spans="1:11" ht="34.5">
      <c r="A425" s="28">
        <v>421</v>
      </c>
      <c r="B425" s="25" t="s">
        <v>476</v>
      </c>
      <c r="C425" s="25" t="s">
        <v>1720</v>
      </c>
      <c r="D425" s="25" t="s">
        <v>1204</v>
      </c>
      <c r="E425" s="25" t="s">
        <v>764</v>
      </c>
      <c r="F425" s="42" t="s">
        <v>1438</v>
      </c>
      <c r="G425" s="25" t="str">
        <f t="shared" si="12"/>
        <v>LAT</v>
      </c>
      <c r="H425" s="42" t="str">
        <f t="shared" si="13"/>
        <v>1~1210</v>
      </c>
      <c r="I425" s="42" t="s">
        <v>2122</v>
      </c>
      <c r="J425" s="42" t="s">
        <v>2124</v>
      </c>
      <c r="K425" s="40" t="s">
        <v>2123</v>
      </c>
    </row>
    <row r="426" spans="1:11" ht="17.25">
      <c r="A426" s="28">
        <v>422</v>
      </c>
      <c r="B426" s="25" t="s">
        <v>477</v>
      </c>
      <c r="C426" s="25" t="s">
        <v>1721</v>
      </c>
      <c r="D426" s="25" t="s">
        <v>1205</v>
      </c>
      <c r="E426" s="25" t="s">
        <v>477</v>
      </c>
      <c r="F426" s="42" t="s">
        <v>1447</v>
      </c>
      <c r="G426" s="25" t="str">
        <f t="shared" si="12"/>
        <v>WIGTLCLSFVL</v>
      </c>
      <c r="H426" s="42" t="str">
        <f t="shared" si="13"/>
        <v>1~10</v>
      </c>
      <c r="I426" s="42" t="s">
        <v>2122</v>
      </c>
      <c r="J426" s="42" t="s">
        <v>2124</v>
      </c>
      <c r="K426" s="40" t="s">
        <v>2123</v>
      </c>
    </row>
    <row r="427" spans="1:11" ht="17.25">
      <c r="A427" s="28">
        <v>423</v>
      </c>
      <c r="B427" s="25" t="s">
        <v>478</v>
      </c>
      <c r="C427" s="25" t="s">
        <v>1722</v>
      </c>
      <c r="D427" s="25" t="s">
        <v>1206</v>
      </c>
      <c r="E427" s="25" t="s">
        <v>478</v>
      </c>
      <c r="F427" s="42" t="s">
        <v>1432</v>
      </c>
      <c r="G427" s="25" t="str">
        <f t="shared" si="12"/>
        <v>WIGTNM</v>
      </c>
      <c r="H427" s="42" t="str">
        <f t="shared" si="13"/>
        <v>1~300</v>
      </c>
      <c r="I427" s="42" t="s">
        <v>2122</v>
      </c>
      <c r="J427" s="42" t="s">
        <v>2124</v>
      </c>
      <c r="K427" s="40" t="s">
        <v>2123</v>
      </c>
    </row>
    <row r="428" spans="1:11" ht="17.25">
      <c r="A428" s="28">
        <v>424</v>
      </c>
      <c r="B428" s="25" t="s">
        <v>479</v>
      </c>
      <c r="C428" s="25" t="s">
        <v>1723</v>
      </c>
      <c r="D428" s="25" t="s">
        <v>1207</v>
      </c>
      <c r="E428" s="25" t="s">
        <v>479</v>
      </c>
      <c r="F428" s="42" t="s">
        <v>1433</v>
      </c>
      <c r="G428" s="25" t="str">
        <f t="shared" si="12"/>
        <v>WIGTIDNTID</v>
      </c>
      <c r="H428" s="42" t="str">
        <f t="shared" si="13"/>
        <v>1~20</v>
      </c>
      <c r="I428" s="42" t="s">
        <v>2122</v>
      </c>
      <c r="J428" s="42" t="s">
        <v>2124</v>
      </c>
      <c r="K428" s="40" t="s">
        <v>2123</v>
      </c>
    </row>
    <row r="429" spans="1:11" ht="17.25">
      <c r="A429" s="28">
        <v>425</v>
      </c>
      <c r="B429" s="25" t="s">
        <v>480</v>
      </c>
      <c r="C429" s="25" t="s">
        <v>1724</v>
      </c>
      <c r="D429" s="25" t="s">
        <v>1208</v>
      </c>
      <c r="E429" s="25" t="s">
        <v>480</v>
      </c>
      <c r="F429" s="42" t="s">
        <v>1432</v>
      </c>
      <c r="G429" s="25" t="str">
        <f t="shared" si="12"/>
        <v>WIGTENGNM</v>
      </c>
      <c r="H429" s="42" t="str">
        <f t="shared" si="13"/>
        <v>1~300</v>
      </c>
      <c r="I429" s="42" t="s">
        <v>2122</v>
      </c>
      <c r="J429" s="42" t="s">
        <v>2124</v>
      </c>
      <c r="K429" s="40" t="s">
        <v>2123</v>
      </c>
    </row>
    <row r="430" spans="1:11" ht="17.25">
      <c r="A430" s="28">
        <v>426</v>
      </c>
      <c r="B430" s="25" t="s">
        <v>481</v>
      </c>
      <c r="C430" s="25" t="s">
        <v>1725</v>
      </c>
      <c r="D430" s="25" t="s">
        <v>1209</v>
      </c>
      <c r="E430" s="25" t="s">
        <v>481</v>
      </c>
      <c r="F430" s="42" t="s">
        <v>1447</v>
      </c>
      <c r="G430" s="25" t="str">
        <f t="shared" si="12"/>
        <v>WIGTMCLSFVL</v>
      </c>
      <c r="H430" s="42" t="str">
        <f t="shared" si="13"/>
        <v>1~10</v>
      </c>
      <c r="I430" s="42" t="s">
        <v>2122</v>
      </c>
      <c r="J430" s="42" t="s">
        <v>2124</v>
      </c>
      <c r="K430" s="40" t="s">
        <v>2123</v>
      </c>
    </row>
    <row r="431" spans="1:11" ht="17.25">
      <c r="A431" s="28">
        <v>427</v>
      </c>
      <c r="B431" s="25" t="s">
        <v>482</v>
      </c>
      <c r="C431" s="25" t="s">
        <v>1726</v>
      </c>
      <c r="D431" s="25" t="s">
        <v>1210</v>
      </c>
      <c r="E431" s="25" t="s">
        <v>482</v>
      </c>
      <c r="F431" s="42" t="s">
        <v>1435</v>
      </c>
      <c r="G431" s="25" t="str">
        <f t="shared" si="12"/>
        <v>PSTNVL</v>
      </c>
      <c r="H431" s="42" t="str">
        <f t="shared" si="13"/>
        <v>1~100</v>
      </c>
      <c r="I431" s="42" t="s">
        <v>2122</v>
      </c>
      <c r="J431" s="42" t="s">
        <v>2124</v>
      </c>
      <c r="K431" s="40" t="s">
        <v>2123</v>
      </c>
    </row>
    <row r="432" spans="1:11" ht="17.25">
      <c r="A432" s="28">
        <v>428</v>
      </c>
      <c r="B432" s="25" t="s">
        <v>483</v>
      </c>
      <c r="C432" s="25" t="s">
        <v>1727</v>
      </c>
      <c r="D432" s="25" t="s">
        <v>1211</v>
      </c>
      <c r="E432" s="25" t="s">
        <v>483</v>
      </c>
      <c r="F432" s="42" t="s">
        <v>1432</v>
      </c>
      <c r="G432" s="25" t="str">
        <f t="shared" si="12"/>
        <v>RODFGTCUEFILEPATHNM</v>
      </c>
      <c r="H432" s="42" t="str">
        <f t="shared" si="13"/>
        <v>1~300</v>
      </c>
      <c r="I432" s="42" t="s">
        <v>2122</v>
      </c>
      <c r="J432" s="42" t="s">
        <v>2124</v>
      </c>
      <c r="K432" s="40" t="s">
        <v>2123</v>
      </c>
    </row>
    <row r="433" spans="1:11" ht="17.25">
      <c r="A433" s="28">
        <v>429</v>
      </c>
      <c r="B433" s="25" t="s">
        <v>484</v>
      </c>
      <c r="C433" s="25" t="s">
        <v>1728</v>
      </c>
      <c r="D433" s="25" t="s">
        <v>1212</v>
      </c>
      <c r="E433" s="25" t="s">
        <v>484</v>
      </c>
      <c r="F433" s="42" t="s">
        <v>1432</v>
      </c>
      <c r="G433" s="25" t="str">
        <f t="shared" si="12"/>
        <v>RODFGTCUEFILENM</v>
      </c>
      <c r="H433" s="42" t="str">
        <f t="shared" si="13"/>
        <v>1~300</v>
      </c>
      <c r="I433" s="42" t="s">
        <v>2122</v>
      </c>
      <c r="J433" s="42" t="s">
        <v>2124</v>
      </c>
      <c r="K433" s="40" t="s">
        <v>2123</v>
      </c>
    </row>
    <row r="434" spans="1:11" ht="17.25">
      <c r="A434" s="28">
        <v>430</v>
      </c>
      <c r="B434" s="25" t="s">
        <v>485</v>
      </c>
      <c r="C434" s="25" t="s">
        <v>1729</v>
      </c>
      <c r="D434" s="25" t="s">
        <v>1213</v>
      </c>
      <c r="E434" s="25" t="s">
        <v>485</v>
      </c>
      <c r="F434" s="42" t="s">
        <v>1435</v>
      </c>
      <c r="G434" s="25" t="str">
        <f t="shared" si="12"/>
        <v>GLSCOLRVL</v>
      </c>
      <c r="H434" s="42" t="str">
        <f t="shared" si="13"/>
        <v>1~100</v>
      </c>
      <c r="I434" s="42" t="s">
        <v>2122</v>
      </c>
      <c r="J434" s="42" t="s">
        <v>2124</v>
      </c>
      <c r="K434" s="40" t="s">
        <v>2123</v>
      </c>
    </row>
    <row r="435" spans="1:11" ht="17.25">
      <c r="A435" s="28">
        <v>431</v>
      </c>
      <c r="B435" s="25" t="s">
        <v>486</v>
      </c>
      <c r="C435" s="25" t="s">
        <v>1730</v>
      </c>
      <c r="D435" s="25" t="s">
        <v>1214</v>
      </c>
      <c r="E435" s="25" t="s">
        <v>486</v>
      </c>
      <c r="F435" s="42" t="s">
        <v>1447</v>
      </c>
      <c r="G435" s="25" t="str">
        <f t="shared" si="12"/>
        <v>GLSCLRTYVL</v>
      </c>
      <c r="H435" s="42" t="str">
        <f t="shared" si="13"/>
        <v>1~10</v>
      </c>
      <c r="I435" s="42" t="s">
        <v>2122</v>
      </c>
      <c r="J435" s="42" t="s">
        <v>2124</v>
      </c>
      <c r="K435" s="40" t="s">
        <v>2123</v>
      </c>
    </row>
    <row r="436" spans="1:11" ht="17.25">
      <c r="A436" s="28">
        <v>432</v>
      </c>
      <c r="B436" s="25" t="s">
        <v>487</v>
      </c>
      <c r="C436" s="25" t="s">
        <v>1731</v>
      </c>
      <c r="D436" s="25" t="s">
        <v>1215</v>
      </c>
      <c r="E436" s="25" t="s">
        <v>487</v>
      </c>
      <c r="F436" s="42" t="s">
        <v>1435</v>
      </c>
      <c r="G436" s="25" t="str">
        <f t="shared" si="12"/>
        <v>VOFDMAXVL</v>
      </c>
      <c r="H436" s="42" t="str">
        <f t="shared" si="13"/>
        <v>1~100</v>
      </c>
      <c r="I436" s="42" t="s">
        <v>2122</v>
      </c>
      <c r="J436" s="42" t="s">
        <v>2124</v>
      </c>
      <c r="K436" s="40" t="s">
        <v>2123</v>
      </c>
    </row>
    <row r="437" spans="1:11" ht="17.25">
      <c r="A437" s="28">
        <v>433</v>
      </c>
      <c r="B437" s="25" t="s">
        <v>488</v>
      </c>
      <c r="C437" s="25" t="s">
        <v>1732</v>
      </c>
      <c r="D437" s="25" t="s">
        <v>1216</v>
      </c>
      <c r="E437" s="25" t="s">
        <v>488</v>
      </c>
      <c r="F437" s="42" t="s">
        <v>1435</v>
      </c>
      <c r="G437" s="25" t="str">
        <f t="shared" si="12"/>
        <v>VOFDMINVL</v>
      </c>
      <c r="H437" s="42" t="str">
        <f t="shared" si="13"/>
        <v>1~100</v>
      </c>
      <c r="I437" s="42" t="s">
        <v>2122</v>
      </c>
      <c r="J437" s="42" t="s">
        <v>2124</v>
      </c>
      <c r="K437" s="40" t="s">
        <v>2123</v>
      </c>
    </row>
    <row r="438" spans="1:11" ht="69">
      <c r="A438" s="28">
        <v>434</v>
      </c>
      <c r="B438" s="25" t="s">
        <v>489</v>
      </c>
      <c r="C438" s="25" t="s">
        <v>1733</v>
      </c>
      <c r="D438" s="25" t="s">
        <v>1217</v>
      </c>
      <c r="E438" s="25" t="s">
        <v>765</v>
      </c>
      <c r="F438" s="42" t="s">
        <v>1465</v>
      </c>
      <c r="G438" s="25" t="str">
        <f t="shared" si="12"/>
        <v>EMLADDR</v>
      </c>
      <c r="H438" s="42" t="str">
        <f t="shared" si="13"/>
        <v>1~320</v>
      </c>
      <c r="I438" s="42" t="s">
        <v>2122</v>
      </c>
      <c r="J438" s="42" t="s">
        <v>2125</v>
      </c>
      <c r="K438" s="40" t="s">
        <v>2123</v>
      </c>
    </row>
    <row r="439" spans="1:11" ht="17.25">
      <c r="A439" s="28">
        <v>435</v>
      </c>
      <c r="B439" s="25" t="s">
        <v>490</v>
      </c>
      <c r="C439" s="25" t="s">
        <v>1734</v>
      </c>
      <c r="D439" s="25" t="s">
        <v>1218</v>
      </c>
      <c r="E439" s="25" t="s">
        <v>490</v>
      </c>
      <c r="F439" s="42" t="s">
        <v>1434</v>
      </c>
      <c r="G439" s="25" t="str">
        <f t="shared" si="12"/>
        <v>IMGFILESN</v>
      </c>
      <c r="H439" s="42" t="str">
        <f t="shared" si="13"/>
        <v>1~22</v>
      </c>
      <c r="I439" s="42" t="s">
        <v>2122</v>
      </c>
      <c r="J439" s="42" t="s">
        <v>2124</v>
      </c>
      <c r="K439" s="40" t="s">
        <v>2123</v>
      </c>
    </row>
    <row r="440" spans="1:11" ht="17.25">
      <c r="A440" s="28">
        <v>436</v>
      </c>
      <c r="B440" s="25" t="s">
        <v>491</v>
      </c>
      <c r="C440" s="25" t="s">
        <v>1735</v>
      </c>
      <c r="D440" s="25" t="s">
        <v>1219</v>
      </c>
      <c r="E440" s="25" t="s">
        <v>491</v>
      </c>
      <c r="F440" s="42" t="s">
        <v>1442</v>
      </c>
      <c r="G440" s="25" t="str">
        <f t="shared" si="12"/>
        <v>BFRCOMCD</v>
      </c>
      <c r="H440" s="42" t="str">
        <f t="shared" si="13"/>
        <v>1~20</v>
      </c>
      <c r="I440" s="42" t="s">
        <v>2122</v>
      </c>
      <c r="J440" s="42" t="s">
        <v>2125</v>
      </c>
      <c r="K440" s="40" t="s">
        <v>2123</v>
      </c>
    </row>
    <row r="441" spans="1:11" ht="17.25">
      <c r="A441" s="28">
        <v>437</v>
      </c>
      <c r="B441" s="25" t="s">
        <v>492</v>
      </c>
      <c r="C441" s="25" t="s">
        <v>1736</v>
      </c>
      <c r="D441" s="25" t="s">
        <v>1220</v>
      </c>
      <c r="E441" s="25" t="s">
        <v>492</v>
      </c>
      <c r="F441" s="42" t="s">
        <v>1432</v>
      </c>
      <c r="G441" s="25" t="str">
        <f t="shared" si="12"/>
        <v>INFRLCLSFNM</v>
      </c>
      <c r="H441" s="42" t="str">
        <f t="shared" si="13"/>
        <v>1~300</v>
      </c>
      <c r="I441" s="42" t="s">
        <v>2122</v>
      </c>
      <c r="J441" s="42" t="s">
        <v>2124</v>
      </c>
      <c r="K441" s="40" t="s">
        <v>2123</v>
      </c>
    </row>
    <row r="442" spans="1:11" ht="17.25">
      <c r="A442" s="28">
        <v>438</v>
      </c>
      <c r="B442" s="25" t="s">
        <v>493</v>
      </c>
      <c r="C442" s="25" t="s">
        <v>1737</v>
      </c>
      <c r="D442" s="25" t="s">
        <v>1221</v>
      </c>
      <c r="E442" s="25" t="s">
        <v>493</v>
      </c>
      <c r="F442" s="42" t="s">
        <v>1434</v>
      </c>
      <c r="G442" s="25" t="str">
        <f t="shared" si="12"/>
        <v>INFRLCLSFSN</v>
      </c>
      <c r="H442" s="42" t="str">
        <f t="shared" si="13"/>
        <v>1~22</v>
      </c>
      <c r="I442" s="42" t="s">
        <v>2122</v>
      </c>
      <c r="J442" s="42" t="s">
        <v>2124</v>
      </c>
      <c r="K442" s="40" t="s">
        <v>2123</v>
      </c>
    </row>
    <row r="443" spans="1:11" ht="17.25">
      <c r="A443" s="28">
        <v>439</v>
      </c>
      <c r="B443" s="25" t="s">
        <v>494</v>
      </c>
      <c r="C443" s="25" t="s">
        <v>1738</v>
      </c>
      <c r="D443" s="25" t="s">
        <v>1222</v>
      </c>
      <c r="E443" s="25" t="s">
        <v>494</v>
      </c>
      <c r="F443" s="42" t="s">
        <v>1434</v>
      </c>
      <c r="G443" s="25" t="str">
        <f t="shared" si="12"/>
        <v>INFRDTLSN</v>
      </c>
      <c r="H443" s="42" t="str">
        <f t="shared" si="13"/>
        <v>1~22</v>
      </c>
      <c r="I443" s="42" t="s">
        <v>2122</v>
      </c>
      <c r="J443" s="42" t="s">
        <v>2124</v>
      </c>
      <c r="K443" s="40" t="s">
        <v>2123</v>
      </c>
    </row>
    <row r="444" spans="1:11" ht="17.25">
      <c r="A444" s="28">
        <v>440</v>
      </c>
      <c r="B444" s="25" t="s">
        <v>495</v>
      </c>
      <c r="C444" s="25" t="s">
        <v>1739</v>
      </c>
      <c r="D444" s="25" t="s">
        <v>1223</v>
      </c>
      <c r="E444" s="25" t="s">
        <v>495</v>
      </c>
      <c r="F444" s="42" t="s">
        <v>1434</v>
      </c>
      <c r="G444" s="25" t="str">
        <f t="shared" si="12"/>
        <v>INFRGDSITEMSN</v>
      </c>
      <c r="H444" s="42" t="str">
        <f t="shared" si="13"/>
        <v>1~22</v>
      </c>
      <c r="I444" s="42" t="s">
        <v>2122</v>
      </c>
      <c r="J444" s="42" t="s">
        <v>2124</v>
      </c>
      <c r="K444" s="40" t="s">
        <v>2123</v>
      </c>
    </row>
    <row r="445" spans="1:11" ht="17.25">
      <c r="A445" s="28">
        <v>441</v>
      </c>
      <c r="B445" s="25" t="s">
        <v>496</v>
      </c>
      <c r="C445" s="25" t="s">
        <v>1740</v>
      </c>
      <c r="D445" s="25" t="s">
        <v>1224</v>
      </c>
      <c r="E445" s="25" t="s">
        <v>496</v>
      </c>
      <c r="F445" s="42" t="s">
        <v>1432</v>
      </c>
      <c r="G445" s="25" t="str">
        <f t="shared" si="12"/>
        <v>INFRSCLSFNM</v>
      </c>
      <c r="H445" s="42" t="str">
        <f t="shared" si="13"/>
        <v>1~300</v>
      </c>
      <c r="I445" s="42" t="s">
        <v>2122</v>
      </c>
      <c r="J445" s="42" t="s">
        <v>2124</v>
      </c>
      <c r="K445" s="40" t="s">
        <v>2123</v>
      </c>
    </row>
    <row r="446" spans="1:11" ht="17.25">
      <c r="A446" s="28">
        <v>442</v>
      </c>
      <c r="B446" s="25" t="s">
        <v>497</v>
      </c>
      <c r="C446" s="25" t="s">
        <v>1741</v>
      </c>
      <c r="D446" s="25" t="s">
        <v>1225</v>
      </c>
      <c r="E446" s="25" t="s">
        <v>497</v>
      </c>
      <c r="F446" s="42" t="s">
        <v>1466</v>
      </c>
      <c r="G446" s="25" t="str">
        <f t="shared" si="12"/>
        <v>INFRSCLSFCSTAMT</v>
      </c>
      <c r="H446" s="42" t="str">
        <f t="shared" si="13"/>
        <v>1~18</v>
      </c>
      <c r="I446" s="42" t="s">
        <v>2122</v>
      </c>
      <c r="J446" s="42" t="s">
        <v>2124</v>
      </c>
      <c r="K446" s="40" t="s">
        <v>2123</v>
      </c>
    </row>
    <row r="447" spans="1:11" ht="17.25">
      <c r="A447" s="28">
        <v>443</v>
      </c>
      <c r="B447" s="25" t="s">
        <v>498</v>
      </c>
      <c r="C447" s="25" t="s">
        <v>1742</v>
      </c>
      <c r="D447" s="25" t="s">
        <v>1226</v>
      </c>
      <c r="E447" s="25" t="s">
        <v>498</v>
      </c>
      <c r="F447" s="42" t="s">
        <v>1448</v>
      </c>
      <c r="G447" s="25" t="str">
        <f t="shared" si="12"/>
        <v>INFRSCLSFEXPLN</v>
      </c>
      <c r="H447" s="42" t="str">
        <f t="shared" si="13"/>
        <v>1~2000</v>
      </c>
      <c r="I447" s="42" t="s">
        <v>2122</v>
      </c>
      <c r="J447" s="42" t="s">
        <v>2124</v>
      </c>
      <c r="K447" s="40" t="s">
        <v>2123</v>
      </c>
    </row>
    <row r="448" spans="1:11" ht="17.25">
      <c r="A448" s="28">
        <v>444</v>
      </c>
      <c r="B448" s="25" t="s">
        <v>499</v>
      </c>
      <c r="C448" s="25" t="s">
        <v>1743</v>
      </c>
      <c r="D448" s="25" t="s">
        <v>1227</v>
      </c>
      <c r="E448" s="25" t="s">
        <v>499</v>
      </c>
      <c r="F448" s="42" t="s">
        <v>1447</v>
      </c>
      <c r="G448" s="25" t="str">
        <f t="shared" si="12"/>
        <v>INFRSCLSFTYPEVL</v>
      </c>
      <c r="H448" s="42" t="str">
        <f t="shared" si="13"/>
        <v>1~10</v>
      </c>
      <c r="I448" s="42" t="s">
        <v>2122</v>
      </c>
      <c r="J448" s="42" t="s">
        <v>2124</v>
      </c>
      <c r="K448" s="40" t="s">
        <v>2123</v>
      </c>
    </row>
    <row r="449" spans="1:11" ht="17.25">
      <c r="A449" s="28">
        <v>445</v>
      </c>
      <c r="B449" s="25" t="s">
        <v>500</v>
      </c>
      <c r="C449" s="25" t="s">
        <v>1744</v>
      </c>
      <c r="D449" s="25" t="s">
        <v>1228</v>
      </c>
      <c r="E449" s="25" t="s">
        <v>500</v>
      </c>
      <c r="F449" s="42" t="s">
        <v>1434</v>
      </c>
      <c r="G449" s="25" t="str">
        <f t="shared" si="12"/>
        <v>INFRSCLSFSN</v>
      </c>
      <c r="H449" s="42" t="str">
        <f t="shared" si="13"/>
        <v>1~22</v>
      </c>
      <c r="I449" s="42" t="s">
        <v>2122</v>
      </c>
      <c r="J449" s="42" t="s">
        <v>2124</v>
      </c>
      <c r="K449" s="40" t="s">
        <v>2123</v>
      </c>
    </row>
    <row r="450" spans="1:11" ht="17.25">
      <c r="A450" s="28">
        <v>446</v>
      </c>
      <c r="B450" s="25" t="s">
        <v>501</v>
      </c>
      <c r="C450" s="25" t="s">
        <v>1745</v>
      </c>
      <c r="D450" s="25" t="s">
        <v>1229</v>
      </c>
      <c r="E450" s="25" t="s">
        <v>501</v>
      </c>
      <c r="F450" s="42" t="s">
        <v>1447</v>
      </c>
      <c r="G450" s="25" t="str">
        <f t="shared" si="12"/>
        <v>INFRAPLYPRCSSTTSVL</v>
      </c>
      <c r="H450" s="42" t="str">
        <f t="shared" si="13"/>
        <v>1~10</v>
      </c>
      <c r="I450" s="42" t="s">
        <v>2122</v>
      </c>
      <c r="J450" s="42" t="s">
        <v>2124</v>
      </c>
      <c r="K450" s="40" t="s">
        <v>2123</v>
      </c>
    </row>
    <row r="451" spans="1:11" ht="17.25">
      <c r="A451" s="28">
        <v>447</v>
      </c>
      <c r="B451" s="25" t="s">
        <v>502</v>
      </c>
      <c r="C451" s="25" t="s">
        <v>1746</v>
      </c>
      <c r="D451" s="25" t="s">
        <v>1230</v>
      </c>
      <c r="E451" s="25" t="s">
        <v>502</v>
      </c>
      <c r="F451" s="42" t="s">
        <v>1432</v>
      </c>
      <c r="G451" s="25" t="str">
        <f t="shared" si="12"/>
        <v>INFRMCLSFNM</v>
      </c>
      <c r="H451" s="42" t="str">
        <f t="shared" si="13"/>
        <v>1~300</v>
      </c>
      <c r="I451" s="42" t="s">
        <v>2122</v>
      </c>
      <c r="J451" s="42" t="s">
        <v>2124</v>
      </c>
      <c r="K451" s="40" t="s">
        <v>2123</v>
      </c>
    </row>
    <row r="452" spans="1:11" ht="17.25">
      <c r="A452" s="28">
        <v>448</v>
      </c>
      <c r="B452" s="25" t="s">
        <v>503</v>
      </c>
      <c r="C452" s="25" t="s">
        <v>1747</v>
      </c>
      <c r="D452" s="25" t="s">
        <v>1231</v>
      </c>
      <c r="E452" s="25" t="s">
        <v>503</v>
      </c>
      <c r="F452" s="42" t="s">
        <v>1434</v>
      </c>
      <c r="G452" s="25" t="str">
        <f t="shared" si="12"/>
        <v>INFRMCLSFSN</v>
      </c>
      <c r="H452" s="42" t="str">
        <f t="shared" si="13"/>
        <v>1~22</v>
      </c>
      <c r="I452" s="42" t="s">
        <v>2122</v>
      </c>
      <c r="J452" s="42" t="s">
        <v>2124</v>
      </c>
      <c r="K452" s="40" t="s">
        <v>2123</v>
      </c>
    </row>
    <row r="453" spans="1:11" ht="17.25">
      <c r="A453" s="28">
        <v>449</v>
      </c>
      <c r="B453" s="25" t="s">
        <v>504</v>
      </c>
      <c r="C453" s="25" t="s">
        <v>1748</v>
      </c>
      <c r="D453" s="25" t="s">
        <v>1232</v>
      </c>
      <c r="E453" s="25" t="s">
        <v>504</v>
      </c>
      <c r="F453" s="42" t="s">
        <v>1440</v>
      </c>
      <c r="G453" s="25" t="str">
        <f t="shared" si="12"/>
        <v>INFRADDYN</v>
      </c>
      <c r="H453" s="42" t="str">
        <f t="shared" si="13"/>
        <v>1~1</v>
      </c>
      <c r="I453" s="42" t="s">
        <v>2122</v>
      </c>
      <c r="J453" s="42" t="s">
        <v>2124</v>
      </c>
      <c r="K453" s="40" t="s">
        <v>2123</v>
      </c>
    </row>
    <row r="454" spans="1:11" ht="17.25">
      <c r="A454" s="28">
        <v>450</v>
      </c>
      <c r="B454" s="25" t="s">
        <v>505</v>
      </c>
      <c r="C454" s="25" t="s">
        <v>1749</v>
      </c>
      <c r="D454" s="25" t="s">
        <v>1233</v>
      </c>
      <c r="E454" s="25" t="s">
        <v>505</v>
      </c>
      <c r="F454" s="42" t="s">
        <v>1432</v>
      </c>
      <c r="G454" s="25" t="str">
        <f t="shared" ref="G454:G517" si="14">SUBSTITUTE(D454, "_", "")</f>
        <v>INFRITEMNM</v>
      </c>
      <c r="H454" s="42" t="str">
        <f t="shared" ref="H454:H517" si="15">CONCATENATE("1~", _xlfn.REGEXREPLACE(F454, "[^0-9]",""))</f>
        <v>1~300</v>
      </c>
      <c r="I454" s="42" t="s">
        <v>2122</v>
      </c>
      <c r="J454" s="42" t="s">
        <v>2124</v>
      </c>
      <c r="K454" s="40" t="s">
        <v>2123</v>
      </c>
    </row>
    <row r="455" spans="1:11" ht="17.25">
      <c r="A455" s="28">
        <v>451</v>
      </c>
      <c r="B455" s="25" t="s">
        <v>506</v>
      </c>
      <c r="C455" s="25" t="s">
        <v>1750</v>
      </c>
      <c r="D455" s="25" t="s">
        <v>1234</v>
      </c>
      <c r="E455" s="25" t="s">
        <v>506</v>
      </c>
      <c r="F455" s="42" t="s">
        <v>1447</v>
      </c>
      <c r="G455" s="25" t="str">
        <f t="shared" si="14"/>
        <v>INFRITEMTYPEVL</v>
      </c>
      <c r="H455" s="42" t="str">
        <f t="shared" si="15"/>
        <v>1~10</v>
      </c>
      <c r="I455" s="42" t="s">
        <v>2122</v>
      </c>
      <c r="J455" s="42" t="s">
        <v>2124</v>
      </c>
      <c r="K455" s="40" t="s">
        <v>2123</v>
      </c>
    </row>
    <row r="456" spans="1:11" ht="17.25">
      <c r="A456" s="28">
        <v>452</v>
      </c>
      <c r="B456" s="25" t="s">
        <v>507</v>
      </c>
      <c r="C456" s="25" t="s">
        <v>1751</v>
      </c>
      <c r="D456" s="25" t="s">
        <v>1235</v>
      </c>
      <c r="E456" s="25" t="s">
        <v>507</v>
      </c>
      <c r="F456" s="42" t="s">
        <v>1462</v>
      </c>
      <c r="G456" s="25" t="str">
        <f t="shared" si="14"/>
        <v>INFRITEMTYPECD</v>
      </c>
      <c r="H456" s="42" t="str">
        <f t="shared" si="15"/>
        <v>1~1</v>
      </c>
      <c r="I456" s="42" t="s">
        <v>2122</v>
      </c>
      <c r="J456" s="42" t="s">
        <v>2124</v>
      </c>
      <c r="K456" s="40" t="s">
        <v>2123</v>
      </c>
    </row>
    <row r="457" spans="1:11" ht="17.25">
      <c r="A457" s="28">
        <v>453</v>
      </c>
      <c r="B457" s="25" t="s">
        <v>508</v>
      </c>
      <c r="C457" s="25" t="s">
        <v>1752</v>
      </c>
      <c r="D457" s="25" t="s">
        <v>1236</v>
      </c>
      <c r="E457" s="25" t="s">
        <v>508</v>
      </c>
      <c r="F457" s="42" t="s">
        <v>1434</v>
      </c>
      <c r="G457" s="25" t="str">
        <f t="shared" si="14"/>
        <v>INFRITEMSN</v>
      </c>
      <c r="H457" s="42" t="str">
        <f t="shared" si="15"/>
        <v>1~22</v>
      </c>
      <c r="I457" s="42" t="s">
        <v>2122</v>
      </c>
      <c r="J457" s="42" t="s">
        <v>2124</v>
      </c>
      <c r="K457" s="40" t="s">
        <v>2123</v>
      </c>
    </row>
    <row r="458" spans="1:11" ht="17.25">
      <c r="A458" s="28">
        <v>454</v>
      </c>
      <c r="B458" s="25" t="s">
        <v>509</v>
      </c>
      <c r="C458" s="25" t="s">
        <v>1753</v>
      </c>
      <c r="D458" s="25" t="s">
        <v>1237</v>
      </c>
      <c r="E458" s="25" t="s">
        <v>509</v>
      </c>
      <c r="F458" s="42" t="s">
        <v>1436</v>
      </c>
      <c r="G458" s="25" t="str">
        <f t="shared" si="14"/>
        <v>INFRITEMTOTQTY</v>
      </c>
      <c r="H458" s="42" t="str">
        <f t="shared" si="15"/>
        <v>1~14</v>
      </c>
      <c r="I458" s="42" t="s">
        <v>2122</v>
      </c>
      <c r="J458" s="42" t="s">
        <v>2124</v>
      </c>
      <c r="K458" s="40" t="s">
        <v>2123</v>
      </c>
    </row>
    <row r="459" spans="1:11" ht="17.25">
      <c r="A459" s="28">
        <v>455</v>
      </c>
      <c r="B459" s="25" t="s">
        <v>510</v>
      </c>
      <c r="C459" s="25" t="s">
        <v>1754</v>
      </c>
      <c r="D459" s="25" t="s">
        <v>1238</v>
      </c>
      <c r="E459" s="25" t="s">
        <v>510</v>
      </c>
      <c r="F459" s="42" t="s">
        <v>1440</v>
      </c>
      <c r="G459" s="25" t="str">
        <f t="shared" si="14"/>
        <v>RENGYN</v>
      </c>
      <c r="H459" s="42" t="str">
        <f t="shared" si="15"/>
        <v>1~1</v>
      </c>
      <c r="I459" s="42" t="s">
        <v>2122</v>
      </c>
      <c r="J459" s="42" t="s">
        <v>2124</v>
      </c>
      <c r="K459" s="40" t="s">
        <v>2123</v>
      </c>
    </row>
    <row r="460" spans="1:11" ht="17.25">
      <c r="A460" s="28">
        <v>456</v>
      </c>
      <c r="B460" s="25" t="s">
        <v>511</v>
      </c>
      <c r="C460" s="25" t="s">
        <v>1755</v>
      </c>
      <c r="D460" s="25" t="s">
        <v>1239</v>
      </c>
      <c r="E460" s="25" t="s">
        <v>511</v>
      </c>
      <c r="F460" s="42" t="s">
        <v>1434</v>
      </c>
      <c r="G460" s="25" t="str">
        <f t="shared" si="14"/>
        <v>ATMNMDLSN</v>
      </c>
      <c r="H460" s="42" t="str">
        <f t="shared" si="15"/>
        <v>1~22</v>
      </c>
      <c r="I460" s="42" t="s">
        <v>2122</v>
      </c>
      <c r="J460" s="42" t="s">
        <v>2124</v>
      </c>
      <c r="K460" s="40" t="s">
        <v>2123</v>
      </c>
    </row>
    <row r="461" spans="1:11" ht="34.5">
      <c r="A461" s="28">
        <v>457</v>
      </c>
      <c r="B461" s="25" t="s">
        <v>512</v>
      </c>
      <c r="C461" s="25" t="s">
        <v>1756</v>
      </c>
      <c r="D461" s="25" t="s">
        <v>1240</v>
      </c>
      <c r="E461" s="25" t="s">
        <v>766</v>
      </c>
      <c r="F461" s="42" t="s">
        <v>1443</v>
      </c>
      <c r="G461" s="25" t="str">
        <f t="shared" si="14"/>
        <v>JOBCN</v>
      </c>
      <c r="H461" s="42" t="str">
        <f t="shared" si="15"/>
        <v>1~4000</v>
      </c>
      <c r="I461" s="42" t="s">
        <v>2122</v>
      </c>
      <c r="J461" s="42" t="s">
        <v>2124</v>
      </c>
      <c r="K461" s="40" t="s">
        <v>2123</v>
      </c>
    </row>
    <row r="462" spans="1:11" ht="17.25">
      <c r="A462" s="28">
        <v>458</v>
      </c>
      <c r="B462" s="25" t="s">
        <v>513</v>
      </c>
      <c r="C462" s="25" t="s">
        <v>1757</v>
      </c>
      <c r="D462" s="25" t="s">
        <v>1241</v>
      </c>
      <c r="E462" s="25" t="s">
        <v>513</v>
      </c>
      <c r="F462" s="42" t="s">
        <v>1434</v>
      </c>
      <c r="G462" s="25" t="str">
        <f t="shared" si="14"/>
        <v>JOBLOGSN</v>
      </c>
      <c r="H462" s="42" t="str">
        <f t="shared" si="15"/>
        <v>1~22</v>
      </c>
      <c r="I462" s="42" t="s">
        <v>2122</v>
      </c>
      <c r="J462" s="42" t="s">
        <v>2124</v>
      </c>
      <c r="K462" s="40" t="s">
        <v>2123</v>
      </c>
    </row>
    <row r="463" spans="1:11" ht="17.25">
      <c r="A463" s="28">
        <v>459</v>
      </c>
      <c r="B463" s="25" t="s">
        <v>514</v>
      </c>
      <c r="C463" s="25" t="s">
        <v>1758</v>
      </c>
      <c r="D463" s="25" t="s">
        <v>1242</v>
      </c>
      <c r="E463" s="25" t="s">
        <v>514</v>
      </c>
      <c r="F463" s="42" t="s">
        <v>1447</v>
      </c>
      <c r="G463" s="25" t="str">
        <f t="shared" si="14"/>
        <v>JOBPRCSSEVL</v>
      </c>
      <c r="H463" s="42" t="str">
        <f t="shared" si="15"/>
        <v>1~10</v>
      </c>
      <c r="I463" s="42" t="s">
        <v>2122</v>
      </c>
      <c r="J463" s="42" t="s">
        <v>2124</v>
      </c>
      <c r="K463" s="40" t="s">
        <v>2123</v>
      </c>
    </row>
    <row r="464" spans="1:11" ht="17.25">
      <c r="A464" s="28">
        <v>460</v>
      </c>
      <c r="B464" s="25" t="s">
        <v>515</v>
      </c>
      <c r="C464" s="25" t="s">
        <v>1759</v>
      </c>
      <c r="D464" s="25" t="s">
        <v>1243</v>
      </c>
      <c r="E464" s="25" t="s">
        <v>515</v>
      </c>
      <c r="F464" s="42" t="s">
        <v>1435</v>
      </c>
      <c r="G464" s="25" t="str">
        <f t="shared" si="14"/>
        <v>JOBFNCTSTTSVL</v>
      </c>
      <c r="H464" s="42" t="str">
        <f t="shared" si="15"/>
        <v>1~100</v>
      </c>
      <c r="I464" s="42" t="s">
        <v>2122</v>
      </c>
      <c r="J464" s="42" t="s">
        <v>2124</v>
      </c>
      <c r="K464" s="40" t="s">
        <v>2123</v>
      </c>
    </row>
    <row r="465" spans="1:11" ht="17.25">
      <c r="A465" s="28">
        <v>461</v>
      </c>
      <c r="B465" s="25" t="s">
        <v>516</v>
      </c>
      <c r="C465" s="25" t="s">
        <v>1760</v>
      </c>
      <c r="D465" s="25" t="s">
        <v>1244</v>
      </c>
      <c r="E465" s="25" t="s">
        <v>516</v>
      </c>
      <c r="F465" s="42" t="s">
        <v>1433</v>
      </c>
      <c r="G465" s="25" t="str">
        <f t="shared" si="14"/>
        <v>JOBFNCTID</v>
      </c>
      <c r="H465" s="42" t="str">
        <f t="shared" si="15"/>
        <v>1~20</v>
      </c>
      <c r="I465" s="42" t="s">
        <v>2122</v>
      </c>
      <c r="J465" s="42" t="s">
        <v>2124</v>
      </c>
      <c r="K465" s="40" t="s">
        <v>2123</v>
      </c>
    </row>
    <row r="466" spans="1:11" ht="17.25">
      <c r="A466" s="28">
        <v>462</v>
      </c>
      <c r="B466" s="25" t="s">
        <v>517</v>
      </c>
      <c r="C466" s="25" t="s">
        <v>1588</v>
      </c>
      <c r="D466" s="25" t="s">
        <v>1245</v>
      </c>
      <c r="E466" s="25" t="s">
        <v>517</v>
      </c>
      <c r="F466" s="42" t="s">
        <v>1432</v>
      </c>
      <c r="G466" s="25" t="str">
        <f t="shared" si="14"/>
        <v>STRGFILEPATHNM</v>
      </c>
      <c r="H466" s="42" t="str">
        <f t="shared" si="15"/>
        <v>1~300</v>
      </c>
      <c r="I466" s="42" t="s">
        <v>2122</v>
      </c>
      <c r="J466" s="42" t="s">
        <v>2124</v>
      </c>
      <c r="K466" s="40" t="s">
        <v>2123</v>
      </c>
    </row>
    <row r="467" spans="1:11" ht="34.5">
      <c r="A467" s="28">
        <v>463</v>
      </c>
      <c r="B467" s="25" t="s">
        <v>518</v>
      </c>
      <c r="C467" s="25" t="s">
        <v>1589</v>
      </c>
      <c r="D467" s="25" t="s">
        <v>1246</v>
      </c>
      <c r="E467" s="25" t="s">
        <v>767</v>
      </c>
      <c r="F467" s="42" t="s">
        <v>1432</v>
      </c>
      <c r="G467" s="25" t="str">
        <f t="shared" si="14"/>
        <v>STRGFILENM</v>
      </c>
      <c r="H467" s="42" t="str">
        <f t="shared" si="15"/>
        <v>1~300</v>
      </c>
      <c r="I467" s="42" t="s">
        <v>2122</v>
      </c>
      <c r="J467" s="42" t="s">
        <v>2124</v>
      </c>
      <c r="K467" s="40" t="s">
        <v>2123</v>
      </c>
    </row>
    <row r="468" spans="1:11" ht="17.25">
      <c r="A468" s="28">
        <v>464</v>
      </c>
      <c r="B468" s="25" t="s">
        <v>519</v>
      </c>
      <c r="C468" s="25" t="s">
        <v>1590</v>
      </c>
      <c r="D468" s="25" t="s">
        <v>1247</v>
      </c>
      <c r="E468" s="25" t="s">
        <v>519</v>
      </c>
      <c r="F468" s="42" t="s">
        <v>1447</v>
      </c>
      <c r="G468" s="25" t="str">
        <f t="shared" si="14"/>
        <v>RPCSPRCSSTTSVL</v>
      </c>
      <c r="H468" s="42" t="str">
        <f t="shared" si="15"/>
        <v>1~10</v>
      </c>
      <c r="I468" s="42" t="s">
        <v>2122</v>
      </c>
      <c r="J468" s="42" t="s">
        <v>2124</v>
      </c>
      <c r="K468" s="40" t="s">
        <v>2123</v>
      </c>
    </row>
    <row r="469" spans="1:11" ht="17.25">
      <c r="A469" s="28">
        <v>465</v>
      </c>
      <c r="B469" s="25" t="s">
        <v>520</v>
      </c>
      <c r="C469" s="25" t="s">
        <v>1591</v>
      </c>
      <c r="D469" s="25" t="s">
        <v>1248</v>
      </c>
      <c r="E469" s="25" t="s">
        <v>520</v>
      </c>
      <c r="F469" s="42" t="s">
        <v>1435</v>
      </c>
      <c r="G469" s="25" t="str">
        <f t="shared" si="14"/>
        <v>ACSHSTRYIPVL</v>
      </c>
      <c r="H469" s="42" t="str">
        <f t="shared" si="15"/>
        <v>1~100</v>
      </c>
      <c r="I469" s="42" t="s">
        <v>2122</v>
      </c>
      <c r="J469" s="42" t="s">
        <v>2124</v>
      </c>
      <c r="K469" s="40" t="s">
        <v>2123</v>
      </c>
    </row>
    <row r="470" spans="1:11" ht="17.25">
      <c r="A470" s="28">
        <v>466</v>
      </c>
      <c r="B470" s="25" t="s">
        <v>521</v>
      </c>
      <c r="C470" s="25" t="s">
        <v>1592</v>
      </c>
      <c r="D470" s="25" t="s">
        <v>1249</v>
      </c>
      <c r="E470" s="25" t="s">
        <v>521</v>
      </c>
      <c r="F470" s="42" t="s">
        <v>1439</v>
      </c>
      <c r="G470" s="25" t="str">
        <f t="shared" si="14"/>
        <v>ACSHSTRYURLR</v>
      </c>
      <c r="H470" s="42" t="str">
        <f t="shared" si="15"/>
        <v>1~1000</v>
      </c>
      <c r="I470" s="42" t="s">
        <v>2122</v>
      </c>
      <c r="J470" s="42" t="s">
        <v>2124</v>
      </c>
      <c r="K470" s="40" t="s">
        <v>2123</v>
      </c>
    </row>
    <row r="471" spans="1:11" ht="17.25">
      <c r="A471" s="28">
        <v>467</v>
      </c>
      <c r="B471" s="25" t="s">
        <v>522</v>
      </c>
      <c r="C471" s="25" t="s">
        <v>1593</v>
      </c>
      <c r="D471" s="25" t="s">
        <v>1250</v>
      </c>
      <c r="E471" s="25" t="s">
        <v>522</v>
      </c>
      <c r="F471" s="42" t="s">
        <v>1432</v>
      </c>
      <c r="G471" s="25" t="str">
        <f t="shared" si="14"/>
        <v>ACSHSTRYDMNNM</v>
      </c>
      <c r="H471" s="42" t="str">
        <f t="shared" si="15"/>
        <v>1~300</v>
      </c>
      <c r="I471" s="42" t="s">
        <v>2122</v>
      </c>
      <c r="J471" s="42" t="s">
        <v>2124</v>
      </c>
      <c r="K471" s="40" t="s">
        <v>2123</v>
      </c>
    </row>
    <row r="472" spans="1:11" ht="17.25">
      <c r="A472" s="28">
        <v>468</v>
      </c>
      <c r="B472" s="25" t="s">
        <v>523</v>
      </c>
      <c r="C472" s="25" t="s">
        <v>1594</v>
      </c>
      <c r="D472" s="25" t="s">
        <v>1251</v>
      </c>
      <c r="E472" s="25" t="s">
        <v>523</v>
      </c>
      <c r="F472" s="42" t="s">
        <v>1467</v>
      </c>
      <c r="G472" s="25" t="str">
        <f t="shared" si="14"/>
        <v>ACSHSTRYYR</v>
      </c>
      <c r="H472" s="42" t="str">
        <f t="shared" si="15"/>
        <v>1~4</v>
      </c>
      <c r="I472" s="42" t="s">
        <v>2122</v>
      </c>
      <c r="J472" s="42" t="s">
        <v>2124</v>
      </c>
      <c r="K472" s="40" t="s">
        <v>2123</v>
      </c>
    </row>
    <row r="473" spans="1:11" ht="17.25">
      <c r="A473" s="28">
        <v>469</v>
      </c>
      <c r="B473" s="25" t="s">
        <v>524</v>
      </c>
      <c r="C473" s="25" t="s">
        <v>1595</v>
      </c>
      <c r="D473" s="25" t="s">
        <v>1252</v>
      </c>
      <c r="E473" s="25" t="s">
        <v>524</v>
      </c>
      <c r="F473" s="42" t="s">
        <v>1468</v>
      </c>
      <c r="G473" s="25" t="str">
        <f t="shared" si="14"/>
        <v>ACSHSTRYMM</v>
      </c>
      <c r="H473" s="42" t="str">
        <f t="shared" si="15"/>
        <v>1~2</v>
      </c>
      <c r="I473" s="42" t="s">
        <v>2122</v>
      </c>
      <c r="J473" s="42" t="s">
        <v>2124</v>
      </c>
      <c r="K473" s="40" t="s">
        <v>2123</v>
      </c>
    </row>
    <row r="474" spans="1:11" ht="17.25">
      <c r="A474" s="28">
        <v>470</v>
      </c>
      <c r="B474" s="25" t="s">
        <v>525</v>
      </c>
      <c r="C474" s="25" t="s">
        <v>1596</v>
      </c>
      <c r="D474" s="25" t="s">
        <v>1253</v>
      </c>
      <c r="E474" s="25" t="s">
        <v>525</v>
      </c>
      <c r="F474" s="42" t="s">
        <v>1469</v>
      </c>
      <c r="G474" s="25" t="str">
        <f t="shared" si="14"/>
        <v>ACSHSTRYDAYCNT</v>
      </c>
      <c r="H474" s="42" t="str">
        <f t="shared" si="15"/>
        <v>1~2</v>
      </c>
      <c r="I474" s="42" t="s">
        <v>2122</v>
      </c>
      <c r="J474" s="42" t="s">
        <v>2124</v>
      </c>
      <c r="K474" s="40" t="s">
        <v>2123</v>
      </c>
    </row>
    <row r="475" spans="1:11" ht="17.25">
      <c r="A475" s="28">
        <v>471</v>
      </c>
      <c r="B475" s="25" t="s">
        <v>526</v>
      </c>
      <c r="C475" s="25" t="s">
        <v>1597</v>
      </c>
      <c r="D475" s="25" t="s">
        <v>1254</v>
      </c>
      <c r="E475" s="25" t="s">
        <v>526</v>
      </c>
      <c r="F475" s="42" t="s">
        <v>1432</v>
      </c>
      <c r="G475" s="25" t="str">
        <f t="shared" si="14"/>
        <v>ACSHSTRYEQPMNTNM</v>
      </c>
      <c r="H475" s="42" t="str">
        <f t="shared" si="15"/>
        <v>1~300</v>
      </c>
      <c r="I475" s="42" t="s">
        <v>2122</v>
      </c>
      <c r="J475" s="42" t="s">
        <v>2124</v>
      </c>
      <c r="K475" s="40" t="s">
        <v>2123</v>
      </c>
    </row>
    <row r="476" spans="1:11" ht="17.25">
      <c r="A476" s="28">
        <v>472</v>
      </c>
      <c r="B476" s="25" t="s">
        <v>527</v>
      </c>
      <c r="C476" s="25" t="s">
        <v>1598</v>
      </c>
      <c r="D476" s="25" t="s">
        <v>1255</v>
      </c>
      <c r="E476" s="25" t="s">
        <v>527</v>
      </c>
      <c r="F476" s="42" t="s">
        <v>1432</v>
      </c>
      <c r="G476" s="25" t="str">
        <f t="shared" si="14"/>
        <v>ACSHSTRYPGENM</v>
      </c>
      <c r="H476" s="42" t="str">
        <f t="shared" si="15"/>
        <v>1~300</v>
      </c>
      <c r="I476" s="42" t="s">
        <v>2122</v>
      </c>
      <c r="J476" s="42" t="s">
        <v>2124</v>
      </c>
      <c r="K476" s="40" t="s">
        <v>2123</v>
      </c>
    </row>
    <row r="477" spans="1:11" ht="17.25">
      <c r="A477" s="28">
        <v>473</v>
      </c>
      <c r="B477" s="25" t="s">
        <v>528</v>
      </c>
      <c r="C477" s="25" t="s">
        <v>1599</v>
      </c>
      <c r="D477" s="25" t="s">
        <v>1256</v>
      </c>
      <c r="E477" s="25" t="s">
        <v>528</v>
      </c>
      <c r="F477" s="42" t="s">
        <v>1447</v>
      </c>
      <c r="G477" s="25" t="str">
        <f t="shared" si="14"/>
        <v>INFOTYPEVL</v>
      </c>
      <c r="H477" s="42" t="str">
        <f t="shared" si="15"/>
        <v>1~10</v>
      </c>
      <c r="I477" s="42" t="s">
        <v>2122</v>
      </c>
      <c r="J477" s="42" t="s">
        <v>2124</v>
      </c>
      <c r="K477" s="40" t="s">
        <v>2123</v>
      </c>
    </row>
    <row r="478" spans="1:11" ht="17.25">
      <c r="A478" s="28">
        <v>474</v>
      </c>
      <c r="B478" s="25" t="s">
        <v>529</v>
      </c>
      <c r="C478" s="25" t="s">
        <v>1600</v>
      </c>
      <c r="D478" s="25" t="s">
        <v>1257</v>
      </c>
      <c r="E478" s="25" t="s">
        <v>529</v>
      </c>
      <c r="F478" s="42" t="s">
        <v>1443</v>
      </c>
      <c r="G478" s="25" t="str">
        <f t="shared" si="14"/>
        <v>RFNTCOLCN</v>
      </c>
      <c r="H478" s="42" t="str">
        <f t="shared" si="15"/>
        <v>1~4000</v>
      </c>
      <c r="I478" s="42" t="s">
        <v>2122</v>
      </c>
      <c r="J478" s="42" t="s">
        <v>2124</v>
      </c>
      <c r="K478" s="40" t="s">
        <v>2123</v>
      </c>
    </row>
    <row r="479" spans="1:11" ht="17.25">
      <c r="A479" s="28">
        <v>475</v>
      </c>
      <c r="B479" s="25" t="s">
        <v>530</v>
      </c>
      <c r="C479" s="25" t="s">
        <v>1601</v>
      </c>
      <c r="D479" s="25" t="s">
        <v>1258</v>
      </c>
      <c r="E479" s="25" t="s">
        <v>530</v>
      </c>
      <c r="F479" s="42" t="s">
        <v>1470</v>
      </c>
      <c r="G479" s="25" t="str">
        <f t="shared" si="14"/>
        <v>RFNTFNCTCOLVL</v>
      </c>
      <c r="H479" s="42" t="str">
        <f t="shared" si="15"/>
        <v>1~500</v>
      </c>
      <c r="I479" s="42" t="s">
        <v>2122</v>
      </c>
      <c r="J479" s="42" t="s">
        <v>2124</v>
      </c>
      <c r="K479" s="40" t="s">
        <v>2123</v>
      </c>
    </row>
    <row r="480" spans="1:11" ht="17.25">
      <c r="A480" s="28">
        <v>476</v>
      </c>
      <c r="B480" s="25" t="s">
        <v>531</v>
      </c>
      <c r="C480" s="25" t="s">
        <v>1602</v>
      </c>
      <c r="D480" s="25" t="s">
        <v>1259</v>
      </c>
      <c r="E480" s="25" t="s">
        <v>531</v>
      </c>
      <c r="F480" s="42" t="s">
        <v>1432</v>
      </c>
      <c r="G480" s="25" t="str">
        <f t="shared" si="14"/>
        <v>TTLNM</v>
      </c>
      <c r="H480" s="42" t="str">
        <f t="shared" si="15"/>
        <v>1~300</v>
      </c>
      <c r="I480" s="42" t="s">
        <v>2122</v>
      </c>
      <c r="J480" s="42" t="s">
        <v>2124</v>
      </c>
      <c r="K480" s="40" t="s">
        <v>2123</v>
      </c>
    </row>
    <row r="481" spans="1:11" ht="17.25">
      <c r="A481" s="28">
        <v>477</v>
      </c>
      <c r="B481" s="25" t="s">
        <v>532</v>
      </c>
      <c r="C481" s="25" t="s">
        <v>1603</v>
      </c>
      <c r="D481" s="25" t="s">
        <v>1260</v>
      </c>
      <c r="E481" s="25" t="s">
        <v>532</v>
      </c>
      <c r="F481" s="42" t="s">
        <v>1447</v>
      </c>
      <c r="G481" s="25" t="str">
        <f t="shared" si="14"/>
        <v>TTLCOLRVL</v>
      </c>
      <c r="H481" s="42" t="str">
        <f t="shared" si="15"/>
        <v>1~10</v>
      </c>
      <c r="I481" s="42" t="s">
        <v>2122</v>
      </c>
      <c r="J481" s="42" t="s">
        <v>2124</v>
      </c>
      <c r="K481" s="40" t="s">
        <v>2123</v>
      </c>
    </row>
    <row r="482" spans="1:11" ht="17.25">
      <c r="A482" s="28">
        <v>478</v>
      </c>
      <c r="B482" s="25" t="s">
        <v>533</v>
      </c>
      <c r="C482" s="25" t="s">
        <v>1604</v>
      </c>
      <c r="D482" s="25" t="s">
        <v>1261</v>
      </c>
      <c r="E482" s="25" t="s">
        <v>533</v>
      </c>
      <c r="F482" s="42" t="s">
        <v>1441</v>
      </c>
      <c r="G482" s="25" t="str">
        <f t="shared" si="14"/>
        <v>TTLSORTNO</v>
      </c>
      <c r="H482" s="42" t="str">
        <f t="shared" si="15"/>
        <v>1~100</v>
      </c>
      <c r="I482" s="42" t="s">
        <v>2122</v>
      </c>
      <c r="J482" s="42" t="s">
        <v>2124</v>
      </c>
      <c r="K482" s="40" t="s">
        <v>2123</v>
      </c>
    </row>
    <row r="483" spans="1:11" ht="17.25">
      <c r="A483" s="28">
        <v>479</v>
      </c>
      <c r="B483" s="25" t="s">
        <v>534</v>
      </c>
      <c r="C483" s="25" t="s">
        <v>1605</v>
      </c>
      <c r="D483" s="25" t="s">
        <v>1262</v>
      </c>
      <c r="E483" s="25" t="s">
        <v>534</v>
      </c>
      <c r="F483" s="42" t="s">
        <v>1463</v>
      </c>
      <c r="G483" s="25" t="str">
        <f t="shared" si="14"/>
        <v>TTLFONTCNT</v>
      </c>
      <c r="H483" s="42" t="str">
        <f t="shared" si="15"/>
        <v>1~2</v>
      </c>
      <c r="I483" s="42" t="s">
        <v>2122</v>
      </c>
      <c r="J483" s="42" t="s">
        <v>2124</v>
      </c>
      <c r="K483" s="40" t="s">
        <v>2123</v>
      </c>
    </row>
    <row r="484" spans="1:11" ht="17.25">
      <c r="A484" s="28">
        <v>480</v>
      </c>
      <c r="B484" s="25" t="s">
        <v>535</v>
      </c>
      <c r="C484" s="25" t="s">
        <v>1606</v>
      </c>
      <c r="D484" s="25" t="s">
        <v>1263</v>
      </c>
      <c r="E484" s="25" t="s">
        <v>535</v>
      </c>
      <c r="F484" s="42" t="s">
        <v>1432</v>
      </c>
      <c r="G484" s="25" t="str">
        <f t="shared" si="14"/>
        <v>DYKNM</v>
      </c>
      <c r="H484" s="42" t="str">
        <f t="shared" si="15"/>
        <v>1~300</v>
      </c>
      <c r="I484" s="42" t="s">
        <v>2122</v>
      </c>
      <c r="J484" s="42" t="s">
        <v>2124</v>
      </c>
      <c r="K484" s="40" t="s">
        <v>2123</v>
      </c>
    </row>
    <row r="485" spans="1:11" ht="17.25">
      <c r="A485" s="28">
        <v>481</v>
      </c>
      <c r="B485" s="25" t="s">
        <v>536</v>
      </c>
      <c r="C485" s="25" t="s">
        <v>1607</v>
      </c>
      <c r="D485" s="25" t="s">
        <v>1264</v>
      </c>
      <c r="E485" s="25" t="s">
        <v>536</v>
      </c>
      <c r="F485" s="42" t="s">
        <v>1434</v>
      </c>
      <c r="G485" s="25" t="str">
        <f t="shared" si="14"/>
        <v>DYKSN</v>
      </c>
      <c r="H485" s="42" t="str">
        <f t="shared" si="15"/>
        <v>1~22</v>
      </c>
      <c r="I485" s="42" t="s">
        <v>2122</v>
      </c>
      <c r="J485" s="42" t="s">
        <v>2124</v>
      </c>
      <c r="K485" s="40" t="s">
        <v>2123</v>
      </c>
    </row>
    <row r="486" spans="1:11" ht="17.25">
      <c r="A486" s="28">
        <v>482</v>
      </c>
      <c r="B486" s="25" t="s">
        <v>537</v>
      </c>
      <c r="C486" s="25" t="s">
        <v>1608</v>
      </c>
      <c r="D486" s="25" t="s">
        <v>1265</v>
      </c>
      <c r="E486" s="25" t="s">
        <v>537</v>
      </c>
      <c r="F486" s="42" t="s">
        <v>1432</v>
      </c>
      <c r="G486" s="25" t="str">
        <f t="shared" si="14"/>
        <v>DYKFILEPATHNM</v>
      </c>
      <c r="H486" s="42" t="str">
        <f t="shared" si="15"/>
        <v>1~300</v>
      </c>
      <c r="I486" s="42" t="s">
        <v>2122</v>
      </c>
      <c r="J486" s="42" t="s">
        <v>2124</v>
      </c>
      <c r="K486" s="40" t="s">
        <v>2123</v>
      </c>
    </row>
    <row r="487" spans="1:11" ht="17.25">
      <c r="A487" s="28">
        <v>483</v>
      </c>
      <c r="B487" s="25" t="s">
        <v>538</v>
      </c>
      <c r="C487" s="25" t="s">
        <v>1609</v>
      </c>
      <c r="D487" s="25" t="s">
        <v>1266</v>
      </c>
      <c r="E487" s="25" t="s">
        <v>538</v>
      </c>
      <c r="F487" s="42" t="s">
        <v>1432</v>
      </c>
      <c r="G487" s="25" t="str">
        <f t="shared" si="14"/>
        <v>DYKFILENM</v>
      </c>
      <c r="H487" s="42" t="str">
        <f t="shared" si="15"/>
        <v>1~300</v>
      </c>
      <c r="I487" s="42" t="s">
        <v>2122</v>
      </c>
      <c r="J487" s="42" t="s">
        <v>2124</v>
      </c>
      <c r="K487" s="40" t="s">
        <v>2123</v>
      </c>
    </row>
    <row r="488" spans="1:11" ht="17.25">
      <c r="A488" s="28">
        <v>484</v>
      </c>
      <c r="B488" s="25" t="s">
        <v>539</v>
      </c>
      <c r="C488" s="25" t="s">
        <v>1610</v>
      </c>
      <c r="D488" s="25" t="s">
        <v>1267</v>
      </c>
      <c r="E488" s="25" t="s">
        <v>539</v>
      </c>
      <c r="F488" s="42" t="s">
        <v>1435</v>
      </c>
      <c r="G488" s="25" t="str">
        <f t="shared" si="14"/>
        <v>LMTVL</v>
      </c>
      <c r="H488" s="42" t="str">
        <f t="shared" si="15"/>
        <v>1~100</v>
      </c>
      <c r="I488" s="42" t="s">
        <v>2122</v>
      </c>
      <c r="J488" s="42" t="s">
        <v>2124</v>
      </c>
      <c r="K488" s="40" t="s">
        <v>2123</v>
      </c>
    </row>
    <row r="489" spans="1:11" ht="17.25">
      <c r="A489" s="28">
        <v>485</v>
      </c>
      <c r="B489" s="25" t="s">
        <v>540</v>
      </c>
      <c r="C489" s="25" t="s">
        <v>1611</v>
      </c>
      <c r="D489" s="25" t="s">
        <v>1268</v>
      </c>
      <c r="E489" s="25" t="s">
        <v>540</v>
      </c>
      <c r="F489" s="42" t="s">
        <v>1435</v>
      </c>
      <c r="G489" s="25" t="str">
        <f t="shared" si="14"/>
        <v>ILMNCFCVL</v>
      </c>
      <c r="H489" s="42" t="str">
        <f t="shared" si="15"/>
        <v>1~100</v>
      </c>
      <c r="I489" s="42" t="s">
        <v>2122</v>
      </c>
      <c r="J489" s="42" t="s">
        <v>2124</v>
      </c>
      <c r="K489" s="40" t="s">
        <v>2123</v>
      </c>
    </row>
    <row r="490" spans="1:11" ht="17.25">
      <c r="A490" s="28">
        <v>486</v>
      </c>
      <c r="B490" s="25" t="s">
        <v>541</v>
      </c>
      <c r="C490" s="25" t="s">
        <v>1612</v>
      </c>
      <c r="D490" s="25" t="s">
        <v>1269</v>
      </c>
      <c r="E490" s="25" t="s">
        <v>768</v>
      </c>
      <c r="F490" s="42" t="s">
        <v>1449</v>
      </c>
      <c r="G490" s="25" t="str">
        <f t="shared" si="14"/>
        <v>INQCNT</v>
      </c>
      <c r="H490" s="42" t="str">
        <f t="shared" si="15"/>
        <v>1~10</v>
      </c>
      <c r="I490" s="42" t="s">
        <v>2122</v>
      </c>
      <c r="J490" s="42" t="s">
        <v>2124</v>
      </c>
      <c r="K490" s="40" t="s">
        <v>2123</v>
      </c>
    </row>
    <row r="491" spans="1:11" ht="17.25">
      <c r="A491" s="28">
        <v>487</v>
      </c>
      <c r="B491" s="25" t="s">
        <v>542</v>
      </c>
      <c r="C491" s="25" t="s">
        <v>1613</v>
      </c>
      <c r="D491" s="25" t="s">
        <v>1270</v>
      </c>
      <c r="E491" s="25" t="s">
        <v>542</v>
      </c>
      <c r="F491" s="42" t="s">
        <v>1442</v>
      </c>
      <c r="G491" s="25" t="str">
        <f t="shared" si="14"/>
        <v>CNTMSECD</v>
      </c>
      <c r="H491" s="42" t="str">
        <f t="shared" si="15"/>
        <v>1~20</v>
      </c>
      <c r="I491" s="42" t="s">
        <v>2122</v>
      </c>
      <c r="J491" s="42" t="s">
        <v>2124</v>
      </c>
      <c r="K491" s="40" t="s">
        <v>2123</v>
      </c>
    </row>
    <row r="492" spans="1:11" ht="17.25">
      <c r="A492" s="28">
        <v>488</v>
      </c>
      <c r="B492" s="25" t="s">
        <v>543</v>
      </c>
      <c r="C492" s="25" t="s">
        <v>1614</v>
      </c>
      <c r="D492" s="25" t="s">
        <v>1271</v>
      </c>
      <c r="E492" s="25" t="s">
        <v>543</v>
      </c>
      <c r="F492" s="42" t="s">
        <v>1457</v>
      </c>
      <c r="G492" s="25" t="str">
        <f t="shared" si="14"/>
        <v>MIDL MENUNM</v>
      </c>
      <c r="H492" s="42" t="str">
        <f t="shared" si="15"/>
        <v>1~100</v>
      </c>
      <c r="I492" s="42" t="s">
        <v>2122</v>
      </c>
      <c r="J492" s="42" t="s">
        <v>2124</v>
      </c>
      <c r="K492" s="40" t="s">
        <v>2123</v>
      </c>
    </row>
    <row r="493" spans="1:11" ht="17.25">
      <c r="A493" s="28">
        <v>489</v>
      </c>
      <c r="B493" s="25" t="s">
        <v>544</v>
      </c>
      <c r="C493" s="25" t="s">
        <v>1615</v>
      </c>
      <c r="D493" s="25" t="s">
        <v>1272</v>
      </c>
      <c r="E493" s="25" t="s">
        <v>544</v>
      </c>
      <c r="F493" s="42" t="s">
        <v>1447</v>
      </c>
      <c r="G493" s="25" t="str">
        <f t="shared" si="14"/>
        <v>BKMKBCRNCOLRVL</v>
      </c>
      <c r="H493" s="42" t="str">
        <f t="shared" si="15"/>
        <v>1~10</v>
      </c>
      <c r="I493" s="42" t="s">
        <v>2122</v>
      </c>
      <c r="J493" s="42" t="s">
        <v>2124</v>
      </c>
      <c r="K493" s="40" t="s">
        <v>2123</v>
      </c>
    </row>
    <row r="494" spans="1:11" ht="34.5">
      <c r="A494" s="28">
        <v>490</v>
      </c>
      <c r="B494" s="25" t="s">
        <v>545</v>
      </c>
      <c r="C494" s="25" t="s">
        <v>1616</v>
      </c>
      <c r="D494" s="25" t="s">
        <v>1273</v>
      </c>
      <c r="E494" s="25" t="s">
        <v>545</v>
      </c>
      <c r="F494" s="42" t="s">
        <v>1464</v>
      </c>
      <c r="G494" s="25" t="str">
        <f t="shared" si="14"/>
        <v>BKMKBCRNCOLRCLRTYCNT</v>
      </c>
      <c r="H494" s="42" t="str">
        <f t="shared" si="15"/>
        <v>1~42</v>
      </c>
      <c r="I494" s="42" t="s">
        <v>2122</v>
      </c>
      <c r="J494" s="42" t="s">
        <v>2124</v>
      </c>
      <c r="K494" s="40" t="s">
        <v>2123</v>
      </c>
    </row>
    <row r="495" spans="1:11" ht="17.25">
      <c r="A495" s="28">
        <v>491</v>
      </c>
      <c r="B495" s="25" t="s">
        <v>546</v>
      </c>
      <c r="C495" s="25" t="s">
        <v>1617</v>
      </c>
      <c r="D495" s="25" t="s">
        <v>1274</v>
      </c>
      <c r="E495" s="25" t="s">
        <v>546</v>
      </c>
      <c r="F495" s="42" t="s">
        <v>1433</v>
      </c>
      <c r="G495" s="25" t="str">
        <f t="shared" si="14"/>
        <v>BKMKSRVCID</v>
      </c>
      <c r="H495" s="42" t="str">
        <f t="shared" si="15"/>
        <v>1~20</v>
      </c>
      <c r="I495" s="42" t="s">
        <v>2122</v>
      </c>
      <c r="J495" s="42" t="s">
        <v>2124</v>
      </c>
      <c r="K495" s="40" t="s">
        <v>2123</v>
      </c>
    </row>
    <row r="496" spans="1:11" ht="17.25">
      <c r="A496" s="28">
        <v>492</v>
      </c>
      <c r="B496" s="25" t="s">
        <v>547</v>
      </c>
      <c r="C496" s="25" t="s">
        <v>1618</v>
      </c>
      <c r="D496" s="25" t="s">
        <v>1275</v>
      </c>
      <c r="E496" s="25" t="s">
        <v>547</v>
      </c>
      <c r="F496" s="42" t="s">
        <v>1440</v>
      </c>
      <c r="G496" s="25" t="str">
        <f t="shared" si="14"/>
        <v>BKMKYN</v>
      </c>
      <c r="H496" s="42" t="str">
        <f t="shared" si="15"/>
        <v>1~1</v>
      </c>
      <c r="I496" s="42" t="s">
        <v>2122</v>
      </c>
      <c r="J496" s="42" t="s">
        <v>2124</v>
      </c>
      <c r="K496" s="40" t="s">
        <v>2123</v>
      </c>
    </row>
    <row r="497" spans="1:11" ht="17.25">
      <c r="A497" s="28">
        <v>493</v>
      </c>
      <c r="B497" s="25" t="s">
        <v>548</v>
      </c>
      <c r="C497" s="25" t="s">
        <v>1619</v>
      </c>
      <c r="D497" s="25" t="s">
        <v>1276</v>
      </c>
      <c r="E497" s="25" t="s">
        <v>548</v>
      </c>
      <c r="F497" s="42" t="s">
        <v>1447</v>
      </c>
      <c r="G497" s="25" t="str">
        <f t="shared" si="14"/>
        <v>BKMKFONTCOLRVL</v>
      </c>
      <c r="H497" s="42" t="str">
        <f t="shared" si="15"/>
        <v>1~10</v>
      </c>
      <c r="I497" s="42" t="s">
        <v>2122</v>
      </c>
      <c r="J497" s="42" t="s">
        <v>2124</v>
      </c>
      <c r="K497" s="40" t="s">
        <v>2123</v>
      </c>
    </row>
    <row r="498" spans="1:11" ht="17.25">
      <c r="A498" s="28">
        <v>494</v>
      </c>
      <c r="B498" s="25" t="s">
        <v>549</v>
      </c>
      <c r="C498" s="25" t="s">
        <v>1620</v>
      </c>
      <c r="D498" s="25" t="s">
        <v>1277</v>
      </c>
      <c r="E498" s="25" t="s">
        <v>549</v>
      </c>
      <c r="F498" s="42" t="s">
        <v>1439</v>
      </c>
      <c r="G498" s="25" t="str">
        <f t="shared" si="14"/>
        <v>MAPURLR</v>
      </c>
      <c r="H498" s="42" t="str">
        <f t="shared" si="15"/>
        <v>1~1000</v>
      </c>
      <c r="I498" s="42" t="s">
        <v>2122</v>
      </c>
      <c r="J498" s="42" t="s">
        <v>2124</v>
      </c>
      <c r="K498" s="40" t="s">
        <v>2123</v>
      </c>
    </row>
    <row r="499" spans="1:11" ht="17.25">
      <c r="A499" s="28">
        <v>495</v>
      </c>
      <c r="B499" s="25" t="s">
        <v>550</v>
      </c>
      <c r="C499" s="25" t="s">
        <v>1621</v>
      </c>
      <c r="D499" s="25" t="s">
        <v>1278</v>
      </c>
      <c r="E499" s="25" t="s">
        <v>550</v>
      </c>
      <c r="F499" s="42" t="s">
        <v>1443</v>
      </c>
      <c r="G499" s="25" t="str">
        <f t="shared" si="14"/>
        <v>MAPURLPAMTCN</v>
      </c>
      <c r="H499" s="42" t="str">
        <f t="shared" si="15"/>
        <v>1~4000</v>
      </c>
      <c r="I499" s="42" t="s">
        <v>2122</v>
      </c>
      <c r="J499" s="42" t="s">
        <v>2124</v>
      </c>
      <c r="K499" s="40" t="s">
        <v>2123</v>
      </c>
    </row>
    <row r="500" spans="1:11" ht="17.25">
      <c r="A500" s="28">
        <v>496</v>
      </c>
      <c r="B500" s="25" t="s">
        <v>551</v>
      </c>
      <c r="C500" s="25" t="s">
        <v>1622</v>
      </c>
      <c r="D500" s="25" t="s">
        <v>1279</v>
      </c>
      <c r="E500" s="25" t="s">
        <v>551</v>
      </c>
      <c r="F500" s="42" t="s">
        <v>1451</v>
      </c>
      <c r="G500" s="25" t="str">
        <f t="shared" si="14"/>
        <v>LOCGOVDTLCD</v>
      </c>
      <c r="H500" s="42" t="s">
        <v>2127</v>
      </c>
      <c r="I500" s="42" t="s">
        <v>2122</v>
      </c>
      <c r="J500" s="42" t="s">
        <v>2124</v>
      </c>
      <c r="K500" s="40" t="s">
        <v>2123</v>
      </c>
    </row>
    <row r="501" spans="1:11" ht="17.25">
      <c r="A501" s="28">
        <v>497</v>
      </c>
      <c r="B501" s="25" t="s">
        <v>552</v>
      </c>
      <c r="C501" s="25" t="s">
        <v>1623</v>
      </c>
      <c r="D501" s="25" t="s">
        <v>1280</v>
      </c>
      <c r="E501" s="25" t="s">
        <v>552</v>
      </c>
      <c r="F501" s="42" t="s">
        <v>1454</v>
      </c>
      <c r="G501" s="25" t="str">
        <f t="shared" si="14"/>
        <v>LOCGOVCD</v>
      </c>
      <c r="H501" s="42" t="str">
        <f t="shared" si="15"/>
        <v>1~10</v>
      </c>
      <c r="I501" s="42" t="s">
        <v>2122</v>
      </c>
      <c r="J501" s="42" t="s">
        <v>2124</v>
      </c>
      <c r="K501" s="40" t="s">
        <v>2123</v>
      </c>
    </row>
    <row r="502" spans="1:11" ht="17.25">
      <c r="A502" s="28">
        <v>498</v>
      </c>
      <c r="B502" s="25" t="s">
        <v>553</v>
      </c>
      <c r="C502" s="25" t="s">
        <v>1624</v>
      </c>
      <c r="D502" s="25" t="s">
        <v>1281</v>
      </c>
      <c r="E502" s="25" t="s">
        <v>553</v>
      </c>
      <c r="F502" s="42" t="s">
        <v>1443</v>
      </c>
      <c r="G502" s="25" t="str">
        <f t="shared" si="14"/>
        <v>CHATAXCN</v>
      </c>
      <c r="H502" s="42" t="str">
        <f t="shared" si="15"/>
        <v>1~4000</v>
      </c>
      <c r="I502" s="42" t="s">
        <v>2122</v>
      </c>
      <c r="J502" s="42" t="s">
        <v>2124</v>
      </c>
      <c r="K502" s="40" t="s">
        <v>2123</v>
      </c>
    </row>
    <row r="503" spans="1:11" ht="17.25">
      <c r="A503" s="28">
        <v>499</v>
      </c>
      <c r="B503" s="25" t="s">
        <v>554</v>
      </c>
      <c r="C503" s="25" t="s">
        <v>1625</v>
      </c>
      <c r="D503" s="25" t="s">
        <v>1282</v>
      </c>
      <c r="E503" s="25" t="s">
        <v>554</v>
      </c>
      <c r="F503" s="42" t="s">
        <v>1443</v>
      </c>
      <c r="G503" s="25" t="str">
        <f t="shared" si="14"/>
        <v>CHATAYCN</v>
      </c>
      <c r="H503" s="42" t="str">
        <f t="shared" si="15"/>
        <v>1~4000</v>
      </c>
      <c r="I503" s="42" t="s">
        <v>2122</v>
      </c>
      <c r="J503" s="42" t="s">
        <v>2124</v>
      </c>
      <c r="K503" s="40" t="s">
        <v>2123</v>
      </c>
    </row>
    <row r="504" spans="1:11" ht="17.25">
      <c r="A504" s="28">
        <v>500</v>
      </c>
      <c r="B504" s="25" t="s">
        <v>555</v>
      </c>
      <c r="C504" s="25" t="s">
        <v>1626</v>
      </c>
      <c r="D504" s="25" t="s">
        <v>1283</v>
      </c>
      <c r="E504" s="25" t="s">
        <v>555</v>
      </c>
      <c r="F504" s="42" t="s">
        <v>1443</v>
      </c>
      <c r="G504" s="25" t="str">
        <f t="shared" si="14"/>
        <v>CHATAZCN</v>
      </c>
      <c r="H504" s="42" t="str">
        <f t="shared" si="15"/>
        <v>1~4000</v>
      </c>
      <c r="I504" s="42" t="s">
        <v>2122</v>
      </c>
      <c r="J504" s="42" t="s">
        <v>2124</v>
      </c>
      <c r="K504" s="40" t="s">
        <v>2123</v>
      </c>
    </row>
    <row r="505" spans="1:11" ht="17.25">
      <c r="A505" s="28">
        <v>501</v>
      </c>
      <c r="B505" s="25" t="s">
        <v>556</v>
      </c>
      <c r="C505" s="25" t="s">
        <v>1627</v>
      </c>
      <c r="D505" s="25" t="s">
        <v>1284</v>
      </c>
      <c r="E505" s="25" t="s">
        <v>556</v>
      </c>
      <c r="F505" s="42" t="s">
        <v>1441</v>
      </c>
      <c r="G505" s="25" t="str">
        <f t="shared" si="14"/>
        <v>CHATNO</v>
      </c>
      <c r="H505" s="42" t="str">
        <f t="shared" si="15"/>
        <v>1~100</v>
      </c>
      <c r="I505" s="42" t="s">
        <v>2122</v>
      </c>
      <c r="J505" s="42" t="s">
        <v>2124</v>
      </c>
      <c r="K505" s="40" t="s">
        <v>2123</v>
      </c>
    </row>
    <row r="506" spans="1:11" ht="17.25">
      <c r="A506" s="28">
        <v>502</v>
      </c>
      <c r="B506" s="25" t="s">
        <v>557</v>
      </c>
      <c r="C506" s="25" t="s">
        <v>1628</v>
      </c>
      <c r="D506" s="25" t="s">
        <v>1285</v>
      </c>
      <c r="E506" s="25" t="s">
        <v>557</v>
      </c>
      <c r="F506" s="42" t="s">
        <v>1432</v>
      </c>
      <c r="G506" s="25" t="str">
        <f t="shared" si="14"/>
        <v>CHATSTLYNM</v>
      </c>
      <c r="H506" s="42" t="str">
        <f t="shared" si="15"/>
        <v>1~300</v>
      </c>
      <c r="I506" s="42" t="s">
        <v>2122</v>
      </c>
      <c r="J506" s="42" t="s">
        <v>2124</v>
      </c>
      <c r="K506" s="40" t="s">
        <v>2123</v>
      </c>
    </row>
    <row r="507" spans="1:11" ht="17.25">
      <c r="A507" s="28">
        <v>503</v>
      </c>
      <c r="B507" s="25" t="s">
        <v>558</v>
      </c>
      <c r="C507" s="25" t="s">
        <v>1629</v>
      </c>
      <c r="D507" s="25" t="s">
        <v>1286</v>
      </c>
      <c r="E507" s="25" t="s">
        <v>558</v>
      </c>
      <c r="F507" s="42" t="s">
        <v>1433</v>
      </c>
      <c r="G507" s="25" t="str">
        <f t="shared" si="14"/>
        <v>CHATID</v>
      </c>
      <c r="H507" s="42" t="str">
        <f t="shared" si="15"/>
        <v>1~20</v>
      </c>
      <c r="I507" s="42" t="s">
        <v>2122</v>
      </c>
      <c r="J507" s="42" t="s">
        <v>2124</v>
      </c>
      <c r="K507" s="40" t="s">
        <v>2123</v>
      </c>
    </row>
    <row r="508" spans="1:11" ht="17.25">
      <c r="A508" s="28">
        <v>504</v>
      </c>
      <c r="B508" s="25" t="s">
        <v>559</v>
      </c>
      <c r="C508" s="25" t="s">
        <v>1630</v>
      </c>
      <c r="D508" s="25" t="s">
        <v>1287</v>
      </c>
      <c r="E508" s="25" t="s">
        <v>559</v>
      </c>
      <c r="F508" s="42" t="s">
        <v>1440</v>
      </c>
      <c r="G508" s="25" t="str">
        <f t="shared" si="14"/>
        <v>CHATYN</v>
      </c>
      <c r="H508" s="42" t="str">
        <f t="shared" si="15"/>
        <v>1~1</v>
      </c>
      <c r="I508" s="42" t="s">
        <v>2122</v>
      </c>
      <c r="J508" s="42" t="s">
        <v>2124</v>
      </c>
      <c r="K508" s="40" t="s">
        <v>2123</v>
      </c>
    </row>
    <row r="509" spans="1:11" ht="17.25">
      <c r="A509" s="28">
        <v>505</v>
      </c>
      <c r="B509" s="25" t="s">
        <v>560</v>
      </c>
      <c r="C509" s="25" t="s">
        <v>1631</v>
      </c>
      <c r="D509" s="25" t="s">
        <v>1288</v>
      </c>
      <c r="E509" s="25" t="s">
        <v>560</v>
      </c>
      <c r="F509" s="42" t="s">
        <v>1432</v>
      </c>
      <c r="G509" s="25" t="str">
        <f t="shared" si="14"/>
        <v>CHATTTL</v>
      </c>
      <c r="H509" s="42" t="str">
        <f t="shared" si="15"/>
        <v>1~300</v>
      </c>
      <c r="I509" s="42" t="s">
        <v>2122</v>
      </c>
      <c r="J509" s="42" t="s">
        <v>2124</v>
      </c>
      <c r="K509" s="40" t="s">
        <v>2123</v>
      </c>
    </row>
    <row r="510" spans="1:11" ht="17.25">
      <c r="A510" s="28">
        <v>506</v>
      </c>
      <c r="B510" s="25" t="s">
        <v>561</v>
      </c>
      <c r="C510" s="25" t="s">
        <v>1632</v>
      </c>
      <c r="D510" s="25" t="s">
        <v>1289</v>
      </c>
      <c r="E510" s="25" t="s">
        <v>561</v>
      </c>
      <c r="F510" s="42" t="s">
        <v>1454</v>
      </c>
      <c r="G510" s="25" t="str">
        <f t="shared" si="14"/>
        <v>CHATCD</v>
      </c>
      <c r="H510" s="42" t="str">
        <f t="shared" si="15"/>
        <v>1~10</v>
      </c>
      <c r="I510" s="42" t="s">
        <v>2122</v>
      </c>
      <c r="J510" s="42" t="s">
        <v>2124</v>
      </c>
      <c r="K510" s="40" t="s">
        <v>2123</v>
      </c>
    </row>
    <row r="511" spans="1:11" ht="17.25">
      <c r="A511" s="28">
        <v>507</v>
      </c>
      <c r="B511" s="25" t="s">
        <v>562</v>
      </c>
      <c r="C511" s="25" t="s">
        <v>1633</v>
      </c>
      <c r="D511" s="25" t="s">
        <v>1290</v>
      </c>
      <c r="E511" s="25" t="s">
        <v>769</v>
      </c>
      <c r="F511" s="42" t="s">
        <v>1432</v>
      </c>
      <c r="G511" s="25" t="str">
        <f t="shared" si="14"/>
        <v>ATCHFILEPATHNM</v>
      </c>
      <c r="H511" s="42" t="str">
        <f t="shared" si="15"/>
        <v>1~300</v>
      </c>
      <c r="I511" s="42" t="s">
        <v>2122</v>
      </c>
      <c r="J511" s="42" t="s">
        <v>2124</v>
      </c>
      <c r="K511" s="40" t="s">
        <v>2123</v>
      </c>
    </row>
    <row r="512" spans="1:11" ht="17.25">
      <c r="A512" s="28">
        <v>508</v>
      </c>
      <c r="B512" s="25" t="s">
        <v>563</v>
      </c>
      <c r="C512" s="25" t="s">
        <v>1634</v>
      </c>
      <c r="D512" s="25" t="s">
        <v>1291</v>
      </c>
      <c r="E512" s="25" t="s">
        <v>563</v>
      </c>
      <c r="F512" s="42" t="s">
        <v>1434</v>
      </c>
      <c r="G512" s="25" t="str">
        <f t="shared" si="14"/>
        <v>ATCHFILEDTLSN</v>
      </c>
      <c r="H512" s="42" t="str">
        <f t="shared" si="15"/>
        <v>1~22</v>
      </c>
      <c r="I512" s="42" t="s">
        <v>2122</v>
      </c>
      <c r="J512" s="42" t="s">
        <v>2124</v>
      </c>
      <c r="K512" s="40" t="s">
        <v>2123</v>
      </c>
    </row>
    <row r="513" spans="1:11" ht="34.5">
      <c r="A513" s="28">
        <v>509</v>
      </c>
      <c r="B513" s="25" t="s">
        <v>564</v>
      </c>
      <c r="C513" s="25" t="s">
        <v>1635</v>
      </c>
      <c r="D513" s="25" t="s">
        <v>1292</v>
      </c>
      <c r="E513" s="25" t="s">
        <v>770</v>
      </c>
      <c r="F513" s="42" t="s">
        <v>1453</v>
      </c>
      <c r="G513" s="25" t="str">
        <f t="shared" si="14"/>
        <v>ATCHFILESN</v>
      </c>
      <c r="H513" s="42" t="str">
        <f t="shared" si="15"/>
        <v>1~10</v>
      </c>
      <c r="I513" s="42" t="s">
        <v>2122</v>
      </c>
      <c r="J513" s="42" t="s">
        <v>2124</v>
      </c>
      <c r="K513" s="40" t="s">
        <v>2123</v>
      </c>
    </row>
    <row r="514" spans="1:11" ht="17.25">
      <c r="A514" s="28">
        <v>510</v>
      </c>
      <c r="B514" s="25" t="s">
        <v>565</v>
      </c>
      <c r="C514" s="25" t="s">
        <v>1636</v>
      </c>
      <c r="D514" s="25" t="s">
        <v>1293</v>
      </c>
      <c r="E514" s="25" t="s">
        <v>565</v>
      </c>
      <c r="F514" s="42" t="s">
        <v>1471</v>
      </c>
      <c r="G514" s="25" t="str">
        <f t="shared" si="14"/>
        <v>MAXXCRD</v>
      </c>
      <c r="H514" s="42" t="str">
        <f t="shared" si="15"/>
        <v>1~1310</v>
      </c>
      <c r="I514" s="42" t="s">
        <v>2122</v>
      </c>
      <c r="J514" s="42" t="s">
        <v>2124</v>
      </c>
      <c r="K514" s="40" t="s">
        <v>2123</v>
      </c>
    </row>
    <row r="515" spans="1:11" ht="17.25">
      <c r="A515" s="28">
        <v>511</v>
      </c>
      <c r="B515" s="25" t="s">
        <v>566</v>
      </c>
      <c r="C515" s="25" t="s">
        <v>1637</v>
      </c>
      <c r="D515" s="25" t="s">
        <v>1294</v>
      </c>
      <c r="E515" s="25" t="s">
        <v>566</v>
      </c>
      <c r="F515" s="42" t="s">
        <v>1471</v>
      </c>
      <c r="G515" s="25" t="str">
        <f t="shared" si="14"/>
        <v>MAXYCRD</v>
      </c>
      <c r="H515" s="42" t="str">
        <f t="shared" si="15"/>
        <v>1~1310</v>
      </c>
      <c r="I515" s="42" t="s">
        <v>2122</v>
      </c>
      <c r="J515" s="42" t="s">
        <v>2124</v>
      </c>
      <c r="K515" s="40" t="s">
        <v>2123</v>
      </c>
    </row>
    <row r="516" spans="1:11" ht="17.25">
      <c r="A516" s="28">
        <v>512</v>
      </c>
      <c r="B516" s="25" t="s">
        <v>567</v>
      </c>
      <c r="C516" s="25" t="s">
        <v>1638</v>
      </c>
      <c r="D516" s="25" t="s">
        <v>1295</v>
      </c>
      <c r="E516" s="25" t="s">
        <v>567</v>
      </c>
      <c r="F516" s="42" t="s">
        <v>1435</v>
      </c>
      <c r="G516" s="25" t="str">
        <f t="shared" si="14"/>
        <v>MAXCAYVL</v>
      </c>
      <c r="H516" s="42" t="str">
        <f t="shared" si="15"/>
        <v>1~100</v>
      </c>
      <c r="I516" s="42" t="s">
        <v>2122</v>
      </c>
      <c r="J516" s="42" t="s">
        <v>2124</v>
      </c>
      <c r="K516" s="40" t="s">
        <v>2123</v>
      </c>
    </row>
    <row r="517" spans="1:11" ht="17.25">
      <c r="A517" s="28">
        <v>513</v>
      </c>
      <c r="B517" s="25" t="s">
        <v>568</v>
      </c>
      <c r="C517" s="25" t="s">
        <v>1639</v>
      </c>
      <c r="D517" s="25" t="s">
        <v>1296</v>
      </c>
      <c r="E517" s="25" t="s">
        <v>568</v>
      </c>
      <c r="F517" s="42" t="s">
        <v>1471</v>
      </c>
      <c r="G517" s="25" t="str">
        <f t="shared" si="14"/>
        <v>MINXCRD</v>
      </c>
      <c r="H517" s="42" t="str">
        <f t="shared" si="15"/>
        <v>1~1310</v>
      </c>
      <c r="I517" s="42" t="s">
        <v>2122</v>
      </c>
      <c r="J517" s="42" t="s">
        <v>2124</v>
      </c>
      <c r="K517" s="40" t="s">
        <v>2123</v>
      </c>
    </row>
    <row r="518" spans="1:11" ht="17.25">
      <c r="A518" s="28">
        <v>514</v>
      </c>
      <c r="B518" s="25" t="s">
        <v>569</v>
      </c>
      <c r="C518" s="25" t="s">
        <v>1640</v>
      </c>
      <c r="D518" s="25" t="s">
        <v>1297</v>
      </c>
      <c r="E518" s="25" t="s">
        <v>569</v>
      </c>
      <c r="F518" s="42" t="s">
        <v>1471</v>
      </c>
      <c r="G518" s="25" t="str">
        <f t="shared" ref="G518:G581" si="16">SUBSTITUTE(D518, "_", "")</f>
        <v>MINYCRD</v>
      </c>
      <c r="H518" s="42" t="str">
        <f t="shared" ref="H518:H581" si="17">CONCATENATE("1~", _xlfn.REGEXREPLACE(F518, "[^0-9]",""))</f>
        <v>1~1310</v>
      </c>
      <c r="I518" s="42" t="s">
        <v>2122</v>
      </c>
      <c r="J518" s="42" t="s">
        <v>2124</v>
      </c>
      <c r="K518" s="40" t="s">
        <v>2123</v>
      </c>
    </row>
    <row r="519" spans="1:11" ht="34.5">
      <c r="A519" s="28">
        <v>515</v>
      </c>
      <c r="B519" s="25" t="s">
        <v>570</v>
      </c>
      <c r="C519" s="25" t="s">
        <v>1641</v>
      </c>
      <c r="D519" s="25" t="s">
        <v>1298</v>
      </c>
      <c r="E519" s="25" t="s">
        <v>771</v>
      </c>
      <c r="F519" s="42" t="s">
        <v>1451</v>
      </c>
      <c r="G519" s="25" t="str">
        <f t="shared" si="16"/>
        <v>LASTLGNDT</v>
      </c>
      <c r="H519" s="42" t="s">
        <v>2127</v>
      </c>
      <c r="I519" s="42" t="s">
        <v>2122</v>
      </c>
      <c r="J519" s="42" t="s">
        <v>2124</v>
      </c>
      <c r="K519" s="40" t="s">
        <v>2123</v>
      </c>
    </row>
    <row r="520" spans="1:11" ht="17.25">
      <c r="A520" s="28">
        <v>516</v>
      </c>
      <c r="B520" s="25" t="s">
        <v>571</v>
      </c>
      <c r="C520" s="25" t="s">
        <v>1642</v>
      </c>
      <c r="D520" s="25" t="s">
        <v>1299</v>
      </c>
      <c r="E520" s="25" t="s">
        <v>571</v>
      </c>
      <c r="F520" s="42" t="s">
        <v>1434</v>
      </c>
      <c r="G520" s="25" t="str">
        <f t="shared" si="16"/>
        <v>OTPTSEQSN</v>
      </c>
      <c r="H520" s="42" t="str">
        <f t="shared" si="17"/>
        <v>1~22</v>
      </c>
      <c r="I520" s="42" t="s">
        <v>2122</v>
      </c>
      <c r="J520" s="42" t="s">
        <v>2124</v>
      </c>
      <c r="K520" s="40" t="s">
        <v>2123</v>
      </c>
    </row>
    <row r="521" spans="1:11" ht="17.25">
      <c r="A521" s="28">
        <v>517</v>
      </c>
      <c r="B521" s="25" t="s">
        <v>572</v>
      </c>
      <c r="C521" s="25" t="s">
        <v>1643</v>
      </c>
      <c r="D521" s="25" t="s">
        <v>1300</v>
      </c>
      <c r="E521" s="25" t="s">
        <v>572</v>
      </c>
      <c r="F521" s="42" t="s">
        <v>1455</v>
      </c>
      <c r="G521" s="25" t="str">
        <f t="shared" si="16"/>
        <v>EMPMRT</v>
      </c>
      <c r="H521" s="42" t="str">
        <f t="shared" si="17"/>
        <v>1~52</v>
      </c>
      <c r="I521" s="42" t="s">
        <v>2122</v>
      </c>
      <c r="J521" s="42" t="s">
        <v>2124</v>
      </c>
      <c r="K521" s="40" t="s">
        <v>2123</v>
      </c>
    </row>
    <row r="522" spans="1:11" ht="17.25">
      <c r="A522" s="28">
        <v>518</v>
      </c>
      <c r="B522" s="25" t="s">
        <v>573</v>
      </c>
      <c r="C522" s="25" t="s">
        <v>1644</v>
      </c>
      <c r="D522" s="25" t="s">
        <v>1301</v>
      </c>
      <c r="E522" s="25" t="s">
        <v>573</v>
      </c>
      <c r="F522" s="42" t="s">
        <v>1432</v>
      </c>
      <c r="G522" s="25" t="str">
        <f t="shared" si="16"/>
        <v>CMADFILEPATHNM</v>
      </c>
      <c r="H522" s="42" t="str">
        <f t="shared" si="17"/>
        <v>1~300</v>
      </c>
      <c r="I522" s="42" t="s">
        <v>2122</v>
      </c>
      <c r="J522" s="42" t="s">
        <v>2124</v>
      </c>
      <c r="K522" s="40" t="s">
        <v>2123</v>
      </c>
    </row>
    <row r="523" spans="1:11" ht="17.25">
      <c r="A523" s="28">
        <v>519</v>
      </c>
      <c r="B523" s="25" t="s">
        <v>574</v>
      </c>
      <c r="C523" s="25" t="s">
        <v>1645</v>
      </c>
      <c r="D523" s="25" t="s">
        <v>1302</v>
      </c>
      <c r="E523" s="25" t="s">
        <v>574</v>
      </c>
      <c r="F523" s="42" t="s">
        <v>1432</v>
      </c>
      <c r="G523" s="25" t="str">
        <f t="shared" si="16"/>
        <v>CMADFILENM</v>
      </c>
      <c r="H523" s="42" t="str">
        <f t="shared" si="17"/>
        <v>1~300</v>
      </c>
      <c r="I523" s="42" t="s">
        <v>2122</v>
      </c>
      <c r="J523" s="42" t="s">
        <v>2124</v>
      </c>
      <c r="K523" s="40" t="s">
        <v>2123</v>
      </c>
    </row>
    <row r="524" spans="1:11" ht="17.25">
      <c r="A524" s="28">
        <v>520</v>
      </c>
      <c r="B524" s="25" t="s">
        <v>575</v>
      </c>
      <c r="C524" s="25" t="s">
        <v>1646</v>
      </c>
      <c r="D524" s="25" t="s">
        <v>1303</v>
      </c>
      <c r="E524" s="25" t="s">
        <v>575</v>
      </c>
      <c r="F524" s="42" t="s">
        <v>1436</v>
      </c>
      <c r="G524" s="25" t="str">
        <f t="shared" si="16"/>
        <v>CMADFILECAY</v>
      </c>
      <c r="H524" s="42" t="str">
        <f t="shared" si="17"/>
        <v>1~14</v>
      </c>
      <c r="I524" s="42" t="s">
        <v>2122</v>
      </c>
      <c r="J524" s="42" t="s">
        <v>2124</v>
      </c>
      <c r="K524" s="40" t="s">
        <v>2123</v>
      </c>
    </row>
    <row r="525" spans="1:11" ht="17.25">
      <c r="A525" s="28">
        <v>521</v>
      </c>
      <c r="B525" s="25" t="s">
        <v>576</v>
      </c>
      <c r="C525" s="25" t="s">
        <v>1647</v>
      </c>
      <c r="D525" s="25" t="s">
        <v>1304</v>
      </c>
      <c r="E525" s="25" t="s">
        <v>576</v>
      </c>
      <c r="F525" s="42" t="s">
        <v>1443</v>
      </c>
      <c r="G525" s="25" t="str">
        <f t="shared" si="16"/>
        <v>COLCMPRCNDCN</v>
      </c>
      <c r="H525" s="42" t="str">
        <f t="shared" si="17"/>
        <v>1~4000</v>
      </c>
      <c r="I525" s="42" t="s">
        <v>2122</v>
      </c>
      <c r="J525" s="42" t="s">
        <v>2124</v>
      </c>
      <c r="K525" s="40" t="s">
        <v>2123</v>
      </c>
    </row>
    <row r="526" spans="1:11" ht="17.25">
      <c r="A526" s="28">
        <v>522</v>
      </c>
      <c r="B526" s="25" t="s">
        <v>577</v>
      </c>
      <c r="C526" s="25" t="s">
        <v>1648</v>
      </c>
      <c r="D526" s="25" t="s">
        <v>1305</v>
      </c>
      <c r="E526" s="25" t="s">
        <v>577</v>
      </c>
      <c r="F526" s="42" t="s">
        <v>1441</v>
      </c>
      <c r="G526" s="25" t="str">
        <f t="shared" si="16"/>
        <v>CONTSNO</v>
      </c>
      <c r="H526" s="42" t="str">
        <f t="shared" si="17"/>
        <v>1~100</v>
      </c>
      <c r="I526" s="42" t="s">
        <v>2122</v>
      </c>
      <c r="J526" s="42" t="s">
        <v>2124</v>
      </c>
      <c r="K526" s="40" t="s">
        <v>2123</v>
      </c>
    </row>
    <row r="527" spans="1:11" ht="17.25">
      <c r="A527" s="28">
        <v>523</v>
      </c>
      <c r="B527" s="25" t="s">
        <v>578</v>
      </c>
      <c r="C527" s="25" t="s">
        <v>1649</v>
      </c>
      <c r="D527" s="25" t="s">
        <v>1306</v>
      </c>
      <c r="E527" s="25" t="s">
        <v>578</v>
      </c>
      <c r="F527" s="42" t="s">
        <v>1439</v>
      </c>
      <c r="G527" s="25" t="str">
        <f t="shared" si="16"/>
        <v>THMMAPURLR</v>
      </c>
      <c r="H527" s="42" t="str">
        <f t="shared" si="17"/>
        <v>1~1000</v>
      </c>
      <c r="I527" s="42" t="s">
        <v>2122</v>
      </c>
      <c r="J527" s="42" t="s">
        <v>2124</v>
      </c>
      <c r="K527" s="40" t="s">
        <v>2123</v>
      </c>
    </row>
    <row r="528" spans="1:11" ht="17.25">
      <c r="A528" s="28">
        <v>524</v>
      </c>
      <c r="B528" s="25" t="s">
        <v>579</v>
      </c>
      <c r="C528" s="25" t="s">
        <v>1650</v>
      </c>
      <c r="D528" s="25" t="s">
        <v>1307</v>
      </c>
      <c r="E528" s="25" t="s">
        <v>579</v>
      </c>
      <c r="F528" s="42" t="s">
        <v>1443</v>
      </c>
      <c r="G528" s="25" t="str">
        <f t="shared" si="16"/>
        <v>THMMAPCN</v>
      </c>
      <c r="H528" s="42" t="str">
        <f t="shared" si="17"/>
        <v>1~4000</v>
      </c>
      <c r="I528" s="42" t="s">
        <v>2122</v>
      </c>
      <c r="J528" s="42" t="s">
        <v>2124</v>
      </c>
      <c r="K528" s="40" t="s">
        <v>2123</v>
      </c>
    </row>
    <row r="529" spans="1:11" ht="17.25">
      <c r="A529" s="28">
        <v>525</v>
      </c>
      <c r="B529" s="25" t="s">
        <v>580</v>
      </c>
      <c r="C529" s="25" t="s">
        <v>1651</v>
      </c>
      <c r="D529" s="25" t="s">
        <v>1308</v>
      </c>
      <c r="E529" s="25" t="s">
        <v>580</v>
      </c>
      <c r="F529" s="42" t="s">
        <v>1432</v>
      </c>
      <c r="G529" s="25" t="str">
        <f t="shared" si="16"/>
        <v>THMMAPNM</v>
      </c>
      <c r="H529" s="42" t="str">
        <f t="shared" si="17"/>
        <v>1~300</v>
      </c>
      <c r="I529" s="42" t="s">
        <v>2122</v>
      </c>
      <c r="J529" s="42" t="s">
        <v>2124</v>
      </c>
      <c r="K529" s="40" t="s">
        <v>2123</v>
      </c>
    </row>
    <row r="530" spans="1:11" ht="17.25">
      <c r="A530" s="28">
        <v>526</v>
      </c>
      <c r="B530" s="25" t="s">
        <v>581</v>
      </c>
      <c r="C530" s="25" t="s">
        <v>1652</v>
      </c>
      <c r="D530" s="25" t="s">
        <v>1309</v>
      </c>
      <c r="E530" s="25" t="s">
        <v>581</v>
      </c>
      <c r="F530" s="42" t="s">
        <v>1434</v>
      </c>
      <c r="G530" s="25" t="str">
        <f t="shared" si="16"/>
        <v>THMMAPSN</v>
      </c>
      <c r="H530" s="42" t="str">
        <f t="shared" si="17"/>
        <v>1~22</v>
      </c>
      <c r="I530" s="42" t="s">
        <v>2122</v>
      </c>
      <c r="J530" s="42" t="s">
        <v>2124</v>
      </c>
      <c r="K530" s="40" t="s">
        <v>2123</v>
      </c>
    </row>
    <row r="531" spans="1:11" ht="17.25">
      <c r="A531" s="28">
        <v>527</v>
      </c>
      <c r="B531" s="25" t="s">
        <v>582</v>
      </c>
      <c r="C531" s="25" t="s">
        <v>1653</v>
      </c>
      <c r="D531" s="25" t="s">
        <v>1310</v>
      </c>
      <c r="E531" s="25" t="s">
        <v>582</v>
      </c>
      <c r="F531" s="42" t="s">
        <v>1433</v>
      </c>
      <c r="G531" s="25" t="str">
        <f t="shared" si="16"/>
        <v>THMCHATID</v>
      </c>
      <c r="H531" s="42" t="str">
        <f t="shared" si="17"/>
        <v>1~20</v>
      </c>
      <c r="I531" s="42" t="s">
        <v>2122</v>
      </c>
      <c r="J531" s="42" t="s">
        <v>2124</v>
      </c>
      <c r="K531" s="40" t="s">
        <v>2123</v>
      </c>
    </row>
    <row r="532" spans="1:11" ht="17.25">
      <c r="A532" s="28">
        <v>528</v>
      </c>
      <c r="B532" s="25" t="s">
        <v>583</v>
      </c>
      <c r="C532" s="25" t="s">
        <v>1654</v>
      </c>
      <c r="D532" s="25" t="s">
        <v>1311</v>
      </c>
      <c r="E532" s="25" t="s">
        <v>583</v>
      </c>
      <c r="F532" s="42" t="s">
        <v>1439</v>
      </c>
      <c r="G532" s="25" t="str">
        <f t="shared" si="16"/>
        <v>TSTURLR</v>
      </c>
      <c r="H532" s="42" t="str">
        <f t="shared" si="17"/>
        <v>1~1000</v>
      </c>
      <c r="I532" s="42" t="s">
        <v>2122</v>
      </c>
      <c r="J532" s="42" t="s">
        <v>2124</v>
      </c>
      <c r="K532" s="40" t="s">
        <v>2123</v>
      </c>
    </row>
    <row r="533" spans="1:11" ht="17.25">
      <c r="A533" s="28">
        <v>529</v>
      </c>
      <c r="B533" s="25" t="s">
        <v>584</v>
      </c>
      <c r="C533" s="25" t="s">
        <v>1655</v>
      </c>
      <c r="D533" s="25" t="s">
        <v>1312</v>
      </c>
      <c r="E533" s="25" t="s">
        <v>584</v>
      </c>
      <c r="F533" s="42" t="s">
        <v>1432</v>
      </c>
      <c r="G533" s="25" t="str">
        <f t="shared" si="16"/>
        <v>TBLENGNM</v>
      </c>
      <c r="H533" s="42" t="str">
        <f t="shared" si="17"/>
        <v>1~300</v>
      </c>
      <c r="I533" s="42" t="s">
        <v>2122</v>
      </c>
      <c r="J533" s="42" t="s">
        <v>2124</v>
      </c>
      <c r="K533" s="40" t="s">
        <v>2123</v>
      </c>
    </row>
    <row r="534" spans="1:11" ht="17.25">
      <c r="A534" s="28">
        <v>530</v>
      </c>
      <c r="B534" s="25" t="s">
        <v>585</v>
      </c>
      <c r="C534" s="25" t="s">
        <v>1656</v>
      </c>
      <c r="D534" s="25" t="s">
        <v>1313</v>
      </c>
      <c r="E534" s="25" t="s">
        <v>585</v>
      </c>
      <c r="F534" s="42" t="s">
        <v>1434</v>
      </c>
      <c r="G534" s="25" t="str">
        <f t="shared" si="16"/>
        <v>TMATMENUSN</v>
      </c>
      <c r="H534" s="42" t="str">
        <f t="shared" si="17"/>
        <v>1~22</v>
      </c>
      <c r="I534" s="42" t="s">
        <v>2122</v>
      </c>
      <c r="J534" s="42" t="s">
        <v>2124</v>
      </c>
      <c r="K534" s="40" t="s">
        <v>2123</v>
      </c>
    </row>
    <row r="535" spans="1:11" ht="17.25">
      <c r="A535" s="28">
        <v>531</v>
      </c>
      <c r="B535" s="25" t="s">
        <v>586</v>
      </c>
      <c r="C535" s="25" t="s">
        <v>1657</v>
      </c>
      <c r="D535" s="25" t="s">
        <v>1314</v>
      </c>
      <c r="E535" s="25" t="s">
        <v>586</v>
      </c>
      <c r="F535" s="42" t="s">
        <v>1432</v>
      </c>
      <c r="G535" s="25" t="str">
        <f t="shared" si="16"/>
        <v>TMATNM</v>
      </c>
      <c r="H535" s="42" t="str">
        <f t="shared" si="17"/>
        <v>1~300</v>
      </c>
      <c r="I535" s="42" t="s">
        <v>2122</v>
      </c>
      <c r="J535" s="42" t="s">
        <v>2124</v>
      </c>
      <c r="K535" s="40" t="s">
        <v>2123</v>
      </c>
    </row>
    <row r="536" spans="1:11" ht="17.25">
      <c r="A536" s="28">
        <v>532</v>
      </c>
      <c r="B536" s="25" t="s">
        <v>587</v>
      </c>
      <c r="C536" s="25" t="s">
        <v>1658</v>
      </c>
      <c r="D536" s="25" t="s">
        <v>1315</v>
      </c>
      <c r="E536" s="25" t="s">
        <v>587</v>
      </c>
      <c r="F536" s="42" t="s">
        <v>1434</v>
      </c>
      <c r="G536" s="25" t="str">
        <f t="shared" si="16"/>
        <v>TMATFSRTSN</v>
      </c>
      <c r="H536" s="42" t="str">
        <f t="shared" si="17"/>
        <v>1~22</v>
      </c>
      <c r="I536" s="42" t="s">
        <v>2122</v>
      </c>
      <c r="J536" s="42" t="s">
        <v>2124</v>
      </c>
      <c r="K536" s="40" t="s">
        <v>2123</v>
      </c>
    </row>
    <row r="537" spans="1:11" ht="17.25">
      <c r="A537" s="28">
        <v>533</v>
      </c>
      <c r="B537" s="25" t="s">
        <v>588</v>
      </c>
      <c r="C537" s="25" t="s">
        <v>1659</v>
      </c>
      <c r="D537" s="25" t="s">
        <v>1316</v>
      </c>
      <c r="E537" s="25" t="s">
        <v>588</v>
      </c>
      <c r="F537" s="42" t="s">
        <v>1432</v>
      </c>
      <c r="G537" s="25" t="str">
        <f t="shared" si="16"/>
        <v>TMATSBTTLNM</v>
      </c>
      <c r="H537" s="42" t="str">
        <f t="shared" si="17"/>
        <v>1~300</v>
      </c>
      <c r="I537" s="42" t="s">
        <v>2122</v>
      </c>
      <c r="J537" s="42" t="s">
        <v>2124</v>
      </c>
      <c r="K537" s="40" t="s">
        <v>2123</v>
      </c>
    </row>
    <row r="538" spans="1:11" ht="17.25">
      <c r="A538" s="28">
        <v>534</v>
      </c>
      <c r="B538" s="25" t="s">
        <v>589</v>
      </c>
      <c r="C538" s="25" t="s">
        <v>1660</v>
      </c>
      <c r="D538" s="25" t="s">
        <v>1317</v>
      </c>
      <c r="E538" s="25" t="s">
        <v>589</v>
      </c>
      <c r="F538" s="42" t="s">
        <v>1434</v>
      </c>
      <c r="G538" s="25" t="str">
        <f t="shared" si="16"/>
        <v>TMATSBTTLSN</v>
      </c>
      <c r="H538" s="42" t="str">
        <f t="shared" si="17"/>
        <v>1~22</v>
      </c>
      <c r="I538" s="42" t="s">
        <v>2122</v>
      </c>
      <c r="J538" s="42" t="s">
        <v>2124</v>
      </c>
      <c r="K538" s="40" t="s">
        <v>2123</v>
      </c>
    </row>
    <row r="539" spans="1:11" ht="17.25">
      <c r="A539" s="28">
        <v>535</v>
      </c>
      <c r="B539" s="25" t="s">
        <v>590</v>
      </c>
      <c r="C539" s="25" t="s">
        <v>1661</v>
      </c>
      <c r="D539" s="25" t="s">
        <v>1318</v>
      </c>
      <c r="E539" s="25" t="s">
        <v>590</v>
      </c>
      <c r="F539" s="42" t="s">
        <v>1440</v>
      </c>
      <c r="G539" s="25" t="str">
        <f t="shared" si="16"/>
        <v>TMATUSEYN</v>
      </c>
      <c r="H539" s="42" t="str">
        <f t="shared" si="17"/>
        <v>1~1</v>
      </c>
      <c r="I539" s="42" t="s">
        <v>2122</v>
      </c>
      <c r="J539" s="42" t="s">
        <v>2124</v>
      </c>
      <c r="K539" s="40" t="s">
        <v>2123</v>
      </c>
    </row>
    <row r="540" spans="1:11" ht="17.25">
      <c r="A540" s="28">
        <v>536</v>
      </c>
      <c r="B540" s="25" t="s">
        <v>591</v>
      </c>
      <c r="C540" s="25" t="s">
        <v>1662</v>
      </c>
      <c r="D540" s="25" t="s">
        <v>1319</v>
      </c>
      <c r="E540" s="25" t="s">
        <v>591</v>
      </c>
      <c r="F540" s="42" t="s">
        <v>1434</v>
      </c>
      <c r="G540" s="25" t="str">
        <f t="shared" si="16"/>
        <v>TMATSBMENUSN</v>
      </c>
      <c r="H540" s="42" t="str">
        <f t="shared" si="17"/>
        <v>1~22</v>
      </c>
      <c r="I540" s="42" t="s">
        <v>2122</v>
      </c>
      <c r="J540" s="42" t="s">
        <v>2124</v>
      </c>
      <c r="K540" s="40" t="s">
        <v>2123</v>
      </c>
    </row>
    <row r="541" spans="1:11" ht="17.25">
      <c r="A541" s="28">
        <v>537</v>
      </c>
      <c r="B541" s="25" t="s">
        <v>592</v>
      </c>
      <c r="C541" s="25" t="s">
        <v>1663</v>
      </c>
      <c r="D541" s="25" t="s">
        <v>1320</v>
      </c>
      <c r="E541" s="25" t="s">
        <v>592</v>
      </c>
      <c r="F541" s="42" t="s">
        <v>1448</v>
      </c>
      <c r="G541" s="25" t="str">
        <f t="shared" si="16"/>
        <v>TMATEXPLN</v>
      </c>
      <c r="H541" s="42" t="str">
        <f t="shared" si="17"/>
        <v>1~2000</v>
      </c>
      <c r="I541" s="42" t="s">
        <v>2122</v>
      </c>
      <c r="J541" s="42" t="s">
        <v>2124</v>
      </c>
      <c r="K541" s="40" t="s">
        <v>2123</v>
      </c>
    </row>
    <row r="542" spans="1:11" ht="17.25">
      <c r="A542" s="28">
        <v>538</v>
      </c>
      <c r="B542" s="25" t="s">
        <v>593</v>
      </c>
      <c r="C542" s="25" t="s">
        <v>1664</v>
      </c>
      <c r="D542" s="25" t="s">
        <v>1321</v>
      </c>
      <c r="E542" s="25" t="s">
        <v>593</v>
      </c>
      <c r="F542" s="42" t="s">
        <v>1433</v>
      </c>
      <c r="G542" s="25" t="str">
        <f t="shared" si="16"/>
        <v>TMATID</v>
      </c>
      <c r="H542" s="42" t="str">
        <f t="shared" si="17"/>
        <v>1~20</v>
      </c>
      <c r="I542" s="42" t="s">
        <v>2122</v>
      </c>
      <c r="J542" s="42" t="s">
        <v>2124</v>
      </c>
      <c r="K542" s="40" t="s">
        <v>2123</v>
      </c>
    </row>
    <row r="543" spans="1:11" ht="17.25">
      <c r="A543" s="28">
        <v>539</v>
      </c>
      <c r="B543" s="25" t="s">
        <v>594</v>
      </c>
      <c r="C543" s="25" t="s">
        <v>1665</v>
      </c>
      <c r="D543" s="25" t="s">
        <v>1322</v>
      </c>
      <c r="E543" s="25" t="s">
        <v>594</v>
      </c>
      <c r="F543" s="42" t="s">
        <v>1447</v>
      </c>
      <c r="G543" s="25" t="str">
        <f t="shared" si="16"/>
        <v>TMATTYPEVL</v>
      </c>
      <c r="H543" s="42" t="str">
        <f t="shared" si="17"/>
        <v>1~10</v>
      </c>
      <c r="I543" s="42" t="s">
        <v>2122</v>
      </c>
      <c r="J543" s="42" t="s">
        <v>2124</v>
      </c>
      <c r="K543" s="40" t="s">
        <v>2123</v>
      </c>
    </row>
    <row r="544" spans="1:11" ht="17.25">
      <c r="A544" s="28">
        <v>540</v>
      </c>
      <c r="B544" s="25" t="s">
        <v>595</v>
      </c>
      <c r="C544" s="25" t="s">
        <v>1666</v>
      </c>
      <c r="D544" s="25" t="s">
        <v>1323</v>
      </c>
      <c r="E544" s="25" t="s">
        <v>595</v>
      </c>
      <c r="F544" s="42" t="s">
        <v>1434</v>
      </c>
      <c r="G544" s="25" t="str">
        <f t="shared" si="16"/>
        <v>TMATTTLSN</v>
      </c>
      <c r="H544" s="42" t="str">
        <f t="shared" si="17"/>
        <v>1~22</v>
      </c>
      <c r="I544" s="42" t="s">
        <v>2122</v>
      </c>
      <c r="J544" s="42" t="s">
        <v>2124</v>
      </c>
      <c r="K544" s="40" t="s">
        <v>2123</v>
      </c>
    </row>
    <row r="545" spans="1:11" ht="17.25">
      <c r="A545" s="28">
        <v>541</v>
      </c>
      <c r="B545" s="25" t="s">
        <v>596</v>
      </c>
      <c r="C545" s="25" t="s">
        <v>1667</v>
      </c>
      <c r="D545" s="25" t="s">
        <v>1324</v>
      </c>
      <c r="E545" s="25" t="s">
        <v>596</v>
      </c>
      <c r="F545" s="42" t="s">
        <v>1447</v>
      </c>
      <c r="G545" s="25" t="str">
        <f t="shared" si="16"/>
        <v>TLBRWIGTSEVL</v>
      </c>
      <c r="H545" s="42" t="str">
        <f t="shared" si="17"/>
        <v>1~10</v>
      </c>
      <c r="I545" s="42" t="s">
        <v>2122</v>
      </c>
      <c r="J545" s="42" t="s">
        <v>2124</v>
      </c>
      <c r="K545" s="40" t="s">
        <v>2123</v>
      </c>
    </row>
    <row r="546" spans="1:11" ht="17.25">
      <c r="A546" s="28">
        <v>542</v>
      </c>
      <c r="B546" s="25" t="s">
        <v>597</v>
      </c>
      <c r="C546" s="25" t="s">
        <v>1668</v>
      </c>
      <c r="D546" s="25" t="s">
        <v>1325</v>
      </c>
      <c r="E546" s="25" t="s">
        <v>597</v>
      </c>
      <c r="F546" s="42" t="s">
        <v>1435</v>
      </c>
      <c r="G546" s="25" t="str">
        <f t="shared" si="16"/>
        <v>PAMTPRDSTNGVL</v>
      </c>
      <c r="H546" s="42" t="str">
        <f t="shared" si="17"/>
        <v>1~100</v>
      </c>
      <c r="I546" s="42" t="s">
        <v>2122</v>
      </c>
      <c r="J546" s="42" t="s">
        <v>2124</v>
      </c>
      <c r="K546" s="40" t="s">
        <v>2123</v>
      </c>
    </row>
    <row r="547" spans="1:11" ht="17.25">
      <c r="A547" s="28">
        <v>543</v>
      </c>
      <c r="B547" s="25" t="s">
        <v>598</v>
      </c>
      <c r="C547" s="25" t="s">
        <v>1669</v>
      </c>
      <c r="D547" s="25" t="s">
        <v>1326</v>
      </c>
      <c r="E547" s="25" t="s">
        <v>598</v>
      </c>
      <c r="F547" s="42" t="s">
        <v>1443</v>
      </c>
      <c r="G547" s="25" t="str">
        <f t="shared" si="16"/>
        <v>PAMTCN</v>
      </c>
      <c r="H547" s="42" t="str">
        <f t="shared" si="17"/>
        <v>1~4000</v>
      </c>
      <c r="I547" s="42" t="s">
        <v>2122</v>
      </c>
      <c r="J547" s="42" t="s">
        <v>2124</v>
      </c>
      <c r="K547" s="40" t="s">
        <v>2123</v>
      </c>
    </row>
    <row r="548" spans="1:11" ht="17.25">
      <c r="A548" s="28">
        <v>544</v>
      </c>
      <c r="B548" s="25" t="s">
        <v>599</v>
      </c>
      <c r="C548" s="25" t="s">
        <v>1670</v>
      </c>
      <c r="D548" s="25" t="s">
        <v>1327</v>
      </c>
      <c r="E548" s="25" t="s">
        <v>599</v>
      </c>
      <c r="F548" s="42" t="s">
        <v>1432</v>
      </c>
      <c r="G548" s="25" t="str">
        <f t="shared" si="16"/>
        <v>PAMTNM</v>
      </c>
      <c r="H548" s="42" t="str">
        <f t="shared" si="17"/>
        <v>1~300</v>
      </c>
      <c r="I548" s="42" t="s">
        <v>2122</v>
      </c>
      <c r="J548" s="42" t="s">
        <v>2124</v>
      </c>
      <c r="K548" s="40" t="s">
        <v>2123</v>
      </c>
    </row>
    <row r="549" spans="1:11" ht="17.25">
      <c r="A549" s="28">
        <v>545</v>
      </c>
      <c r="B549" s="25" t="s">
        <v>600</v>
      </c>
      <c r="C549" s="25" t="s">
        <v>1671</v>
      </c>
      <c r="D549" s="25" t="s">
        <v>1328</v>
      </c>
      <c r="E549" s="25" t="s">
        <v>600</v>
      </c>
      <c r="F549" s="42" t="s">
        <v>1433</v>
      </c>
      <c r="G549" s="25" t="str">
        <f t="shared" si="16"/>
        <v>PAMTID</v>
      </c>
      <c r="H549" s="42" t="str">
        <f t="shared" si="17"/>
        <v>1~20</v>
      </c>
      <c r="I549" s="42" t="s">
        <v>2122</v>
      </c>
      <c r="J549" s="42" t="s">
        <v>2124</v>
      </c>
      <c r="K549" s="40" t="s">
        <v>2123</v>
      </c>
    </row>
    <row r="550" spans="1:11" ht="17.25">
      <c r="A550" s="28">
        <v>546</v>
      </c>
      <c r="B550" s="25" t="s">
        <v>601</v>
      </c>
      <c r="C550" s="25" t="s">
        <v>1672</v>
      </c>
      <c r="D550" s="25" t="s">
        <v>1329</v>
      </c>
      <c r="E550" s="25" t="s">
        <v>601</v>
      </c>
      <c r="F550" s="42" t="s">
        <v>1435</v>
      </c>
      <c r="G550" s="25" t="str">
        <f t="shared" si="16"/>
        <v>PAMTTYPEVL</v>
      </c>
      <c r="H550" s="42" t="str">
        <f t="shared" si="17"/>
        <v>1~100</v>
      </c>
      <c r="I550" s="42" t="s">
        <v>2122</v>
      </c>
      <c r="J550" s="42" t="s">
        <v>2124</v>
      </c>
      <c r="K550" s="40" t="s">
        <v>2123</v>
      </c>
    </row>
    <row r="551" spans="1:11" ht="17.25">
      <c r="A551" s="28">
        <v>547</v>
      </c>
      <c r="B551" s="25" t="s">
        <v>602</v>
      </c>
      <c r="C551" s="25" t="s">
        <v>1673</v>
      </c>
      <c r="D551" s="25" t="s">
        <v>1330</v>
      </c>
      <c r="E551" s="25" t="s">
        <v>602</v>
      </c>
      <c r="F551" s="42" t="s">
        <v>1440</v>
      </c>
      <c r="G551" s="25" t="str">
        <f t="shared" si="16"/>
        <v>PAMTESNTLYN</v>
      </c>
      <c r="H551" s="42" t="str">
        <f t="shared" si="17"/>
        <v>1~1</v>
      </c>
      <c r="I551" s="42" t="s">
        <v>2122</v>
      </c>
      <c r="J551" s="42" t="s">
        <v>2124</v>
      </c>
      <c r="K551" s="40" t="s">
        <v>2123</v>
      </c>
    </row>
    <row r="552" spans="1:11" ht="34.5">
      <c r="A552" s="28">
        <v>548</v>
      </c>
      <c r="B552" s="25" t="s">
        <v>603</v>
      </c>
      <c r="C552" s="25" t="s">
        <v>1536</v>
      </c>
      <c r="D552" s="25" t="s">
        <v>1331</v>
      </c>
      <c r="E552" s="25" t="s">
        <v>772</v>
      </c>
      <c r="F552" s="42" t="s">
        <v>1432</v>
      </c>
      <c r="G552" s="25" t="str">
        <f t="shared" si="16"/>
        <v>FILEPATHNM</v>
      </c>
      <c r="H552" s="42" t="str">
        <f t="shared" si="17"/>
        <v>1~300</v>
      </c>
      <c r="I552" s="42" t="s">
        <v>2122</v>
      </c>
      <c r="J552" s="42" t="s">
        <v>2125</v>
      </c>
      <c r="K552" s="40" t="s">
        <v>2123</v>
      </c>
    </row>
    <row r="553" spans="1:11" ht="34.5">
      <c r="A553" s="28">
        <v>549</v>
      </c>
      <c r="B553" s="25" t="s">
        <v>604</v>
      </c>
      <c r="C553" s="25" t="s">
        <v>1537</v>
      </c>
      <c r="D553" s="25" t="s">
        <v>1332</v>
      </c>
      <c r="E553" s="25" t="s">
        <v>773</v>
      </c>
      <c r="F553" s="42" t="s">
        <v>1443</v>
      </c>
      <c r="G553" s="25" t="str">
        <f t="shared" si="16"/>
        <v>FILECN</v>
      </c>
      <c r="H553" s="42" t="str">
        <f t="shared" si="17"/>
        <v>1~4000</v>
      </c>
      <c r="I553" s="42" t="s">
        <v>2122</v>
      </c>
      <c r="J553" s="42" t="s">
        <v>2125</v>
      </c>
      <c r="K553" s="40" t="s">
        <v>2123</v>
      </c>
    </row>
    <row r="554" spans="1:11" ht="17.25">
      <c r="A554" s="28">
        <v>550</v>
      </c>
      <c r="B554" s="25" t="s">
        <v>605</v>
      </c>
      <c r="C554" s="25" t="s">
        <v>1538</v>
      </c>
      <c r="D554" s="25" t="s">
        <v>1333</v>
      </c>
      <c r="E554" s="25" t="s">
        <v>605</v>
      </c>
      <c r="F554" s="42" t="s">
        <v>1436</v>
      </c>
      <c r="G554" s="25" t="str">
        <f t="shared" si="16"/>
        <v>FILEDWNLDNOCS</v>
      </c>
      <c r="H554" s="42" t="str">
        <f t="shared" si="17"/>
        <v>1~14</v>
      </c>
      <c r="I554" s="42" t="s">
        <v>2122</v>
      </c>
      <c r="J554" s="42" t="s">
        <v>2125</v>
      </c>
      <c r="K554" s="40" t="s">
        <v>2123</v>
      </c>
    </row>
    <row r="555" spans="1:11" ht="17.25">
      <c r="A555" s="28">
        <v>551</v>
      </c>
      <c r="B555" s="25" t="s">
        <v>606</v>
      </c>
      <c r="C555" s="25" t="s">
        <v>1539</v>
      </c>
      <c r="D555" s="25" t="s">
        <v>1334</v>
      </c>
      <c r="E555" s="25" t="s">
        <v>606</v>
      </c>
      <c r="F555" s="42" t="s">
        <v>1432</v>
      </c>
      <c r="G555" s="25" t="str">
        <f t="shared" si="16"/>
        <v>FILEDWNLDPRPSNM</v>
      </c>
      <c r="H555" s="42" t="str">
        <f t="shared" si="17"/>
        <v>1~300</v>
      </c>
      <c r="I555" s="42" t="s">
        <v>2122</v>
      </c>
      <c r="J555" s="42" t="s">
        <v>2125</v>
      </c>
      <c r="K555" s="40" t="s">
        <v>2123</v>
      </c>
    </row>
    <row r="556" spans="1:11" ht="17.25">
      <c r="A556" s="28">
        <v>552</v>
      </c>
      <c r="B556" s="25" t="s">
        <v>607</v>
      </c>
      <c r="C556" s="25" t="s">
        <v>1540</v>
      </c>
      <c r="D556" s="25" t="s">
        <v>1335</v>
      </c>
      <c r="E556" s="25" t="s">
        <v>607</v>
      </c>
      <c r="F556" s="42" t="s">
        <v>1443</v>
      </c>
      <c r="G556" s="25" t="str">
        <f t="shared" si="16"/>
        <v>FILEDWNLDRSN</v>
      </c>
      <c r="H556" s="42" t="str">
        <f t="shared" si="17"/>
        <v>1~4000</v>
      </c>
      <c r="I556" s="42" t="s">
        <v>2122</v>
      </c>
      <c r="J556" s="42" t="s">
        <v>2125</v>
      </c>
      <c r="K556" s="40" t="s">
        <v>2123</v>
      </c>
    </row>
    <row r="557" spans="1:11" ht="17.25">
      <c r="A557" s="28">
        <v>553</v>
      </c>
      <c r="B557" s="25" t="s">
        <v>608</v>
      </c>
      <c r="C557" s="25" t="s">
        <v>1541</v>
      </c>
      <c r="D557" s="25" t="s">
        <v>1336</v>
      </c>
      <c r="E557" s="25" t="s">
        <v>608</v>
      </c>
      <c r="F557" s="42" t="s">
        <v>1432</v>
      </c>
      <c r="G557" s="25" t="str">
        <f t="shared" si="16"/>
        <v>FILEDWNLDTYPENM</v>
      </c>
      <c r="H557" s="42" t="str">
        <f t="shared" si="17"/>
        <v>1~300</v>
      </c>
      <c r="I557" s="42" t="s">
        <v>2122</v>
      </c>
      <c r="J557" s="42" t="s">
        <v>2125</v>
      </c>
      <c r="K557" s="40" t="s">
        <v>2123</v>
      </c>
    </row>
    <row r="558" spans="1:11" ht="17.25">
      <c r="A558" s="28">
        <v>554</v>
      </c>
      <c r="B558" s="25" t="s">
        <v>609</v>
      </c>
      <c r="C558" s="25" t="s">
        <v>1542</v>
      </c>
      <c r="D558" s="25" t="s">
        <v>1337</v>
      </c>
      <c r="E558" s="25" t="s">
        <v>609</v>
      </c>
      <c r="F558" s="42" t="s">
        <v>1435</v>
      </c>
      <c r="G558" s="25" t="str">
        <f t="shared" si="16"/>
        <v>FILELOGOTYPEVL</v>
      </c>
      <c r="H558" s="42" t="str">
        <f t="shared" si="17"/>
        <v>1~100</v>
      </c>
      <c r="I558" s="42" t="s">
        <v>2122</v>
      </c>
      <c r="J558" s="42" t="s">
        <v>2125</v>
      </c>
      <c r="K558" s="40" t="s">
        <v>2123</v>
      </c>
    </row>
    <row r="559" spans="1:11" ht="34.5">
      <c r="A559" s="28">
        <v>555</v>
      </c>
      <c r="B559" s="25" t="s">
        <v>610</v>
      </c>
      <c r="C559" s="25" t="s">
        <v>1543</v>
      </c>
      <c r="D559" s="25" t="s">
        <v>1338</v>
      </c>
      <c r="E559" s="25" t="s">
        <v>774</v>
      </c>
      <c r="F559" s="42" t="s">
        <v>1432</v>
      </c>
      <c r="G559" s="25" t="str">
        <f t="shared" si="16"/>
        <v>FILENM</v>
      </c>
      <c r="H559" s="42" t="str">
        <f t="shared" si="17"/>
        <v>1~300</v>
      </c>
      <c r="I559" s="42" t="s">
        <v>2122</v>
      </c>
      <c r="J559" s="42" t="s">
        <v>2125</v>
      </c>
      <c r="K559" s="40" t="s">
        <v>2123</v>
      </c>
    </row>
    <row r="560" spans="1:11" ht="34.5">
      <c r="A560" s="28">
        <v>556</v>
      </c>
      <c r="B560" s="25" t="s">
        <v>611</v>
      </c>
      <c r="C560" s="25" t="s">
        <v>1544</v>
      </c>
      <c r="D560" s="25" t="s">
        <v>1339</v>
      </c>
      <c r="E560" s="25" t="s">
        <v>775</v>
      </c>
      <c r="F560" s="42" t="s">
        <v>1443</v>
      </c>
      <c r="G560" s="25" t="str">
        <f t="shared" si="16"/>
        <v>FILEEXPLN</v>
      </c>
      <c r="H560" s="42" t="str">
        <f t="shared" si="17"/>
        <v>1~4000</v>
      </c>
      <c r="I560" s="42" t="s">
        <v>2122</v>
      </c>
      <c r="J560" s="42" t="s">
        <v>2125</v>
      </c>
      <c r="K560" s="40" t="s">
        <v>2123</v>
      </c>
    </row>
    <row r="561" spans="1:11" ht="17.25">
      <c r="A561" s="28">
        <v>557</v>
      </c>
      <c r="B561" s="25" t="s">
        <v>612</v>
      </c>
      <c r="C561" s="25" t="s">
        <v>1545</v>
      </c>
      <c r="D561" s="25" t="s">
        <v>1340</v>
      </c>
      <c r="E561" s="25" t="s">
        <v>612</v>
      </c>
      <c r="F561" s="42" t="s">
        <v>1434</v>
      </c>
      <c r="G561" s="25" t="str">
        <f t="shared" si="16"/>
        <v>FILESEQSN</v>
      </c>
      <c r="H561" s="42" t="str">
        <f t="shared" si="17"/>
        <v>1~22</v>
      </c>
      <c r="I561" s="42" t="s">
        <v>2122</v>
      </c>
      <c r="J561" s="42" t="s">
        <v>2125</v>
      </c>
      <c r="K561" s="40" t="s">
        <v>2123</v>
      </c>
    </row>
    <row r="562" spans="1:11" ht="17.25">
      <c r="A562" s="28">
        <v>558</v>
      </c>
      <c r="B562" s="25" t="s">
        <v>613</v>
      </c>
      <c r="C562" s="25" t="s">
        <v>1546</v>
      </c>
      <c r="D562" s="25" t="s">
        <v>1341</v>
      </c>
      <c r="E562" s="25" t="s">
        <v>613</v>
      </c>
      <c r="F562" s="42" t="s">
        <v>1433</v>
      </c>
      <c r="G562" s="25" t="str">
        <f t="shared" si="16"/>
        <v>FILEID</v>
      </c>
      <c r="H562" s="42" t="str">
        <f t="shared" si="17"/>
        <v>1~20</v>
      </c>
      <c r="I562" s="42" t="s">
        <v>2122</v>
      </c>
      <c r="J562" s="42" t="s">
        <v>2125</v>
      </c>
      <c r="K562" s="40" t="s">
        <v>2123</v>
      </c>
    </row>
    <row r="563" spans="1:11" ht="17.25">
      <c r="A563" s="28">
        <v>559</v>
      </c>
      <c r="B563" s="25" t="s">
        <v>614</v>
      </c>
      <c r="C563" s="25" t="s">
        <v>1547</v>
      </c>
      <c r="D563" s="25" t="s">
        <v>1342</v>
      </c>
      <c r="E563" s="25" t="s">
        <v>614</v>
      </c>
      <c r="F563" s="42" t="s">
        <v>1436</v>
      </c>
      <c r="G563" s="25" t="str">
        <f t="shared" si="16"/>
        <v>FILECAY</v>
      </c>
      <c r="H563" s="42" t="str">
        <f t="shared" si="17"/>
        <v>1~14</v>
      </c>
      <c r="I563" s="42" t="s">
        <v>2122</v>
      </c>
      <c r="J563" s="42" t="s">
        <v>2125</v>
      </c>
      <c r="K563" s="40" t="s">
        <v>2123</v>
      </c>
    </row>
    <row r="564" spans="1:11" ht="51.75">
      <c r="A564" s="28">
        <v>560</v>
      </c>
      <c r="B564" s="25" t="s">
        <v>615</v>
      </c>
      <c r="C564" s="25" t="s">
        <v>1548</v>
      </c>
      <c r="D564" s="25" t="s">
        <v>1343</v>
      </c>
      <c r="E564" s="25" t="s">
        <v>776</v>
      </c>
      <c r="F564" s="42" t="s">
        <v>1434</v>
      </c>
      <c r="G564" s="25" t="str">
        <f t="shared" si="16"/>
        <v>FILESN</v>
      </c>
      <c r="H564" s="42" t="str">
        <f t="shared" si="17"/>
        <v>1~22</v>
      </c>
      <c r="I564" s="42" t="s">
        <v>2122</v>
      </c>
      <c r="J564" s="42" t="s">
        <v>2125</v>
      </c>
      <c r="K564" s="40" t="s">
        <v>2123</v>
      </c>
    </row>
    <row r="565" spans="1:11" ht="17.25">
      <c r="A565" s="28">
        <v>561</v>
      </c>
      <c r="B565" s="25" t="s">
        <v>616</v>
      </c>
      <c r="C565" s="25" t="s">
        <v>1549</v>
      </c>
      <c r="D565" s="25" t="s">
        <v>1344</v>
      </c>
      <c r="E565" s="25" t="s">
        <v>616</v>
      </c>
      <c r="F565" s="42" t="s">
        <v>1436</v>
      </c>
      <c r="G565" s="25" t="str">
        <f t="shared" si="16"/>
        <v>FILESZCNT</v>
      </c>
      <c r="H565" s="42" t="str">
        <f t="shared" si="17"/>
        <v>1~14</v>
      </c>
      <c r="I565" s="42" t="s">
        <v>2122</v>
      </c>
      <c r="J565" s="42" t="s">
        <v>2125</v>
      </c>
      <c r="K565" s="40" t="s">
        <v>2123</v>
      </c>
    </row>
    <row r="566" spans="1:11" ht="34.5">
      <c r="A566" s="28">
        <v>562</v>
      </c>
      <c r="B566" s="25" t="s">
        <v>617</v>
      </c>
      <c r="C566" s="25" t="s">
        <v>1550</v>
      </c>
      <c r="D566" s="25" t="s">
        <v>1345</v>
      </c>
      <c r="E566" s="25" t="s">
        <v>777</v>
      </c>
      <c r="F566" s="42" t="s">
        <v>1472</v>
      </c>
      <c r="G566" s="25" t="str">
        <f t="shared" si="16"/>
        <v>FILEEXTNNM</v>
      </c>
      <c r="H566" s="42" t="str">
        <f t="shared" si="17"/>
        <v>1~5</v>
      </c>
      <c r="I566" s="42" t="s">
        <v>2122</v>
      </c>
      <c r="J566" s="42" t="s">
        <v>2125</v>
      </c>
      <c r="K566" s="40" t="s">
        <v>2123</v>
      </c>
    </row>
    <row r="567" spans="1:11" ht="34.5">
      <c r="A567" s="28">
        <v>563</v>
      </c>
      <c r="B567" s="25" t="s">
        <v>618</v>
      </c>
      <c r="C567" s="25" t="s">
        <v>1551</v>
      </c>
      <c r="D567" s="25" t="s">
        <v>1346</v>
      </c>
      <c r="E567" s="25" t="s">
        <v>778</v>
      </c>
      <c r="F567" s="42" t="s">
        <v>1440</v>
      </c>
      <c r="G567" s="25" t="str">
        <f t="shared" si="16"/>
        <v>POPUPYN</v>
      </c>
      <c r="H567" s="42" t="str">
        <f t="shared" si="17"/>
        <v>1~1</v>
      </c>
      <c r="I567" s="42" t="s">
        <v>2122</v>
      </c>
      <c r="J567" s="42" t="s">
        <v>2124</v>
      </c>
      <c r="K567" s="40" t="s">
        <v>2123</v>
      </c>
    </row>
    <row r="568" spans="1:11" ht="17.25">
      <c r="A568" s="28">
        <v>564</v>
      </c>
      <c r="B568" s="25" t="s">
        <v>619</v>
      </c>
      <c r="C568" s="25" t="s">
        <v>1552</v>
      </c>
      <c r="D568" s="25" t="s">
        <v>1347</v>
      </c>
      <c r="E568" s="25" t="s">
        <v>619</v>
      </c>
      <c r="F568" s="42" t="s">
        <v>1443</v>
      </c>
      <c r="G568" s="25" t="str">
        <f t="shared" si="16"/>
        <v>FTERCN</v>
      </c>
      <c r="H568" s="42" t="str">
        <f t="shared" si="17"/>
        <v>1~4000</v>
      </c>
      <c r="I568" s="42" t="s">
        <v>2122</v>
      </c>
      <c r="J568" s="42" t="s">
        <v>2124</v>
      </c>
      <c r="K568" s="40" t="s">
        <v>2123</v>
      </c>
    </row>
    <row r="569" spans="1:11" ht="17.25">
      <c r="A569" s="28">
        <v>565</v>
      </c>
      <c r="B569" s="25" t="s">
        <v>620</v>
      </c>
      <c r="C569" s="25" t="s">
        <v>1553</v>
      </c>
      <c r="D569" s="25" t="s">
        <v>1348</v>
      </c>
      <c r="E569" s="25" t="s">
        <v>620</v>
      </c>
      <c r="F569" s="42" t="s">
        <v>1447</v>
      </c>
      <c r="G569" s="25" t="str">
        <f t="shared" si="16"/>
        <v>FTERCNBCRNCOLRVL</v>
      </c>
      <c r="H569" s="42" t="str">
        <f t="shared" si="17"/>
        <v>1~10</v>
      </c>
      <c r="I569" s="42" t="s">
        <v>2122</v>
      </c>
      <c r="J569" s="42" t="s">
        <v>2124</v>
      </c>
      <c r="K569" s="40" t="s">
        <v>2123</v>
      </c>
    </row>
    <row r="570" spans="1:11" ht="34.5">
      <c r="A570" s="28">
        <v>566</v>
      </c>
      <c r="B570" s="25" t="s">
        <v>621</v>
      </c>
      <c r="C570" s="25" t="s">
        <v>1554</v>
      </c>
      <c r="D570" s="25" t="s">
        <v>1349</v>
      </c>
      <c r="E570" s="25" t="s">
        <v>621</v>
      </c>
      <c r="F570" s="42" t="s">
        <v>1464</v>
      </c>
      <c r="G570" s="25" t="str">
        <f t="shared" si="16"/>
        <v>FTERCNBCRNCOLRCLRTYCNT</v>
      </c>
      <c r="H570" s="42" t="str">
        <f t="shared" si="17"/>
        <v>1~42</v>
      </c>
      <c r="I570" s="42" t="s">
        <v>2122</v>
      </c>
      <c r="J570" s="42" t="s">
        <v>2124</v>
      </c>
      <c r="K570" s="40" t="s">
        <v>2123</v>
      </c>
    </row>
    <row r="571" spans="1:11" ht="17.25">
      <c r="A571" s="28">
        <v>567</v>
      </c>
      <c r="B571" s="25" t="s">
        <v>622</v>
      </c>
      <c r="C571" s="25" t="s">
        <v>1555</v>
      </c>
      <c r="D571" s="25" t="s">
        <v>1350</v>
      </c>
      <c r="E571" s="25" t="s">
        <v>622</v>
      </c>
      <c r="F571" s="42" t="s">
        <v>1447</v>
      </c>
      <c r="G571" s="25" t="str">
        <f t="shared" si="16"/>
        <v>FTERCNFONTCOLRVL</v>
      </c>
      <c r="H571" s="42" t="str">
        <f t="shared" si="17"/>
        <v>1~10</v>
      </c>
      <c r="I571" s="42" t="s">
        <v>2122</v>
      </c>
      <c r="J571" s="42" t="s">
        <v>2124</v>
      </c>
      <c r="K571" s="40" t="s">
        <v>2123</v>
      </c>
    </row>
    <row r="572" spans="1:11" ht="17.25">
      <c r="A572" s="28">
        <v>568</v>
      </c>
      <c r="B572" s="25" t="s">
        <v>623</v>
      </c>
      <c r="C572" s="25" t="s">
        <v>1556</v>
      </c>
      <c r="D572" s="25" t="s">
        <v>1351</v>
      </c>
      <c r="E572" s="25" t="s">
        <v>623</v>
      </c>
      <c r="F572" s="42" t="s">
        <v>1447</v>
      </c>
      <c r="G572" s="25" t="str">
        <f t="shared" si="16"/>
        <v>FTERCNFONTSORTVL</v>
      </c>
      <c r="H572" s="42" t="str">
        <f t="shared" si="17"/>
        <v>1~10</v>
      </c>
      <c r="I572" s="42" t="s">
        <v>2122</v>
      </c>
      <c r="J572" s="42" t="s">
        <v>2124</v>
      </c>
      <c r="K572" s="40" t="s">
        <v>2123</v>
      </c>
    </row>
    <row r="573" spans="1:11" ht="17.25">
      <c r="A573" s="28">
        <v>569</v>
      </c>
      <c r="B573" s="25" t="s">
        <v>624</v>
      </c>
      <c r="C573" s="25" t="s">
        <v>1557</v>
      </c>
      <c r="D573" s="25" t="s">
        <v>1352</v>
      </c>
      <c r="E573" s="25" t="s">
        <v>624</v>
      </c>
      <c r="F573" s="42" t="s">
        <v>1433</v>
      </c>
      <c r="G573" s="25" t="str">
        <f t="shared" si="16"/>
        <v>FTERLOGOFILEID</v>
      </c>
      <c r="H573" s="42" t="str">
        <f t="shared" si="17"/>
        <v>1~20</v>
      </c>
      <c r="I573" s="42" t="s">
        <v>2122</v>
      </c>
      <c r="J573" s="42" t="s">
        <v>2124</v>
      </c>
      <c r="K573" s="40" t="s">
        <v>2123</v>
      </c>
    </row>
    <row r="574" spans="1:11" ht="17.25">
      <c r="A574" s="28">
        <v>570</v>
      </c>
      <c r="B574" s="25" t="s">
        <v>625</v>
      </c>
      <c r="C574" s="25" t="s">
        <v>1558</v>
      </c>
      <c r="D574" s="25" t="s">
        <v>1353</v>
      </c>
      <c r="E574" s="25" t="s">
        <v>625</v>
      </c>
      <c r="F574" s="42" t="s">
        <v>1435</v>
      </c>
      <c r="G574" s="25" t="str">
        <f t="shared" si="16"/>
        <v>WDSPVL</v>
      </c>
      <c r="H574" s="42" t="str">
        <f t="shared" si="17"/>
        <v>1~100</v>
      </c>
      <c r="I574" s="42" t="s">
        <v>2122</v>
      </c>
      <c r="J574" s="42" t="s">
        <v>2124</v>
      </c>
      <c r="K574" s="40" t="s">
        <v>2123</v>
      </c>
    </row>
    <row r="575" spans="1:11" ht="17.25">
      <c r="A575" s="28">
        <v>571</v>
      </c>
      <c r="B575" s="25" t="s">
        <v>626</v>
      </c>
      <c r="C575" s="25" t="s">
        <v>1559</v>
      </c>
      <c r="D575" s="25" t="s">
        <v>1354</v>
      </c>
      <c r="E575" s="25" t="s">
        <v>626</v>
      </c>
      <c r="F575" s="42" t="s">
        <v>1435</v>
      </c>
      <c r="G575" s="25" t="str">
        <f t="shared" si="16"/>
        <v>DWNDVL</v>
      </c>
      <c r="H575" s="42" t="str">
        <f t="shared" si="17"/>
        <v>1~100</v>
      </c>
      <c r="I575" s="42" t="s">
        <v>2122</v>
      </c>
      <c r="J575" s="42" t="s">
        <v>2124</v>
      </c>
      <c r="K575" s="40" t="s">
        <v>2123</v>
      </c>
    </row>
    <row r="576" spans="1:11" ht="17.25">
      <c r="A576" s="28">
        <v>572</v>
      </c>
      <c r="B576" s="25" t="s">
        <v>627</v>
      </c>
      <c r="C576" s="25" t="s">
        <v>1560</v>
      </c>
      <c r="D576" s="25" t="s">
        <v>1355</v>
      </c>
      <c r="E576" s="25" t="s">
        <v>627</v>
      </c>
      <c r="F576" s="42" t="s">
        <v>1435</v>
      </c>
      <c r="G576" s="25" t="str">
        <f t="shared" si="16"/>
        <v>FRAMSEVL</v>
      </c>
      <c r="H576" s="42" t="str">
        <f t="shared" si="17"/>
        <v>1~100</v>
      </c>
      <c r="I576" s="42" t="s">
        <v>2122</v>
      </c>
      <c r="J576" s="42" t="s">
        <v>2124</v>
      </c>
      <c r="K576" s="40" t="s">
        <v>2123</v>
      </c>
    </row>
    <row r="577" spans="1:11" ht="17.25">
      <c r="A577" s="28">
        <v>573</v>
      </c>
      <c r="B577" s="25" t="s">
        <v>628</v>
      </c>
      <c r="C577" s="25" t="s">
        <v>1561</v>
      </c>
      <c r="D577" s="25" t="s">
        <v>1356</v>
      </c>
      <c r="E577" s="25" t="s">
        <v>628</v>
      </c>
      <c r="F577" s="42" t="s">
        <v>1433</v>
      </c>
      <c r="G577" s="25" t="str">
        <f t="shared" si="16"/>
        <v>FRAMID</v>
      </c>
      <c r="H577" s="42" t="str">
        <f t="shared" si="17"/>
        <v>1~20</v>
      </c>
      <c r="I577" s="42" t="s">
        <v>2122</v>
      </c>
      <c r="J577" s="42" t="s">
        <v>2124</v>
      </c>
      <c r="K577" s="40" t="s">
        <v>2123</v>
      </c>
    </row>
    <row r="578" spans="1:11" ht="17.25">
      <c r="A578" s="28">
        <v>574</v>
      </c>
      <c r="B578" s="25" t="s">
        <v>629</v>
      </c>
      <c r="C578" s="25" t="s">
        <v>1562</v>
      </c>
      <c r="D578" s="25" t="s">
        <v>1357</v>
      </c>
      <c r="E578" s="25" t="s">
        <v>629</v>
      </c>
      <c r="F578" s="42" t="s">
        <v>1435</v>
      </c>
      <c r="G578" s="25" t="str">
        <f t="shared" si="16"/>
        <v>FRAMTYPEVL</v>
      </c>
      <c r="H578" s="42" t="str">
        <f t="shared" si="17"/>
        <v>1~100</v>
      </c>
      <c r="I578" s="42" t="s">
        <v>2122</v>
      </c>
      <c r="J578" s="42" t="s">
        <v>2124</v>
      </c>
      <c r="K578" s="40" t="s">
        <v>2123</v>
      </c>
    </row>
    <row r="579" spans="1:11" ht="17.25">
      <c r="A579" s="28">
        <v>575</v>
      </c>
      <c r="B579" s="25" t="s">
        <v>630</v>
      </c>
      <c r="C579" s="25" t="s">
        <v>1563</v>
      </c>
      <c r="D579" s="25" t="s">
        <v>1358</v>
      </c>
      <c r="E579" s="25" t="s">
        <v>630</v>
      </c>
      <c r="F579" s="42" t="s">
        <v>1434</v>
      </c>
      <c r="G579" s="25" t="str">
        <f t="shared" si="16"/>
        <v>FRAMSN</v>
      </c>
      <c r="H579" s="42" t="str">
        <f t="shared" si="17"/>
        <v>1~22</v>
      </c>
      <c r="I579" s="42" t="s">
        <v>2122</v>
      </c>
      <c r="J579" s="42" t="s">
        <v>2124</v>
      </c>
      <c r="K579" s="40" t="s">
        <v>2123</v>
      </c>
    </row>
    <row r="580" spans="1:11" ht="17.25">
      <c r="A580" s="28">
        <v>576</v>
      </c>
      <c r="B580" s="25" t="s">
        <v>631</v>
      </c>
      <c r="C580" s="25" t="s">
        <v>1564</v>
      </c>
      <c r="D580" s="25" t="s">
        <v>1359</v>
      </c>
      <c r="E580" s="25" t="s">
        <v>631</v>
      </c>
      <c r="F580" s="42" t="s">
        <v>1443</v>
      </c>
      <c r="G580" s="25" t="str">
        <f t="shared" si="16"/>
        <v>FRAMTTLCN</v>
      </c>
      <c r="H580" s="42" t="str">
        <f t="shared" si="17"/>
        <v>1~4000</v>
      </c>
      <c r="I580" s="42" t="s">
        <v>2122</v>
      </c>
      <c r="J580" s="42" t="s">
        <v>2124</v>
      </c>
      <c r="K580" s="40" t="s">
        <v>2123</v>
      </c>
    </row>
    <row r="581" spans="1:11" ht="17.25">
      <c r="A581" s="28">
        <v>577</v>
      </c>
      <c r="B581" s="25" t="s">
        <v>632</v>
      </c>
      <c r="C581" s="25" t="s">
        <v>1565</v>
      </c>
      <c r="D581" s="25" t="s">
        <v>1360</v>
      </c>
      <c r="E581" s="25" t="s">
        <v>632</v>
      </c>
      <c r="F581" s="42" t="s">
        <v>1447</v>
      </c>
      <c r="G581" s="25" t="str">
        <f t="shared" si="16"/>
        <v>FRAMTTLCOLRVL</v>
      </c>
      <c r="H581" s="42" t="str">
        <f t="shared" si="17"/>
        <v>1~10</v>
      </c>
      <c r="I581" s="42" t="s">
        <v>2122</v>
      </c>
      <c r="J581" s="42" t="s">
        <v>2124</v>
      </c>
      <c r="K581" s="40" t="s">
        <v>2123</v>
      </c>
    </row>
    <row r="582" spans="1:11" ht="17.25">
      <c r="A582" s="28">
        <v>578</v>
      </c>
      <c r="B582" s="25" t="s">
        <v>633</v>
      </c>
      <c r="C582" s="25" t="s">
        <v>1566</v>
      </c>
      <c r="D582" s="25" t="s">
        <v>1361</v>
      </c>
      <c r="E582" s="25" t="s">
        <v>633</v>
      </c>
      <c r="F582" s="42" t="s">
        <v>1447</v>
      </c>
      <c r="G582" s="25" t="str">
        <f t="shared" ref="G582:G645" si="18">SUBSTITUTE(D582, "_", "")</f>
        <v>FRAMTTLSORTVL</v>
      </c>
      <c r="H582" s="42" t="str">
        <f t="shared" ref="H582:H645" si="19">CONCATENATE("1~", _xlfn.REGEXREPLACE(F582, "[^0-9]",""))</f>
        <v>1~10</v>
      </c>
      <c r="I582" s="42" t="s">
        <v>2122</v>
      </c>
      <c r="J582" s="42" t="s">
        <v>2124</v>
      </c>
      <c r="K582" s="40" t="s">
        <v>2123</v>
      </c>
    </row>
    <row r="583" spans="1:11" ht="17.25">
      <c r="A583" s="28">
        <v>579</v>
      </c>
      <c r="B583" s="25" t="s">
        <v>634</v>
      </c>
      <c r="C583" s="25" t="s">
        <v>1567</v>
      </c>
      <c r="D583" s="25" t="s">
        <v>1362</v>
      </c>
      <c r="E583" s="25" t="s">
        <v>634</v>
      </c>
      <c r="F583" s="42" t="s">
        <v>1463</v>
      </c>
      <c r="G583" s="25" t="str">
        <f t="shared" si="18"/>
        <v>FRAMTTLFONTCNT</v>
      </c>
      <c r="H583" s="42" t="str">
        <f t="shared" si="19"/>
        <v>1~2</v>
      </c>
      <c r="I583" s="42" t="s">
        <v>2122</v>
      </c>
      <c r="J583" s="42" t="s">
        <v>2124</v>
      </c>
      <c r="K583" s="40" t="s">
        <v>2123</v>
      </c>
    </row>
    <row r="584" spans="1:11" ht="17.25">
      <c r="A584" s="28">
        <v>580</v>
      </c>
      <c r="B584" s="25" t="s">
        <v>635</v>
      </c>
      <c r="C584" s="25" t="s">
        <v>1568</v>
      </c>
      <c r="D584" s="25" t="s">
        <v>1363</v>
      </c>
      <c r="E584" s="25" t="s">
        <v>635</v>
      </c>
      <c r="F584" s="42" t="s">
        <v>1441</v>
      </c>
      <c r="G584" s="25" t="str">
        <f t="shared" si="18"/>
        <v>FRAMCOPTNO</v>
      </c>
      <c r="H584" s="42" t="str">
        <f t="shared" si="19"/>
        <v>1~100</v>
      </c>
      <c r="I584" s="42" t="s">
        <v>2122</v>
      </c>
      <c r="J584" s="42" t="s">
        <v>2124</v>
      </c>
      <c r="K584" s="40" t="s">
        <v>2123</v>
      </c>
    </row>
    <row r="585" spans="1:11" ht="17.25">
      <c r="A585" s="28">
        <v>581</v>
      </c>
      <c r="B585" s="25" t="s">
        <v>636</v>
      </c>
      <c r="C585" s="25" t="s">
        <v>1569</v>
      </c>
      <c r="D585" s="25" t="s">
        <v>1364</v>
      </c>
      <c r="E585" s="25" t="s">
        <v>636</v>
      </c>
      <c r="F585" s="42" t="s">
        <v>1434</v>
      </c>
      <c r="G585" s="25" t="str">
        <f t="shared" si="18"/>
        <v>FRAMCOPTSN</v>
      </c>
      <c r="H585" s="42" t="str">
        <f t="shared" si="19"/>
        <v>1~22</v>
      </c>
      <c r="I585" s="42" t="s">
        <v>2122</v>
      </c>
      <c r="J585" s="42" t="s">
        <v>2124</v>
      </c>
      <c r="K585" s="40" t="s">
        <v>2123</v>
      </c>
    </row>
    <row r="586" spans="1:11" ht="17.25">
      <c r="A586" s="28">
        <v>582</v>
      </c>
      <c r="B586" s="25" t="s">
        <v>637</v>
      </c>
      <c r="C586" s="25" t="s">
        <v>1570</v>
      </c>
      <c r="D586" s="25" t="s">
        <v>1365</v>
      </c>
      <c r="E586" s="25" t="s">
        <v>637</v>
      </c>
      <c r="F586" s="42" t="s">
        <v>1439</v>
      </c>
      <c r="G586" s="25" t="str">
        <f t="shared" si="18"/>
        <v>PRGRMURLR</v>
      </c>
      <c r="H586" s="42" t="str">
        <f t="shared" si="19"/>
        <v>1~1000</v>
      </c>
      <c r="I586" s="42" t="s">
        <v>2122</v>
      </c>
      <c r="J586" s="42" t="s">
        <v>2124</v>
      </c>
      <c r="K586" s="40" t="s">
        <v>2123</v>
      </c>
    </row>
    <row r="587" spans="1:11" ht="34.5">
      <c r="A587" s="28">
        <v>583</v>
      </c>
      <c r="B587" s="25" t="s">
        <v>638</v>
      </c>
      <c r="C587" s="25" t="s">
        <v>1571</v>
      </c>
      <c r="D587" s="25" t="s">
        <v>1366</v>
      </c>
      <c r="E587" s="25" t="s">
        <v>779</v>
      </c>
      <c r="F587" s="42" t="s">
        <v>1457</v>
      </c>
      <c r="G587" s="25" t="str">
        <f t="shared" si="18"/>
        <v>PRGRMNM</v>
      </c>
      <c r="H587" s="42" t="str">
        <f t="shared" si="19"/>
        <v>1~100</v>
      </c>
      <c r="I587" s="42" t="s">
        <v>2122</v>
      </c>
      <c r="J587" s="42" t="s">
        <v>2124</v>
      </c>
      <c r="K587" s="40" t="s">
        <v>2123</v>
      </c>
    </row>
    <row r="588" spans="1:11" ht="34.5">
      <c r="A588" s="28">
        <v>584</v>
      </c>
      <c r="B588" s="25" t="s">
        <v>639</v>
      </c>
      <c r="C588" s="25" t="s">
        <v>1572</v>
      </c>
      <c r="D588" s="25" t="s">
        <v>1367</v>
      </c>
      <c r="E588" s="25" t="s">
        <v>780</v>
      </c>
      <c r="F588" s="42" t="s">
        <v>1443</v>
      </c>
      <c r="G588" s="25" t="str">
        <f t="shared" si="18"/>
        <v>PRGRMEXPLN</v>
      </c>
      <c r="H588" s="42" t="str">
        <f t="shared" si="19"/>
        <v>1~4000</v>
      </c>
      <c r="I588" s="42" t="s">
        <v>2122</v>
      </c>
      <c r="J588" s="42" t="s">
        <v>2124</v>
      </c>
      <c r="K588" s="40" t="s">
        <v>2123</v>
      </c>
    </row>
    <row r="589" spans="1:11" ht="17.25">
      <c r="A589" s="28">
        <v>585</v>
      </c>
      <c r="B589" s="25" t="s">
        <v>640</v>
      </c>
      <c r="C589" s="25" t="s">
        <v>1573</v>
      </c>
      <c r="D589" s="25" t="s">
        <v>1368</v>
      </c>
      <c r="E589" s="25" t="s">
        <v>640</v>
      </c>
      <c r="F589" s="42" t="s">
        <v>1433</v>
      </c>
      <c r="G589" s="25" t="str">
        <f t="shared" si="18"/>
        <v>PRGRMID</v>
      </c>
      <c r="H589" s="42" t="str">
        <f t="shared" si="19"/>
        <v>1~20</v>
      </c>
      <c r="I589" s="42" t="s">
        <v>2122</v>
      </c>
      <c r="J589" s="42" t="s">
        <v>2124</v>
      </c>
      <c r="K589" s="40" t="s">
        <v>2123</v>
      </c>
    </row>
    <row r="590" spans="1:11" ht="17.25">
      <c r="A590" s="28">
        <v>586</v>
      </c>
      <c r="B590" s="25" t="s">
        <v>641</v>
      </c>
      <c r="C590" s="25" t="s">
        <v>1574</v>
      </c>
      <c r="D590" s="25" t="s">
        <v>1369</v>
      </c>
      <c r="E590" s="25" t="s">
        <v>641</v>
      </c>
      <c r="F590" s="42" t="s">
        <v>1454</v>
      </c>
      <c r="G590" s="25" t="str">
        <f t="shared" si="18"/>
        <v>PLOMAPITYPECD</v>
      </c>
      <c r="H590" s="42" t="str">
        <f t="shared" si="19"/>
        <v>1~10</v>
      </c>
      <c r="I590" s="42" t="s">
        <v>2122</v>
      </c>
      <c r="J590" s="42" t="s">
        <v>2124</v>
      </c>
      <c r="K590" s="40" t="s">
        <v>2123</v>
      </c>
    </row>
    <row r="591" spans="1:11" ht="17.25">
      <c r="A591" s="28">
        <v>587</v>
      </c>
      <c r="B591" s="25" t="s">
        <v>642</v>
      </c>
      <c r="C591" s="25" t="s">
        <v>1575</v>
      </c>
      <c r="D591" s="25" t="s">
        <v>1370</v>
      </c>
      <c r="E591" s="25" t="s">
        <v>642</v>
      </c>
      <c r="F591" s="42" t="s">
        <v>1447</v>
      </c>
      <c r="G591" s="25" t="str">
        <f t="shared" si="18"/>
        <v>PLOMSEVL</v>
      </c>
      <c r="H591" s="42" t="str">
        <f t="shared" si="19"/>
        <v>1~10</v>
      </c>
      <c r="I591" s="42" t="s">
        <v>2122</v>
      </c>
      <c r="J591" s="42" t="s">
        <v>2124</v>
      </c>
      <c r="K591" s="40" t="s">
        <v>2123</v>
      </c>
    </row>
    <row r="592" spans="1:11" ht="17.25">
      <c r="A592" s="28">
        <v>588</v>
      </c>
      <c r="B592" s="25" t="s">
        <v>643</v>
      </c>
      <c r="C592" s="25" t="s">
        <v>1576</v>
      </c>
      <c r="D592" s="25" t="s">
        <v>1371</v>
      </c>
      <c r="E592" s="25" t="s">
        <v>643</v>
      </c>
      <c r="F592" s="42" t="s">
        <v>1434</v>
      </c>
      <c r="G592" s="25" t="str">
        <f t="shared" si="18"/>
        <v>PLOMSN</v>
      </c>
      <c r="H592" s="42" t="str">
        <f t="shared" si="19"/>
        <v>1~22</v>
      </c>
      <c r="I592" s="42" t="s">
        <v>2122</v>
      </c>
      <c r="J592" s="42" t="s">
        <v>2124</v>
      </c>
      <c r="K592" s="40" t="s">
        <v>2123</v>
      </c>
    </row>
    <row r="593" spans="1:11" ht="17.25">
      <c r="A593" s="28">
        <v>589</v>
      </c>
      <c r="B593" s="25" t="s">
        <v>644</v>
      </c>
      <c r="C593" s="25" t="s">
        <v>1577</v>
      </c>
      <c r="D593" s="25" t="s">
        <v>1372</v>
      </c>
      <c r="E593" s="25" t="s">
        <v>644</v>
      </c>
      <c r="F593" s="42" t="s">
        <v>1433</v>
      </c>
      <c r="G593" s="25" t="str">
        <f t="shared" si="18"/>
        <v>FTRID</v>
      </c>
      <c r="H593" s="42" t="str">
        <f t="shared" si="19"/>
        <v>1~20</v>
      </c>
      <c r="I593" s="42" t="s">
        <v>2122</v>
      </c>
      <c r="J593" s="42" t="s">
        <v>2124</v>
      </c>
      <c r="K593" s="40" t="s">
        <v>2123</v>
      </c>
    </row>
    <row r="594" spans="1:11" ht="17.25">
      <c r="A594" s="28">
        <v>590</v>
      </c>
      <c r="B594" s="25" t="s">
        <v>645</v>
      </c>
      <c r="C594" s="25" t="s">
        <v>1578</v>
      </c>
      <c r="D594" s="25" t="s">
        <v>1373</v>
      </c>
      <c r="E594" s="25" t="s">
        <v>645</v>
      </c>
      <c r="F594" s="42" t="s">
        <v>1440</v>
      </c>
      <c r="G594" s="25" t="str">
        <f t="shared" si="18"/>
        <v>LTLNDYN</v>
      </c>
      <c r="H594" s="42" t="str">
        <f t="shared" si="19"/>
        <v>1~1</v>
      </c>
      <c r="I594" s="42" t="s">
        <v>2122</v>
      </c>
      <c r="J594" s="42" t="s">
        <v>2124</v>
      </c>
      <c r="K594" s="40" t="s">
        <v>2123</v>
      </c>
    </row>
    <row r="595" spans="1:11" ht="17.25">
      <c r="A595" s="28">
        <v>591</v>
      </c>
      <c r="B595" s="25" t="s">
        <v>646</v>
      </c>
      <c r="C595" s="25" t="s">
        <v>1579</v>
      </c>
      <c r="D595" s="25" t="s">
        <v>1374</v>
      </c>
      <c r="E595" s="25" t="s">
        <v>646</v>
      </c>
      <c r="F595" s="42" t="s">
        <v>1432</v>
      </c>
      <c r="G595" s="25" t="str">
        <f t="shared" si="18"/>
        <v>HDDTYPENM</v>
      </c>
      <c r="H595" s="42" t="str">
        <f t="shared" si="19"/>
        <v>1~300</v>
      </c>
      <c r="I595" s="42" t="s">
        <v>2122</v>
      </c>
      <c r="J595" s="42" t="s">
        <v>2124</v>
      </c>
      <c r="K595" s="40" t="s">
        <v>2123</v>
      </c>
    </row>
    <row r="596" spans="1:11" ht="17.25">
      <c r="A596" s="28">
        <v>592</v>
      </c>
      <c r="B596" s="25" t="s">
        <v>647</v>
      </c>
      <c r="C596" s="25" t="s">
        <v>1580</v>
      </c>
      <c r="D596" s="25" t="s">
        <v>1375</v>
      </c>
      <c r="E596" s="25" t="s">
        <v>647</v>
      </c>
      <c r="F596" s="42" t="s">
        <v>1432</v>
      </c>
      <c r="G596" s="25" t="str">
        <f t="shared" si="18"/>
        <v>LWRTENGTTL</v>
      </c>
      <c r="H596" s="42" t="str">
        <f t="shared" si="19"/>
        <v>1~300</v>
      </c>
      <c r="I596" s="42" t="s">
        <v>2122</v>
      </c>
      <c r="J596" s="42" t="s">
        <v>2124</v>
      </c>
      <c r="K596" s="40" t="s">
        <v>2123</v>
      </c>
    </row>
    <row r="597" spans="1:11" ht="17.25">
      <c r="A597" s="28">
        <v>593</v>
      </c>
      <c r="B597" s="25" t="s">
        <v>648</v>
      </c>
      <c r="C597" s="25" t="s">
        <v>1581</v>
      </c>
      <c r="D597" s="25" t="s">
        <v>1376</v>
      </c>
      <c r="E597" s="25" t="s">
        <v>648</v>
      </c>
      <c r="F597" s="42" t="s">
        <v>1432</v>
      </c>
      <c r="G597" s="25" t="str">
        <f t="shared" si="18"/>
        <v>LWRTTTL</v>
      </c>
      <c r="H597" s="42" t="str">
        <f t="shared" si="19"/>
        <v>1~300</v>
      </c>
      <c r="I597" s="42" t="s">
        <v>2122</v>
      </c>
      <c r="J597" s="42" t="s">
        <v>2124</v>
      </c>
      <c r="K597" s="40" t="s">
        <v>2123</v>
      </c>
    </row>
    <row r="598" spans="1:11" ht="17.25">
      <c r="A598" s="28">
        <v>594</v>
      </c>
      <c r="B598" s="25" t="s">
        <v>649</v>
      </c>
      <c r="C598" s="25" t="s">
        <v>1582</v>
      </c>
      <c r="D598" s="25" t="s">
        <v>1377</v>
      </c>
      <c r="E598" s="25" t="s">
        <v>649</v>
      </c>
      <c r="F598" s="42" t="s">
        <v>1435</v>
      </c>
      <c r="G598" s="25" t="str">
        <f t="shared" si="18"/>
        <v>RVRBNDRTYPEVL</v>
      </c>
      <c r="H598" s="42" t="str">
        <f t="shared" si="19"/>
        <v>1~100</v>
      </c>
      <c r="I598" s="42" t="s">
        <v>2122</v>
      </c>
      <c r="J598" s="42" t="s">
        <v>2124</v>
      </c>
      <c r="K598" s="40" t="s">
        <v>2123</v>
      </c>
    </row>
    <row r="599" spans="1:11" ht="17.25">
      <c r="A599" s="28">
        <v>595</v>
      </c>
      <c r="B599" s="25" t="s">
        <v>650</v>
      </c>
      <c r="C599" s="25" t="s">
        <v>1583</v>
      </c>
      <c r="D599" s="25" t="s">
        <v>1378</v>
      </c>
      <c r="E599" s="25" t="s">
        <v>650</v>
      </c>
      <c r="F599" s="42" t="s">
        <v>1434</v>
      </c>
      <c r="G599" s="25" t="str">
        <f t="shared" si="18"/>
        <v>RVRBNDRSN</v>
      </c>
      <c r="H599" s="42" t="str">
        <f t="shared" si="19"/>
        <v>1~22</v>
      </c>
      <c r="I599" s="42" t="s">
        <v>2122</v>
      </c>
      <c r="J599" s="42" t="s">
        <v>2124</v>
      </c>
      <c r="K599" s="40" t="s">
        <v>2123</v>
      </c>
    </row>
    <row r="600" spans="1:11" ht="17.25">
      <c r="A600" s="28">
        <v>596</v>
      </c>
      <c r="B600" s="25" t="s">
        <v>651</v>
      </c>
      <c r="C600" s="25" t="s">
        <v>1584</v>
      </c>
      <c r="D600" s="25" t="s">
        <v>1379</v>
      </c>
      <c r="E600" s="25" t="s">
        <v>651</v>
      </c>
      <c r="F600" s="42" t="s">
        <v>1432</v>
      </c>
      <c r="G600" s="25" t="str">
        <f t="shared" si="18"/>
        <v>RVRBNDRFILEPATHNM</v>
      </c>
      <c r="H600" s="42" t="str">
        <f t="shared" si="19"/>
        <v>1~300</v>
      </c>
      <c r="I600" s="42" t="s">
        <v>2122</v>
      </c>
      <c r="J600" s="42" t="s">
        <v>2124</v>
      </c>
      <c r="K600" s="40" t="s">
        <v>2123</v>
      </c>
    </row>
    <row r="601" spans="1:11" ht="17.25">
      <c r="A601" s="28">
        <v>597</v>
      </c>
      <c r="B601" s="25" t="s">
        <v>652</v>
      </c>
      <c r="C601" s="25" t="s">
        <v>1585</v>
      </c>
      <c r="D601" s="25" t="s">
        <v>1380</v>
      </c>
      <c r="E601" s="25" t="s">
        <v>652</v>
      </c>
      <c r="F601" s="42" t="s">
        <v>1432</v>
      </c>
      <c r="G601" s="25" t="str">
        <f t="shared" si="18"/>
        <v>RVRBNDRFILENM</v>
      </c>
      <c r="H601" s="42" t="str">
        <f t="shared" si="19"/>
        <v>1~300</v>
      </c>
      <c r="I601" s="42" t="s">
        <v>2122</v>
      </c>
      <c r="J601" s="42" t="s">
        <v>2124</v>
      </c>
      <c r="K601" s="40" t="s">
        <v>2123</v>
      </c>
    </row>
    <row r="602" spans="1:11" ht="17.25">
      <c r="A602" s="28">
        <v>598</v>
      </c>
      <c r="B602" s="25" t="s">
        <v>653</v>
      </c>
      <c r="C602" s="25" t="s">
        <v>1586</v>
      </c>
      <c r="D602" s="25" t="s">
        <v>1381</v>
      </c>
      <c r="E602" s="25" t="s">
        <v>653</v>
      </c>
      <c r="F602" s="42" t="s">
        <v>1435</v>
      </c>
      <c r="G602" s="25" t="str">
        <f t="shared" si="18"/>
        <v>RVRSLATVL</v>
      </c>
      <c r="H602" s="42" t="str">
        <f t="shared" si="19"/>
        <v>1~100</v>
      </c>
      <c r="I602" s="42" t="s">
        <v>2122</v>
      </c>
      <c r="J602" s="42" t="s">
        <v>2124</v>
      </c>
      <c r="K602" s="40" t="s">
        <v>2123</v>
      </c>
    </row>
    <row r="603" spans="1:11" ht="17.25">
      <c r="A603" s="28">
        <v>599</v>
      </c>
      <c r="B603" s="25" t="s">
        <v>654</v>
      </c>
      <c r="C603" s="25" t="s">
        <v>1587</v>
      </c>
      <c r="D603" s="25" t="s">
        <v>1382</v>
      </c>
      <c r="E603" s="25" t="s">
        <v>654</v>
      </c>
      <c r="F603" s="42" t="s">
        <v>1434</v>
      </c>
      <c r="G603" s="25" t="str">
        <f t="shared" si="18"/>
        <v>RVROFLWSN</v>
      </c>
      <c r="H603" s="42" t="str">
        <f t="shared" si="19"/>
        <v>1~22</v>
      </c>
      <c r="I603" s="42" t="s">
        <v>2122</v>
      </c>
      <c r="J603" s="42" t="s">
        <v>2124</v>
      </c>
      <c r="K603" s="40" t="s">
        <v>2123</v>
      </c>
    </row>
    <row r="604" spans="1:11" ht="17.25">
      <c r="A604" s="28">
        <v>600</v>
      </c>
      <c r="B604" s="25" t="s">
        <v>655</v>
      </c>
      <c r="C604" s="25" t="s">
        <v>1487</v>
      </c>
      <c r="D604" s="25" t="s">
        <v>1383</v>
      </c>
      <c r="E604" s="25" t="s">
        <v>655</v>
      </c>
      <c r="F604" s="42" t="s">
        <v>1435</v>
      </c>
      <c r="G604" s="25" t="str">
        <f t="shared" si="18"/>
        <v>RVRDOWMAXVL</v>
      </c>
      <c r="H604" s="42" t="str">
        <f t="shared" si="19"/>
        <v>1~100</v>
      </c>
      <c r="I604" s="42" t="s">
        <v>2122</v>
      </c>
      <c r="J604" s="42" t="s">
        <v>2124</v>
      </c>
      <c r="K604" s="40" t="s">
        <v>2123</v>
      </c>
    </row>
    <row r="605" spans="1:11" ht="17.25">
      <c r="A605" s="28">
        <v>601</v>
      </c>
      <c r="B605" s="25" t="s">
        <v>656</v>
      </c>
      <c r="C605" s="25" t="s">
        <v>1488</v>
      </c>
      <c r="D605" s="25" t="s">
        <v>1384</v>
      </c>
      <c r="E605" s="25" t="s">
        <v>656</v>
      </c>
      <c r="F605" s="42" t="s">
        <v>1435</v>
      </c>
      <c r="G605" s="25" t="str">
        <f t="shared" si="18"/>
        <v>RVRDOWMINVL</v>
      </c>
      <c r="H605" s="42" t="str">
        <f t="shared" si="19"/>
        <v>1~100</v>
      </c>
      <c r="I605" s="42" t="s">
        <v>2122</v>
      </c>
      <c r="J605" s="42" t="s">
        <v>2124</v>
      </c>
      <c r="K605" s="40" t="s">
        <v>2123</v>
      </c>
    </row>
    <row r="606" spans="1:11" ht="17.25">
      <c r="A606" s="28">
        <v>602</v>
      </c>
      <c r="B606" s="25" t="s">
        <v>657</v>
      </c>
      <c r="C606" s="25" t="s">
        <v>1489</v>
      </c>
      <c r="D606" s="25" t="s">
        <v>1385</v>
      </c>
      <c r="E606" s="25" t="s">
        <v>657</v>
      </c>
      <c r="F606" s="42" t="s">
        <v>1435</v>
      </c>
      <c r="G606" s="25" t="str">
        <f t="shared" si="18"/>
        <v>RVRRODMAXVL</v>
      </c>
      <c r="H606" s="42" t="str">
        <f t="shared" si="19"/>
        <v>1~100</v>
      </c>
      <c r="I606" s="42" t="s">
        <v>2122</v>
      </c>
      <c r="J606" s="42" t="s">
        <v>2124</v>
      </c>
      <c r="K606" s="40" t="s">
        <v>2123</v>
      </c>
    </row>
    <row r="607" spans="1:11" ht="17.25">
      <c r="A607" s="28">
        <v>603</v>
      </c>
      <c r="B607" s="25" t="s">
        <v>658</v>
      </c>
      <c r="C607" s="25" t="s">
        <v>1490</v>
      </c>
      <c r="D607" s="25" t="s">
        <v>1386</v>
      </c>
      <c r="E607" s="25" t="s">
        <v>658</v>
      </c>
      <c r="F607" s="42" t="s">
        <v>1435</v>
      </c>
      <c r="G607" s="25" t="str">
        <f t="shared" si="18"/>
        <v>RVRRODMINVL</v>
      </c>
      <c r="H607" s="42" t="str">
        <f t="shared" si="19"/>
        <v>1~100</v>
      </c>
      <c r="I607" s="42" t="s">
        <v>2122</v>
      </c>
      <c r="J607" s="42" t="s">
        <v>2124</v>
      </c>
      <c r="K607" s="40" t="s">
        <v>2123</v>
      </c>
    </row>
    <row r="608" spans="1:11" ht="17.25">
      <c r="A608" s="28">
        <v>604</v>
      </c>
      <c r="B608" s="25" t="s">
        <v>659</v>
      </c>
      <c r="C608" s="25" t="s">
        <v>1491</v>
      </c>
      <c r="D608" s="25" t="s">
        <v>1387</v>
      </c>
      <c r="E608" s="25" t="s">
        <v>659</v>
      </c>
      <c r="F608" s="42" t="s">
        <v>1432</v>
      </c>
      <c r="G608" s="25" t="str">
        <f t="shared" si="18"/>
        <v>RVRCELIFILEPATHNM</v>
      </c>
      <c r="H608" s="42" t="str">
        <f t="shared" si="19"/>
        <v>1~300</v>
      </c>
      <c r="I608" s="42" t="s">
        <v>2122</v>
      </c>
      <c r="J608" s="42" t="s">
        <v>2124</v>
      </c>
      <c r="K608" s="40" t="s">
        <v>2123</v>
      </c>
    </row>
    <row r="609" spans="1:11" ht="17.25">
      <c r="A609" s="28">
        <v>605</v>
      </c>
      <c r="B609" s="25" t="s">
        <v>660</v>
      </c>
      <c r="C609" s="25" t="s">
        <v>1492</v>
      </c>
      <c r="D609" s="25" t="s">
        <v>1388</v>
      </c>
      <c r="E609" s="25" t="s">
        <v>660</v>
      </c>
      <c r="F609" s="42" t="s">
        <v>1432</v>
      </c>
      <c r="G609" s="25" t="str">
        <f t="shared" si="18"/>
        <v>RVRCELIFILENM</v>
      </c>
      <c r="H609" s="42" t="str">
        <f t="shared" si="19"/>
        <v>1~300</v>
      </c>
      <c r="I609" s="42" t="s">
        <v>2122</v>
      </c>
      <c r="J609" s="42" t="s">
        <v>2124</v>
      </c>
      <c r="K609" s="40" t="s">
        <v>2123</v>
      </c>
    </row>
    <row r="610" spans="1:11" ht="17.25">
      <c r="A610" s="28">
        <v>606</v>
      </c>
      <c r="B610" s="25" t="s">
        <v>661</v>
      </c>
      <c r="C610" s="25" t="s">
        <v>1493</v>
      </c>
      <c r="D610" s="25" t="s">
        <v>1389</v>
      </c>
      <c r="E610" s="25" t="s">
        <v>661</v>
      </c>
      <c r="F610" s="42" t="s">
        <v>1433</v>
      </c>
      <c r="G610" s="25" t="str">
        <f t="shared" si="18"/>
        <v>FNCTID</v>
      </c>
      <c r="H610" s="42" t="str">
        <f t="shared" si="19"/>
        <v>1~20</v>
      </c>
      <c r="I610" s="42" t="s">
        <v>2122</v>
      </c>
      <c r="J610" s="42" t="s">
        <v>2124</v>
      </c>
      <c r="K610" s="40" t="s">
        <v>2123</v>
      </c>
    </row>
    <row r="611" spans="1:11" ht="17.25">
      <c r="A611" s="28">
        <v>607</v>
      </c>
      <c r="B611" s="25" t="s">
        <v>662</v>
      </c>
      <c r="C611" s="25" t="s">
        <v>1494</v>
      </c>
      <c r="D611" s="25" t="s">
        <v>1390</v>
      </c>
      <c r="E611" s="25" t="s">
        <v>662</v>
      </c>
      <c r="F611" s="42" t="s">
        <v>1433</v>
      </c>
      <c r="G611" s="25" t="str">
        <f t="shared" si="18"/>
        <v>FNCTRFNTID</v>
      </c>
      <c r="H611" s="42" t="str">
        <f t="shared" si="19"/>
        <v>1~20</v>
      </c>
      <c r="I611" s="42" t="s">
        <v>2122</v>
      </c>
      <c r="J611" s="42" t="s">
        <v>2124</v>
      </c>
      <c r="K611" s="40" t="s">
        <v>2123</v>
      </c>
    </row>
    <row r="612" spans="1:11" ht="17.25">
      <c r="A612" s="28">
        <v>608</v>
      </c>
      <c r="B612" s="25" t="s">
        <v>663</v>
      </c>
      <c r="C612" s="25" t="s">
        <v>1495</v>
      </c>
      <c r="D612" s="25" t="s">
        <v>1391</v>
      </c>
      <c r="E612" s="25" t="s">
        <v>781</v>
      </c>
      <c r="F612" s="42" t="s">
        <v>1473</v>
      </c>
      <c r="G612" s="25" t="str">
        <f t="shared" si="18"/>
        <v>ADMDSTNM</v>
      </c>
      <c r="H612" s="42" t="str">
        <f t="shared" si="19"/>
        <v>1~40</v>
      </c>
      <c r="I612" s="42" t="s">
        <v>2122</v>
      </c>
      <c r="J612" s="42" t="s">
        <v>2124</v>
      </c>
      <c r="K612" s="40" t="s">
        <v>2123</v>
      </c>
    </row>
    <row r="613" spans="1:11" ht="17.25">
      <c r="A613" s="28">
        <v>609</v>
      </c>
      <c r="B613" s="25" t="s">
        <v>664</v>
      </c>
      <c r="C613" s="25" t="s">
        <v>1496</v>
      </c>
      <c r="D613" s="25" t="s">
        <v>1392</v>
      </c>
      <c r="E613" s="25" t="s">
        <v>664</v>
      </c>
      <c r="F613" s="42" t="s">
        <v>1433</v>
      </c>
      <c r="G613" s="25" t="str">
        <f t="shared" si="18"/>
        <v>HDERLOGOFILEID</v>
      </c>
      <c r="H613" s="42" t="str">
        <f t="shared" si="19"/>
        <v>1~20</v>
      </c>
      <c r="I613" s="42" t="s">
        <v>2122</v>
      </c>
      <c r="J613" s="42" t="s">
        <v>2124</v>
      </c>
      <c r="K613" s="40" t="s">
        <v>2123</v>
      </c>
    </row>
    <row r="614" spans="1:11" ht="17.25">
      <c r="A614" s="28">
        <v>610</v>
      </c>
      <c r="B614" s="25" t="s">
        <v>665</v>
      </c>
      <c r="C614" s="25" t="s">
        <v>1497</v>
      </c>
      <c r="D614" s="25" t="s">
        <v>1393</v>
      </c>
      <c r="E614" s="25" t="s">
        <v>665</v>
      </c>
      <c r="F614" s="42" t="s">
        <v>1433</v>
      </c>
      <c r="G614" s="25" t="str">
        <f t="shared" si="18"/>
        <v>HDERMENUID</v>
      </c>
      <c r="H614" s="42" t="str">
        <f t="shared" si="19"/>
        <v>1~20</v>
      </c>
      <c r="I614" s="42" t="s">
        <v>2122</v>
      </c>
      <c r="J614" s="42" t="s">
        <v>2124</v>
      </c>
      <c r="K614" s="40" t="s">
        <v>2123</v>
      </c>
    </row>
    <row r="615" spans="1:11" ht="34.5">
      <c r="A615" s="28">
        <v>611</v>
      </c>
      <c r="B615" s="25" t="s">
        <v>666</v>
      </c>
      <c r="C615" s="25" t="s">
        <v>1498</v>
      </c>
      <c r="D615" s="25" t="s">
        <v>1394</v>
      </c>
      <c r="E615" s="25" t="s">
        <v>666</v>
      </c>
      <c r="F615" s="42" t="s">
        <v>1447</v>
      </c>
      <c r="G615" s="25" t="str">
        <f t="shared" si="18"/>
        <v>HDERMENUFONTMPHSCOLRVL</v>
      </c>
      <c r="H615" s="42" t="str">
        <f t="shared" si="19"/>
        <v>1~10</v>
      </c>
      <c r="I615" s="42" t="s">
        <v>2122</v>
      </c>
      <c r="J615" s="42" t="s">
        <v>2124</v>
      </c>
      <c r="K615" s="40" t="s">
        <v>2123</v>
      </c>
    </row>
    <row r="616" spans="1:11" ht="17.25">
      <c r="A616" s="28">
        <v>612</v>
      </c>
      <c r="B616" s="25" t="s">
        <v>667</v>
      </c>
      <c r="C616" s="25" t="s">
        <v>1499</v>
      </c>
      <c r="D616" s="25" t="s">
        <v>1395</v>
      </c>
      <c r="E616" s="25" t="s">
        <v>667</v>
      </c>
      <c r="F616" s="42" t="s">
        <v>1447</v>
      </c>
      <c r="G616" s="25" t="str">
        <f t="shared" si="18"/>
        <v>HDERMENUFONTCOLRVL</v>
      </c>
      <c r="H616" s="42" t="str">
        <f t="shared" si="19"/>
        <v>1~10</v>
      </c>
      <c r="I616" s="42" t="s">
        <v>2122</v>
      </c>
      <c r="J616" s="42" t="s">
        <v>2124</v>
      </c>
      <c r="K616" s="40" t="s">
        <v>2123</v>
      </c>
    </row>
    <row r="617" spans="1:11" ht="17.25">
      <c r="A617" s="28">
        <v>613</v>
      </c>
      <c r="B617" s="25" t="s">
        <v>668</v>
      </c>
      <c r="C617" s="25" t="s">
        <v>1500</v>
      </c>
      <c r="D617" s="25" t="s">
        <v>1396</v>
      </c>
      <c r="E617" s="25" t="s">
        <v>668</v>
      </c>
      <c r="F617" s="42" t="s">
        <v>1440</v>
      </c>
      <c r="G617" s="25" t="str">
        <f t="shared" si="18"/>
        <v>HDERBCRNUSEYN</v>
      </c>
      <c r="H617" s="42" t="str">
        <f t="shared" si="19"/>
        <v>1~1</v>
      </c>
      <c r="I617" s="42" t="s">
        <v>2122</v>
      </c>
      <c r="J617" s="42" t="s">
        <v>2124</v>
      </c>
      <c r="K617" s="40" t="s">
        <v>2123</v>
      </c>
    </row>
    <row r="618" spans="1:11" ht="17.25">
      <c r="A618" s="28">
        <v>614</v>
      </c>
      <c r="B618" s="25" t="s">
        <v>669</v>
      </c>
      <c r="C618" s="25" t="s">
        <v>1501</v>
      </c>
      <c r="D618" s="25" t="s">
        <v>1397</v>
      </c>
      <c r="E618" s="25" t="s">
        <v>669</v>
      </c>
      <c r="F618" s="42" t="s">
        <v>1447</v>
      </c>
      <c r="G618" s="25" t="str">
        <f t="shared" si="18"/>
        <v>HDERBCRNCOLRVL</v>
      </c>
      <c r="H618" s="42" t="str">
        <f t="shared" si="19"/>
        <v>1~10</v>
      </c>
      <c r="I618" s="42" t="s">
        <v>2122</v>
      </c>
      <c r="J618" s="42" t="s">
        <v>2124</v>
      </c>
      <c r="K618" s="40" t="s">
        <v>2123</v>
      </c>
    </row>
    <row r="619" spans="1:11" ht="17.25">
      <c r="A619" s="28">
        <v>615</v>
      </c>
      <c r="B619" s="25" t="s">
        <v>670</v>
      </c>
      <c r="C619" s="25" t="s">
        <v>1502</v>
      </c>
      <c r="D619" s="25" t="s">
        <v>1398</v>
      </c>
      <c r="E619" s="25" t="s">
        <v>670</v>
      </c>
      <c r="F619" s="42" t="s">
        <v>1440</v>
      </c>
      <c r="G619" s="25" t="str">
        <f t="shared" si="18"/>
        <v>HDERBCRNCOLRYN</v>
      </c>
      <c r="H619" s="42" t="str">
        <f t="shared" si="19"/>
        <v>1~1</v>
      </c>
      <c r="I619" s="42" t="s">
        <v>2122</v>
      </c>
      <c r="J619" s="42" t="s">
        <v>2124</v>
      </c>
      <c r="K619" s="40" t="s">
        <v>2123</v>
      </c>
    </row>
    <row r="620" spans="1:11" ht="34.5">
      <c r="A620" s="28">
        <v>616</v>
      </c>
      <c r="B620" s="25" t="s">
        <v>671</v>
      </c>
      <c r="C620" s="25" t="s">
        <v>1503</v>
      </c>
      <c r="D620" s="25" t="s">
        <v>1399</v>
      </c>
      <c r="E620" s="25" t="s">
        <v>671</v>
      </c>
      <c r="F620" s="42" t="s">
        <v>1464</v>
      </c>
      <c r="G620" s="25" t="str">
        <f t="shared" si="18"/>
        <v>HDERBCRNCOLRCLRTYCNT</v>
      </c>
      <c r="H620" s="42" t="str">
        <f t="shared" si="19"/>
        <v>1~42</v>
      </c>
      <c r="I620" s="42" t="s">
        <v>2122</v>
      </c>
      <c r="J620" s="42" t="s">
        <v>2124</v>
      </c>
      <c r="K620" s="40" t="s">
        <v>2123</v>
      </c>
    </row>
    <row r="621" spans="1:11" ht="17.25">
      <c r="A621" s="28">
        <v>617</v>
      </c>
      <c r="B621" s="25" t="s">
        <v>672</v>
      </c>
      <c r="C621" s="25" t="s">
        <v>1504</v>
      </c>
      <c r="D621" s="25" t="s">
        <v>1400</v>
      </c>
      <c r="E621" s="25" t="s">
        <v>672</v>
      </c>
      <c r="F621" s="42" t="s">
        <v>1433</v>
      </c>
      <c r="G621" s="25" t="str">
        <f t="shared" si="18"/>
        <v>HDERBCRNFILEID</v>
      </c>
      <c r="H621" s="42" t="str">
        <f t="shared" si="19"/>
        <v>1~20</v>
      </c>
      <c r="I621" s="42" t="s">
        <v>2122</v>
      </c>
      <c r="J621" s="42" t="s">
        <v>2124</v>
      </c>
      <c r="K621" s="40" t="s">
        <v>2123</v>
      </c>
    </row>
    <row r="622" spans="1:11" ht="17.25">
      <c r="A622" s="28">
        <v>618</v>
      </c>
      <c r="B622" s="25" t="s">
        <v>673</v>
      </c>
      <c r="C622" s="25" t="s">
        <v>1505</v>
      </c>
      <c r="D622" s="25" t="s">
        <v>1401</v>
      </c>
      <c r="E622" s="25" t="s">
        <v>673</v>
      </c>
      <c r="F622" s="42" t="s">
        <v>1432</v>
      </c>
      <c r="G622" s="25" t="str">
        <f t="shared" si="18"/>
        <v>GRNDSEXMNLYRNM</v>
      </c>
      <c r="H622" s="42" t="str">
        <f t="shared" si="19"/>
        <v>1~300</v>
      </c>
      <c r="I622" s="42" t="s">
        <v>2122</v>
      </c>
      <c r="J622" s="42" t="s">
        <v>2124</v>
      </c>
      <c r="K622" s="40" t="s">
        <v>2123</v>
      </c>
    </row>
    <row r="623" spans="1:11" ht="17.25">
      <c r="A623" s="28">
        <v>619</v>
      </c>
      <c r="B623" s="25" t="s">
        <v>674</v>
      </c>
      <c r="C623" s="25" t="s">
        <v>1506</v>
      </c>
      <c r="D623" s="25" t="s">
        <v>1402</v>
      </c>
      <c r="E623" s="25" t="s">
        <v>674</v>
      </c>
      <c r="F623" s="42" t="s">
        <v>1443</v>
      </c>
      <c r="G623" s="25" t="str">
        <f t="shared" si="18"/>
        <v>GRNDSEXMNRPTPCN</v>
      </c>
      <c r="H623" s="42" t="str">
        <f t="shared" si="19"/>
        <v>1~4000</v>
      </c>
      <c r="I623" s="42" t="s">
        <v>2122</v>
      </c>
      <c r="J623" s="42" t="s">
        <v>2124</v>
      </c>
      <c r="K623" s="40" t="s">
        <v>2123</v>
      </c>
    </row>
    <row r="624" spans="1:11" ht="17.25">
      <c r="A624" s="28">
        <v>620</v>
      </c>
      <c r="B624" s="25" t="s">
        <v>675</v>
      </c>
      <c r="C624" s="25" t="s">
        <v>1507</v>
      </c>
      <c r="D624" s="25" t="s">
        <v>1403</v>
      </c>
      <c r="E624" s="25" t="s">
        <v>675</v>
      </c>
      <c r="F624" s="42" t="s">
        <v>1432</v>
      </c>
      <c r="G624" s="25" t="str">
        <f t="shared" si="18"/>
        <v>GRNDSEXMNRPTPSMALTTL</v>
      </c>
      <c r="H624" s="42" t="str">
        <f t="shared" si="19"/>
        <v>1~300</v>
      </c>
      <c r="I624" s="42" t="s">
        <v>2122</v>
      </c>
      <c r="J624" s="42" t="s">
        <v>2124</v>
      </c>
      <c r="K624" s="40" t="s">
        <v>2123</v>
      </c>
    </row>
    <row r="625" spans="1:11" ht="34.5">
      <c r="A625" s="28">
        <v>621</v>
      </c>
      <c r="B625" s="25" t="s">
        <v>676</v>
      </c>
      <c r="C625" s="25" t="s">
        <v>1508</v>
      </c>
      <c r="D625" s="25" t="s">
        <v>1404</v>
      </c>
      <c r="E625" s="25" t="s">
        <v>676</v>
      </c>
      <c r="F625" s="42" t="s">
        <v>1433</v>
      </c>
      <c r="G625" s="25" t="str">
        <f t="shared" si="18"/>
        <v>GRNDSEXMNRPTPSMALTTLID</v>
      </c>
      <c r="H625" s="42" t="str">
        <f t="shared" si="19"/>
        <v>1~20</v>
      </c>
      <c r="I625" s="42" t="s">
        <v>2122</v>
      </c>
      <c r="J625" s="42" t="s">
        <v>2124</v>
      </c>
      <c r="K625" s="40" t="s">
        <v>2123</v>
      </c>
    </row>
    <row r="626" spans="1:11" ht="17.25">
      <c r="A626" s="28">
        <v>622</v>
      </c>
      <c r="B626" s="25" t="s">
        <v>677</v>
      </c>
      <c r="C626" s="25" t="s">
        <v>1509</v>
      </c>
      <c r="D626" s="25" t="s">
        <v>1405</v>
      </c>
      <c r="E626" s="25" t="s">
        <v>677</v>
      </c>
      <c r="F626" s="42" t="s">
        <v>1433</v>
      </c>
      <c r="G626" s="25" t="str">
        <f t="shared" si="18"/>
        <v>GRNDSEXMNRPTPID</v>
      </c>
      <c r="H626" s="42" t="str">
        <f t="shared" si="19"/>
        <v>1~20</v>
      </c>
      <c r="I626" s="42" t="s">
        <v>2122</v>
      </c>
      <c r="J626" s="42" t="s">
        <v>2124</v>
      </c>
      <c r="K626" s="40" t="s">
        <v>2123</v>
      </c>
    </row>
    <row r="627" spans="1:11" ht="34.5">
      <c r="A627" s="28">
        <v>623</v>
      </c>
      <c r="B627" s="25" t="s">
        <v>678</v>
      </c>
      <c r="C627" s="25" t="s">
        <v>1510</v>
      </c>
      <c r="D627" s="25" t="s">
        <v>1406</v>
      </c>
      <c r="E627" s="25" t="s">
        <v>678</v>
      </c>
      <c r="F627" s="42" t="s">
        <v>1432</v>
      </c>
      <c r="G627" s="25" t="str">
        <f t="shared" si="18"/>
        <v>GRNDSEXMNRPTPFORMNM</v>
      </c>
      <c r="H627" s="42" t="str">
        <f t="shared" si="19"/>
        <v>1~300</v>
      </c>
      <c r="I627" s="42" t="s">
        <v>2122</v>
      </c>
      <c r="J627" s="42" t="s">
        <v>2124</v>
      </c>
      <c r="K627" s="40" t="s">
        <v>2123</v>
      </c>
    </row>
    <row r="628" spans="1:11" ht="34.5">
      <c r="A628" s="28">
        <v>624</v>
      </c>
      <c r="B628" s="25" t="s">
        <v>679</v>
      </c>
      <c r="C628" s="25" t="s">
        <v>1511</v>
      </c>
      <c r="D628" s="25" t="s">
        <v>1407</v>
      </c>
      <c r="E628" s="25" t="s">
        <v>679</v>
      </c>
      <c r="F628" s="42" t="s">
        <v>1443</v>
      </c>
      <c r="G628" s="25" t="str">
        <f t="shared" si="18"/>
        <v>GRNDSEXMNRPTPFORMSMALTTLCN</v>
      </c>
      <c r="H628" s="42" t="str">
        <f t="shared" si="19"/>
        <v>1~4000</v>
      </c>
      <c r="I628" s="42" t="s">
        <v>2122</v>
      </c>
      <c r="J628" s="42" t="s">
        <v>2124</v>
      </c>
      <c r="K628" s="40" t="s">
        <v>2123</v>
      </c>
    </row>
    <row r="629" spans="1:11" ht="17.25">
      <c r="A629" s="28">
        <v>625</v>
      </c>
      <c r="B629" s="25" t="s">
        <v>680</v>
      </c>
      <c r="C629" s="25" t="s">
        <v>1512</v>
      </c>
      <c r="D629" s="25" t="s">
        <v>1408</v>
      </c>
      <c r="E629" s="25" t="s">
        <v>680</v>
      </c>
      <c r="F629" s="42" t="s">
        <v>1433</v>
      </c>
      <c r="G629" s="25" t="str">
        <f t="shared" si="18"/>
        <v>GRNDSEXMNRPTPFORMID</v>
      </c>
      <c r="H629" s="42" t="str">
        <f t="shared" si="19"/>
        <v>1~20</v>
      </c>
      <c r="I629" s="42" t="s">
        <v>2122</v>
      </c>
      <c r="J629" s="42" t="s">
        <v>2124</v>
      </c>
      <c r="K629" s="40" t="s">
        <v>2123</v>
      </c>
    </row>
    <row r="630" spans="1:11" ht="34.5">
      <c r="A630" s="28">
        <v>626</v>
      </c>
      <c r="B630" s="25" t="s">
        <v>681</v>
      </c>
      <c r="C630" s="25" t="s">
        <v>1513</v>
      </c>
      <c r="D630" s="25" t="s">
        <v>1409</v>
      </c>
      <c r="E630" s="25" t="s">
        <v>681</v>
      </c>
      <c r="F630" s="42" t="s">
        <v>1435</v>
      </c>
      <c r="G630" s="25" t="str">
        <f t="shared" si="18"/>
        <v>GRNDSEXMNRPTPFORMTYPEVL</v>
      </c>
      <c r="H630" s="42" t="str">
        <f t="shared" si="19"/>
        <v>1~100</v>
      </c>
      <c r="I630" s="42" t="s">
        <v>2122</v>
      </c>
      <c r="J630" s="42" t="s">
        <v>2124</v>
      </c>
      <c r="K630" s="40" t="s">
        <v>2123</v>
      </c>
    </row>
    <row r="631" spans="1:11" ht="17.25">
      <c r="A631" s="28">
        <v>627</v>
      </c>
      <c r="B631" s="25" t="s">
        <v>682</v>
      </c>
      <c r="C631" s="25" t="s">
        <v>1514</v>
      </c>
      <c r="D631" s="25" t="s">
        <v>1410</v>
      </c>
      <c r="E631" s="25" t="s">
        <v>682</v>
      </c>
      <c r="F631" s="42" t="s">
        <v>1432</v>
      </c>
      <c r="G631" s="25" t="str">
        <f t="shared" si="18"/>
        <v>GRNDSEXMNRPTPTTL</v>
      </c>
      <c r="H631" s="42" t="str">
        <f t="shared" si="19"/>
        <v>1~300</v>
      </c>
      <c r="I631" s="42" t="s">
        <v>2122</v>
      </c>
      <c r="J631" s="42" t="s">
        <v>2124</v>
      </c>
      <c r="K631" s="40" t="s">
        <v>2123</v>
      </c>
    </row>
    <row r="632" spans="1:11" ht="34.5">
      <c r="A632" s="28">
        <v>628</v>
      </c>
      <c r="B632" s="25" t="s">
        <v>683</v>
      </c>
      <c r="C632" s="25" t="s">
        <v>1515</v>
      </c>
      <c r="D632" s="25" t="s">
        <v>1411</v>
      </c>
      <c r="E632" s="25" t="s">
        <v>683</v>
      </c>
      <c r="F632" s="42" t="s">
        <v>1432</v>
      </c>
      <c r="G632" s="25" t="str">
        <f t="shared" si="18"/>
        <v>GRNDSEXMNFORMSMALTTL</v>
      </c>
      <c r="H632" s="42" t="str">
        <f t="shared" si="19"/>
        <v>1~300</v>
      </c>
      <c r="I632" s="42" t="s">
        <v>2122</v>
      </c>
      <c r="J632" s="42" t="s">
        <v>2124</v>
      </c>
      <c r="K632" s="40" t="s">
        <v>2123</v>
      </c>
    </row>
    <row r="633" spans="1:11" ht="34.5">
      <c r="A633" s="28">
        <v>629</v>
      </c>
      <c r="B633" s="25" t="s">
        <v>684</v>
      </c>
      <c r="C633" s="25" t="s">
        <v>1516</v>
      </c>
      <c r="D633" s="25" t="s">
        <v>1412</v>
      </c>
      <c r="E633" s="25" t="s">
        <v>684</v>
      </c>
      <c r="F633" s="42" t="s">
        <v>1434</v>
      </c>
      <c r="G633" s="25" t="str">
        <f t="shared" si="18"/>
        <v>GRNDSEXMNFORMSMALTTLSN</v>
      </c>
      <c r="H633" s="42" t="str">
        <f t="shared" si="19"/>
        <v>1~22</v>
      </c>
      <c r="I633" s="42" t="s">
        <v>2122</v>
      </c>
      <c r="J633" s="42" t="s">
        <v>2124</v>
      </c>
      <c r="K633" s="40" t="s">
        <v>2123</v>
      </c>
    </row>
    <row r="634" spans="1:11" ht="34.5">
      <c r="A634" s="28">
        <v>630</v>
      </c>
      <c r="B634" s="25" t="s">
        <v>685</v>
      </c>
      <c r="C634" s="25" t="s">
        <v>1517</v>
      </c>
      <c r="D634" s="25" t="s">
        <v>1413</v>
      </c>
      <c r="E634" s="25" t="s">
        <v>685</v>
      </c>
      <c r="F634" s="42" t="s">
        <v>1432</v>
      </c>
      <c r="G634" s="25" t="str">
        <f t="shared" si="18"/>
        <v>GRNDSEXMNORGNLFILENM</v>
      </c>
      <c r="H634" s="42" t="str">
        <f t="shared" si="19"/>
        <v>1~300</v>
      </c>
      <c r="I634" s="42" t="s">
        <v>2122</v>
      </c>
      <c r="J634" s="42" t="s">
        <v>2124</v>
      </c>
      <c r="K634" s="40" t="s">
        <v>2123</v>
      </c>
    </row>
    <row r="635" spans="1:11" ht="17.25">
      <c r="A635" s="28">
        <v>631</v>
      </c>
      <c r="B635" s="25" t="s">
        <v>686</v>
      </c>
      <c r="C635" s="25" t="s">
        <v>1518</v>
      </c>
      <c r="D635" s="25" t="s">
        <v>1414</v>
      </c>
      <c r="E635" s="25" t="s">
        <v>686</v>
      </c>
      <c r="F635" s="42" t="s">
        <v>1451</v>
      </c>
      <c r="G635" s="25" t="str">
        <f t="shared" si="18"/>
        <v>GRNDSEXMNWRTDT</v>
      </c>
      <c r="H635" s="42" t="s">
        <v>2127</v>
      </c>
      <c r="I635" s="42" t="s">
        <v>2122</v>
      </c>
      <c r="J635" s="42" t="s">
        <v>2124</v>
      </c>
      <c r="K635" s="40" t="s">
        <v>2123</v>
      </c>
    </row>
    <row r="636" spans="1:11" ht="17.25">
      <c r="A636" s="28">
        <v>632</v>
      </c>
      <c r="B636" s="25" t="s">
        <v>687</v>
      </c>
      <c r="C636" s="25" t="s">
        <v>1519</v>
      </c>
      <c r="D636" s="25" t="s">
        <v>1415</v>
      </c>
      <c r="E636" s="25" t="s">
        <v>687</v>
      </c>
      <c r="F636" s="42" t="s">
        <v>1432</v>
      </c>
      <c r="G636" s="25" t="str">
        <f t="shared" si="18"/>
        <v>GRNDSEXMNFILEPATHNM</v>
      </c>
      <c r="H636" s="42" t="str">
        <f t="shared" si="19"/>
        <v>1~300</v>
      </c>
      <c r="I636" s="42" t="s">
        <v>2122</v>
      </c>
      <c r="J636" s="42" t="s">
        <v>2124</v>
      </c>
      <c r="K636" s="40" t="s">
        <v>2123</v>
      </c>
    </row>
    <row r="637" spans="1:11" ht="17.25">
      <c r="A637" s="28">
        <v>633</v>
      </c>
      <c r="B637" s="25" t="s">
        <v>688</v>
      </c>
      <c r="C637" s="25" t="s">
        <v>1520</v>
      </c>
      <c r="D637" s="25" t="s">
        <v>1416</v>
      </c>
      <c r="E637" s="25" t="s">
        <v>688</v>
      </c>
      <c r="F637" s="42" t="s">
        <v>1432</v>
      </c>
      <c r="G637" s="25" t="str">
        <f t="shared" si="18"/>
        <v>GRNDSEXMNFILENM</v>
      </c>
      <c r="H637" s="42" t="str">
        <f t="shared" si="19"/>
        <v>1~300</v>
      </c>
      <c r="I637" s="42" t="s">
        <v>2122</v>
      </c>
      <c r="J637" s="42" t="s">
        <v>2124</v>
      </c>
      <c r="K637" s="40" t="s">
        <v>2123</v>
      </c>
    </row>
    <row r="638" spans="1:11" ht="17.25">
      <c r="A638" s="28">
        <v>634</v>
      </c>
      <c r="B638" s="25" t="s">
        <v>689</v>
      </c>
      <c r="C638" s="25" t="s">
        <v>1521</v>
      </c>
      <c r="D638" s="25" t="s">
        <v>1417</v>
      </c>
      <c r="E638" s="25" t="s">
        <v>689</v>
      </c>
      <c r="F638" s="42" t="s">
        <v>1443</v>
      </c>
      <c r="G638" s="25" t="str">
        <f t="shared" si="18"/>
        <v>GRNDSEXMNFILEEXPLN</v>
      </c>
      <c r="H638" s="42" t="str">
        <f t="shared" si="19"/>
        <v>1~4000</v>
      </c>
      <c r="I638" s="42" t="s">
        <v>2122</v>
      </c>
      <c r="J638" s="42" t="s">
        <v>2124</v>
      </c>
      <c r="K638" s="40" t="s">
        <v>2123</v>
      </c>
    </row>
    <row r="639" spans="1:11" ht="17.25">
      <c r="A639" s="28">
        <v>635</v>
      </c>
      <c r="B639" s="25" t="s">
        <v>690</v>
      </c>
      <c r="C639" s="25" t="s">
        <v>1522</v>
      </c>
      <c r="D639" s="25" t="s">
        <v>1418</v>
      </c>
      <c r="E639" s="25" t="s">
        <v>690</v>
      </c>
      <c r="F639" s="42" t="s">
        <v>1433</v>
      </c>
      <c r="G639" s="25" t="str">
        <f t="shared" si="18"/>
        <v>GRNDSEXMNFILEID</v>
      </c>
      <c r="H639" s="42" t="str">
        <f t="shared" si="19"/>
        <v>1~20</v>
      </c>
      <c r="I639" s="42" t="s">
        <v>2122</v>
      </c>
      <c r="J639" s="42" t="s">
        <v>2124</v>
      </c>
      <c r="K639" s="40" t="s">
        <v>2123</v>
      </c>
    </row>
    <row r="640" spans="1:11" ht="17.25">
      <c r="A640" s="28">
        <v>636</v>
      </c>
      <c r="B640" s="25" t="s">
        <v>691</v>
      </c>
      <c r="C640" s="25" t="s">
        <v>1523</v>
      </c>
      <c r="D640" s="25" t="s">
        <v>1419</v>
      </c>
      <c r="E640" s="25" t="s">
        <v>691</v>
      </c>
      <c r="F640" s="42" t="s">
        <v>1436</v>
      </c>
      <c r="G640" s="25" t="str">
        <f t="shared" si="18"/>
        <v>GRNDSEXMNFILECAY</v>
      </c>
      <c r="H640" s="42" t="str">
        <f t="shared" si="19"/>
        <v>1~14</v>
      </c>
      <c r="I640" s="42" t="s">
        <v>2122</v>
      </c>
      <c r="J640" s="42" t="s">
        <v>2124</v>
      </c>
      <c r="K640" s="40" t="s">
        <v>2123</v>
      </c>
    </row>
    <row r="641" spans="1:11" ht="17.25">
      <c r="A641" s="28">
        <v>637</v>
      </c>
      <c r="B641" s="25" t="s">
        <v>692</v>
      </c>
      <c r="C641" s="25" t="s">
        <v>1524</v>
      </c>
      <c r="D641" s="25" t="s">
        <v>1420</v>
      </c>
      <c r="E641" s="25" t="s">
        <v>692</v>
      </c>
      <c r="F641" s="42" t="s">
        <v>1434</v>
      </c>
      <c r="G641" s="25" t="str">
        <f t="shared" si="18"/>
        <v>GRNDSEXMNFILESN</v>
      </c>
      <c r="H641" s="42" t="str">
        <f t="shared" si="19"/>
        <v>1~22</v>
      </c>
      <c r="I641" s="42" t="s">
        <v>2122</v>
      </c>
      <c r="J641" s="42" t="s">
        <v>2124</v>
      </c>
      <c r="K641" s="40" t="s">
        <v>2123</v>
      </c>
    </row>
    <row r="642" spans="1:11" ht="17.25">
      <c r="A642" s="28">
        <v>638</v>
      </c>
      <c r="B642" s="25" t="s">
        <v>693</v>
      </c>
      <c r="C642" s="25" t="s">
        <v>1525</v>
      </c>
      <c r="D642" s="25" t="s">
        <v>1421</v>
      </c>
      <c r="E642" s="25" t="s">
        <v>693</v>
      </c>
      <c r="F642" s="42" t="s">
        <v>1472</v>
      </c>
      <c r="G642" s="25" t="str">
        <f t="shared" si="18"/>
        <v>GRNDSEXMNFILEEXTNNM</v>
      </c>
      <c r="H642" s="42" t="str">
        <f t="shared" si="19"/>
        <v>1~5</v>
      </c>
      <c r="I642" s="42" t="s">
        <v>2122</v>
      </c>
      <c r="J642" s="42" t="s">
        <v>2124</v>
      </c>
      <c r="K642" s="40" t="s">
        <v>2123</v>
      </c>
    </row>
    <row r="643" spans="1:11" ht="17.25">
      <c r="A643" s="28">
        <v>639</v>
      </c>
      <c r="B643" s="25" t="s">
        <v>694</v>
      </c>
      <c r="C643" s="25" t="s">
        <v>1526</v>
      </c>
      <c r="D643" s="25" t="s">
        <v>1422</v>
      </c>
      <c r="E643" s="25" t="s">
        <v>694</v>
      </c>
      <c r="F643" s="42" t="s">
        <v>1433</v>
      </c>
      <c r="G643" s="25" t="str">
        <f t="shared" si="18"/>
        <v>GRNDSEXMNFTRID</v>
      </c>
      <c r="H643" s="42" t="str">
        <f t="shared" si="19"/>
        <v>1~20</v>
      </c>
      <c r="I643" s="42" t="s">
        <v>2122</v>
      </c>
      <c r="J643" s="42" t="s">
        <v>2124</v>
      </c>
      <c r="K643" s="40" t="s">
        <v>2123</v>
      </c>
    </row>
    <row r="644" spans="1:11" ht="17.25">
      <c r="A644" s="28">
        <v>640</v>
      </c>
      <c r="B644" s="25" t="s">
        <v>695</v>
      </c>
      <c r="C644" s="25" t="s">
        <v>1527</v>
      </c>
      <c r="D644" s="25" t="s">
        <v>1423</v>
      </c>
      <c r="E644" s="25" t="s">
        <v>695</v>
      </c>
      <c r="F644" s="42" t="s">
        <v>1432</v>
      </c>
      <c r="G644" s="25" t="str">
        <f t="shared" si="18"/>
        <v>GRNDSEXMNFTRTYPENM</v>
      </c>
      <c r="H644" s="42" t="str">
        <f t="shared" si="19"/>
        <v>1~300</v>
      </c>
      <c r="I644" s="42" t="s">
        <v>2122</v>
      </c>
      <c r="J644" s="42" t="s">
        <v>2124</v>
      </c>
      <c r="K644" s="40" t="s">
        <v>2123</v>
      </c>
    </row>
    <row r="645" spans="1:11" ht="17.25">
      <c r="A645" s="28">
        <v>641</v>
      </c>
      <c r="B645" s="25" t="s">
        <v>696</v>
      </c>
      <c r="C645" s="25" t="s">
        <v>1528</v>
      </c>
      <c r="D645" s="25" t="s">
        <v>1424</v>
      </c>
      <c r="E645" s="25" t="s">
        <v>696</v>
      </c>
      <c r="F645" s="42" t="s">
        <v>1465</v>
      </c>
      <c r="G645" s="25" t="str">
        <f t="shared" si="18"/>
        <v>GRNDSADDR</v>
      </c>
      <c r="H645" s="42" t="str">
        <f t="shared" si="19"/>
        <v>1~320</v>
      </c>
      <c r="I645" s="42" t="s">
        <v>2122</v>
      </c>
      <c r="J645" s="42" t="s">
        <v>2124</v>
      </c>
      <c r="K645" s="40" t="s">
        <v>2123</v>
      </c>
    </row>
    <row r="646" spans="1:11" ht="17.25">
      <c r="A646" s="28">
        <v>642</v>
      </c>
      <c r="B646" s="25" t="s">
        <v>697</v>
      </c>
      <c r="C646" s="25" t="s">
        <v>1529</v>
      </c>
      <c r="D646" s="25" t="s">
        <v>1425</v>
      </c>
      <c r="E646" s="25" t="s">
        <v>697</v>
      </c>
      <c r="F646" s="42" t="s">
        <v>1443</v>
      </c>
      <c r="G646" s="25" t="str">
        <f t="shared" ref="G646:G652" si="20">SUBSTITUTE(D646, "_", "")</f>
        <v>SCRNDATCN</v>
      </c>
      <c r="H646" s="42" t="str">
        <f t="shared" ref="H646:H652" si="21">CONCATENATE("1~", _xlfn.REGEXREPLACE(F646, "[^0-9]",""))</f>
        <v>1~4000</v>
      </c>
      <c r="I646" s="42" t="s">
        <v>2122</v>
      </c>
      <c r="J646" s="42" t="s">
        <v>2124</v>
      </c>
      <c r="K646" s="40" t="s">
        <v>2123</v>
      </c>
    </row>
    <row r="647" spans="1:11" ht="17.25">
      <c r="A647" s="28">
        <v>643</v>
      </c>
      <c r="B647" s="25" t="s">
        <v>698</v>
      </c>
      <c r="C647" s="25" t="s">
        <v>1530</v>
      </c>
      <c r="D647" s="25" t="s">
        <v>1426</v>
      </c>
      <c r="E647" s="25" t="s">
        <v>698</v>
      </c>
      <c r="F647" s="42" t="s">
        <v>1441</v>
      </c>
      <c r="G647" s="25" t="str">
        <f t="shared" si="20"/>
        <v>SCRNDATNO</v>
      </c>
      <c r="H647" s="42" t="str">
        <f t="shared" si="21"/>
        <v>1~100</v>
      </c>
      <c r="I647" s="42" t="s">
        <v>2122</v>
      </c>
      <c r="J647" s="42" t="s">
        <v>2124</v>
      </c>
      <c r="K647" s="40" t="s">
        <v>2123</v>
      </c>
    </row>
    <row r="648" spans="1:11" ht="17.25">
      <c r="A648" s="28">
        <v>644</v>
      </c>
      <c r="B648" s="25" t="s">
        <v>699</v>
      </c>
      <c r="C648" s="25" t="s">
        <v>1531</v>
      </c>
      <c r="D648" s="25" t="s">
        <v>1427</v>
      </c>
      <c r="E648" s="25" t="s">
        <v>699</v>
      </c>
      <c r="F648" s="42" t="s">
        <v>1434</v>
      </c>
      <c r="G648" s="25" t="str">
        <f t="shared" si="20"/>
        <v>SCRNDATSN</v>
      </c>
      <c r="H648" s="42" t="str">
        <f t="shared" si="21"/>
        <v>1~22</v>
      </c>
      <c r="I648" s="42" t="s">
        <v>2122</v>
      </c>
      <c r="J648" s="42" t="s">
        <v>2124</v>
      </c>
      <c r="K648" s="40" t="s">
        <v>2123</v>
      </c>
    </row>
    <row r="649" spans="1:11" ht="17.25">
      <c r="A649" s="28">
        <v>645</v>
      </c>
      <c r="B649" s="25" t="s">
        <v>700</v>
      </c>
      <c r="C649" s="25" t="s">
        <v>1532</v>
      </c>
      <c r="D649" s="25" t="s">
        <v>1428</v>
      </c>
      <c r="E649" s="25" t="s">
        <v>700</v>
      </c>
      <c r="F649" s="42" t="s">
        <v>1441</v>
      </c>
      <c r="G649" s="25" t="str">
        <f t="shared" si="20"/>
        <v>SCRNBTNNO</v>
      </c>
      <c r="H649" s="42" t="str">
        <f t="shared" si="21"/>
        <v>1~100</v>
      </c>
      <c r="I649" s="42" t="s">
        <v>2122</v>
      </c>
      <c r="J649" s="42" t="s">
        <v>2124</v>
      </c>
      <c r="K649" s="40" t="s">
        <v>2123</v>
      </c>
    </row>
    <row r="650" spans="1:11" ht="17.25">
      <c r="A650" s="28">
        <v>646</v>
      </c>
      <c r="B650" s="25" t="s">
        <v>701</v>
      </c>
      <c r="C650" s="25" t="s">
        <v>1533</v>
      </c>
      <c r="D650" s="25" t="s">
        <v>1429</v>
      </c>
      <c r="E650" s="25" t="s">
        <v>701</v>
      </c>
      <c r="F650" s="42" t="s">
        <v>1457</v>
      </c>
      <c r="G650" s="25" t="str">
        <f t="shared" si="20"/>
        <v>SCRNSMALMENUNM</v>
      </c>
      <c r="H650" s="42" t="str">
        <f t="shared" si="21"/>
        <v>1~100</v>
      </c>
      <c r="I650" s="42" t="s">
        <v>2122</v>
      </c>
      <c r="J650" s="42" t="s">
        <v>2124</v>
      </c>
      <c r="K650" s="40" t="s">
        <v>2123</v>
      </c>
    </row>
    <row r="651" spans="1:11" ht="17.25">
      <c r="A651" s="28">
        <v>647</v>
      </c>
      <c r="B651" s="25" t="s">
        <v>702</v>
      </c>
      <c r="C651" s="25" t="s">
        <v>1534</v>
      </c>
      <c r="D651" s="25" t="s">
        <v>1430</v>
      </c>
      <c r="E651" s="25" t="s">
        <v>782</v>
      </c>
      <c r="F651" s="42" t="s">
        <v>1440</v>
      </c>
      <c r="G651" s="25" t="str">
        <f t="shared" si="20"/>
        <v>IDNTYYN</v>
      </c>
      <c r="H651" s="42" t="str">
        <f t="shared" si="21"/>
        <v>1~1</v>
      </c>
      <c r="I651" s="42" t="s">
        <v>2122</v>
      </c>
      <c r="J651" s="42" t="s">
        <v>2124</v>
      </c>
      <c r="K651" s="40" t="s">
        <v>2123</v>
      </c>
    </row>
    <row r="652" spans="1:11" ht="35.25" thickBot="1">
      <c r="A652" s="28">
        <v>648</v>
      </c>
      <c r="B652" s="29" t="s">
        <v>703</v>
      </c>
      <c r="C652" s="29" t="s">
        <v>1535</v>
      </c>
      <c r="D652" s="29" t="s">
        <v>1431</v>
      </c>
      <c r="E652" s="29" t="s">
        <v>783</v>
      </c>
      <c r="F652" s="43" t="s">
        <v>1440</v>
      </c>
      <c r="G652" s="25" t="str">
        <f t="shared" si="20"/>
        <v>VTLZYN</v>
      </c>
      <c r="H652" s="42" t="str">
        <f t="shared" si="21"/>
        <v>1~1</v>
      </c>
      <c r="I652" s="42" t="s">
        <v>2122</v>
      </c>
      <c r="J652" s="42" t="s">
        <v>2124</v>
      </c>
      <c r="K652" s="40" t="s">
        <v>2123</v>
      </c>
    </row>
  </sheetData>
  <mergeCells count="3">
    <mergeCell ref="A1:K1"/>
    <mergeCell ref="A2:B2"/>
    <mergeCell ref="C2:E2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zoomScale="85" zoomScaleNormal="85" workbookViewId="0">
      <selection activeCell="I3" sqref="I3"/>
    </sheetView>
  </sheetViews>
  <sheetFormatPr defaultColWidth="8.88671875" defaultRowHeight="13.5"/>
  <cols>
    <col min="1" max="1" width="7.109375" style="21" customWidth="1"/>
    <col min="2" max="4" width="17.21875" style="21" customWidth="1"/>
    <col min="5" max="5" width="61.77734375" style="21" customWidth="1"/>
    <col min="6" max="10" width="17.21875" style="26" customWidth="1"/>
    <col min="11" max="11" width="16.33203125" style="26" bestFit="1" customWidth="1"/>
    <col min="12" max="16384" width="8.88671875" style="21"/>
  </cols>
  <sheetData>
    <row r="1" spans="1:13" ht="39" customHeight="1">
      <c r="A1" s="63" t="s">
        <v>48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3" s="22" customFormat="1" ht="17.25" customHeight="1">
      <c r="A2" s="33" t="s">
        <v>12</v>
      </c>
      <c r="B2" s="34"/>
      <c r="C2" s="34"/>
      <c r="D2" s="34"/>
      <c r="E2" s="34"/>
      <c r="F2" s="27"/>
      <c r="G2" s="27"/>
      <c r="H2" s="27"/>
      <c r="I2" s="27"/>
      <c r="J2" s="27"/>
      <c r="K2" s="27"/>
      <c r="M2" s="21"/>
    </row>
    <row r="3" spans="1:13" s="22" customFormat="1" ht="17.25" customHeight="1">
      <c r="A3" s="33" t="s">
        <v>19</v>
      </c>
      <c r="B3" s="34"/>
      <c r="C3" s="34"/>
      <c r="D3" s="34"/>
      <c r="E3" s="34"/>
      <c r="F3" s="27"/>
      <c r="G3" s="27"/>
      <c r="H3" s="27"/>
      <c r="I3" s="27"/>
      <c r="J3" s="27"/>
      <c r="K3" s="27"/>
    </row>
    <row r="4" spans="1:13" s="22" customFormat="1" ht="17.25" customHeight="1">
      <c r="A4" s="33" t="s">
        <v>20</v>
      </c>
      <c r="B4" s="35"/>
      <c r="C4" s="35"/>
      <c r="D4" s="35"/>
      <c r="E4" s="35"/>
      <c r="F4" s="27"/>
      <c r="G4" s="27"/>
      <c r="H4" s="27"/>
      <c r="I4" s="27"/>
      <c r="J4" s="27"/>
      <c r="K4" s="27"/>
    </row>
    <row r="5" spans="1:13" s="22" customFormat="1" ht="17.25" customHeight="1">
      <c r="A5" s="33" t="s">
        <v>21</v>
      </c>
      <c r="B5" s="35"/>
      <c r="C5" s="35"/>
      <c r="D5" s="35"/>
      <c r="E5" s="35"/>
      <c r="F5" s="27"/>
      <c r="G5" s="27"/>
      <c r="H5" s="27"/>
      <c r="I5" s="27"/>
      <c r="J5" s="27"/>
      <c r="K5" s="27"/>
    </row>
    <row r="6" spans="1:13" s="22" customFormat="1" ht="17.25" customHeight="1">
      <c r="A6" s="33" t="s">
        <v>15</v>
      </c>
      <c r="B6" s="34"/>
      <c r="C6" s="34"/>
      <c r="D6" s="34"/>
      <c r="E6" s="34"/>
      <c r="F6" s="27"/>
      <c r="G6" s="27"/>
      <c r="H6" s="27"/>
      <c r="I6" s="27"/>
      <c r="J6" s="27"/>
      <c r="K6" s="27"/>
    </row>
    <row r="7" spans="1:13" s="22" customFormat="1" ht="17.25" customHeight="1">
      <c r="A7" s="33" t="s">
        <v>56</v>
      </c>
      <c r="B7" s="34"/>
      <c r="C7" s="34"/>
      <c r="D7" s="34"/>
      <c r="E7" s="34"/>
      <c r="F7" s="27"/>
      <c r="G7" s="27"/>
      <c r="H7" s="27"/>
      <c r="I7" s="27"/>
      <c r="J7" s="27"/>
      <c r="K7" s="27"/>
    </row>
    <row r="8" spans="1:13" s="22" customFormat="1" ht="17.25" customHeight="1">
      <c r="A8" s="23"/>
      <c r="B8" s="36"/>
      <c r="C8" s="36"/>
      <c r="D8" s="36"/>
      <c r="E8" s="36"/>
      <c r="F8" s="27"/>
      <c r="G8" s="27"/>
      <c r="H8" s="27"/>
      <c r="I8" s="27"/>
      <c r="J8" s="27"/>
      <c r="K8" s="27"/>
    </row>
    <row r="9" spans="1:13" s="22" customFormat="1" ht="17.25" customHeight="1">
      <c r="A9" s="23" t="s">
        <v>23</v>
      </c>
      <c r="F9" s="27"/>
      <c r="G9" s="27"/>
      <c r="H9" s="27"/>
      <c r="I9" s="27"/>
      <c r="J9" s="27"/>
      <c r="K9" s="27"/>
    </row>
    <row r="10" spans="1:13" s="22" customFormat="1" ht="17.25" customHeight="1">
      <c r="A10" s="24" t="s">
        <v>22</v>
      </c>
      <c r="F10" s="27"/>
      <c r="G10" s="27"/>
      <c r="H10" s="27"/>
      <c r="I10" s="27"/>
      <c r="J10" s="27"/>
      <c r="K10" s="27"/>
    </row>
    <row r="11" spans="1:13" s="22" customFormat="1" ht="17.25" customHeight="1">
      <c r="A11" s="24" t="s">
        <v>24</v>
      </c>
      <c r="F11" s="27"/>
      <c r="G11" s="27"/>
      <c r="H11" s="27"/>
      <c r="I11" s="27"/>
      <c r="J11" s="27"/>
      <c r="K11" s="27"/>
    </row>
    <row r="12" spans="1:13" s="22" customFormat="1" ht="17.25" customHeight="1">
      <c r="A12" s="24" t="s">
        <v>57</v>
      </c>
      <c r="F12" s="27"/>
      <c r="G12" s="27"/>
      <c r="H12" s="27"/>
      <c r="I12" s="27"/>
      <c r="J12" s="27"/>
      <c r="K12" s="27"/>
    </row>
    <row r="13" spans="1:13" s="22" customFormat="1" ht="17.25" customHeight="1">
      <c r="A13" s="23" t="s">
        <v>25</v>
      </c>
      <c r="F13" s="27"/>
      <c r="G13" s="27"/>
      <c r="H13" s="27"/>
      <c r="I13" s="27"/>
      <c r="J13" s="27"/>
      <c r="K13" s="27"/>
    </row>
    <row r="14" spans="1:13" s="22" customFormat="1" ht="17.25" customHeight="1">
      <c r="A14" s="24" t="s">
        <v>26</v>
      </c>
      <c r="F14" s="27"/>
      <c r="G14" s="27"/>
      <c r="H14" s="27"/>
      <c r="I14" s="27"/>
      <c r="J14" s="27"/>
      <c r="K14" s="27"/>
    </row>
    <row r="15" spans="1:13" s="22" customFormat="1" ht="17.25" customHeight="1">
      <c r="A15" s="23" t="s">
        <v>27</v>
      </c>
      <c r="F15" s="27"/>
      <c r="G15" s="27"/>
      <c r="H15" s="27"/>
      <c r="I15" s="27"/>
      <c r="J15" s="27"/>
      <c r="K15" s="27"/>
    </row>
    <row r="16" spans="1:13" s="22" customFormat="1" ht="17.25" customHeight="1">
      <c r="A16" s="24" t="s">
        <v>29</v>
      </c>
      <c r="F16" s="27"/>
      <c r="G16" s="27"/>
      <c r="H16" s="27"/>
      <c r="I16" s="27"/>
      <c r="J16" s="27"/>
      <c r="K16" s="27"/>
    </row>
    <row r="17" spans="1:11" s="22" customFormat="1" ht="17.25" customHeight="1">
      <c r="A17" s="24" t="s">
        <v>28</v>
      </c>
      <c r="F17" s="27"/>
      <c r="G17" s="27"/>
      <c r="H17" s="27"/>
      <c r="I17" s="27"/>
      <c r="J17" s="27"/>
      <c r="K17" s="27"/>
    </row>
    <row r="18" spans="1:11" s="22" customFormat="1" ht="17.25" customHeight="1">
      <c r="A18" s="23" t="s">
        <v>16</v>
      </c>
      <c r="F18" s="27"/>
      <c r="G18" s="27"/>
      <c r="H18" s="27"/>
      <c r="I18" s="27"/>
      <c r="J18" s="27"/>
      <c r="K18" s="27"/>
    </row>
    <row r="19" spans="1:11" s="22" customFormat="1" ht="17.25" customHeight="1">
      <c r="A19" s="24" t="s">
        <v>17</v>
      </c>
      <c r="F19" s="27"/>
      <c r="G19" s="27"/>
      <c r="H19" s="27"/>
      <c r="I19" s="27"/>
      <c r="J19" s="27"/>
      <c r="K19" s="27"/>
    </row>
    <row r="20" spans="1:11" s="22" customFormat="1" ht="17.25" customHeight="1">
      <c r="A20" s="23" t="s">
        <v>43</v>
      </c>
      <c r="F20" s="27"/>
      <c r="G20" s="27"/>
      <c r="H20" s="27"/>
      <c r="I20" s="27"/>
      <c r="J20" s="27"/>
      <c r="K20" s="27"/>
    </row>
    <row r="21" spans="1:11" s="22" customFormat="1" ht="17.25" customHeight="1">
      <c r="A21" s="24" t="s">
        <v>36</v>
      </c>
      <c r="F21" s="27"/>
      <c r="G21" s="27"/>
      <c r="H21" s="27"/>
      <c r="I21" s="27"/>
      <c r="J21" s="27"/>
      <c r="K21" s="27"/>
    </row>
    <row r="22" spans="1:11" s="22" customFormat="1" ht="17.25" customHeight="1">
      <c r="A22" s="23" t="s">
        <v>32</v>
      </c>
      <c r="F22" s="27"/>
      <c r="G22" s="27"/>
      <c r="H22" s="27"/>
      <c r="I22" s="27"/>
      <c r="J22" s="27"/>
      <c r="K22" s="27"/>
    </row>
    <row r="23" spans="1:11" s="22" customFormat="1" ht="17.25" customHeight="1">
      <c r="A23" s="24" t="s">
        <v>37</v>
      </c>
      <c r="F23" s="27"/>
      <c r="G23" s="27"/>
      <c r="H23" s="27"/>
      <c r="I23" s="27"/>
      <c r="J23" s="27"/>
      <c r="K23" s="27"/>
    </row>
    <row r="24" spans="1:11" s="22" customFormat="1" ht="17.25" customHeight="1">
      <c r="A24" s="24" t="s">
        <v>38</v>
      </c>
      <c r="F24" s="27"/>
      <c r="G24" s="27"/>
      <c r="H24" s="27"/>
      <c r="I24" s="27"/>
      <c r="J24" s="27"/>
      <c r="K24" s="27"/>
    </row>
    <row r="25" spans="1:11" s="22" customFormat="1" ht="17.25" customHeight="1">
      <c r="A25" s="23" t="s">
        <v>14</v>
      </c>
      <c r="F25" s="27"/>
      <c r="G25" s="27"/>
      <c r="H25" s="27"/>
      <c r="I25" s="27"/>
      <c r="J25" s="27"/>
      <c r="K25" s="27"/>
    </row>
    <row r="26" spans="1:11" s="22" customFormat="1" ht="17.25" customHeight="1">
      <c r="A26" s="24" t="s">
        <v>18</v>
      </c>
      <c r="F26" s="27"/>
      <c r="G26" s="27"/>
      <c r="H26" s="27"/>
      <c r="I26" s="27"/>
      <c r="J26" s="27"/>
      <c r="K26" s="27"/>
    </row>
    <row r="27" spans="1:11" s="22" customFormat="1" ht="17.25" customHeight="1">
      <c r="A27" s="23" t="s">
        <v>30</v>
      </c>
      <c r="F27" s="27"/>
      <c r="G27" s="27"/>
      <c r="H27" s="27"/>
      <c r="I27" s="27"/>
      <c r="J27" s="27"/>
      <c r="K27" s="27"/>
    </row>
    <row r="28" spans="1:11" s="22" customFormat="1" ht="17.25" customHeight="1">
      <c r="A28" s="24" t="s">
        <v>31</v>
      </c>
      <c r="F28" s="27"/>
      <c r="G28" s="27"/>
      <c r="H28" s="27"/>
      <c r="I28" s="27"/>
      <c r="J28" s="27"/>
      <c r="K28" s="27"/>
    </row>
    <row r="29" spans="1:11" s="22" customFormat="1" ht="17.25" customHeight="1">
      <c r="A29" s="23" t="s">
        <v>33</v>
      </c>
      <c r="F29" s="27"/>
      <c r="G29" s="27"/>
      <c r="H29" s="27"/>
      <c r="I29" s="27"/>
      <c r="J29" s="27"/>
      <c r="K29" s="27"/>
    </row>
    <row r="30" spans="1:11" s="22" customFormat="1" ht="17.25" customHeight="1">
      <c r="A30" s="24" t="s">
        <v>34</v>
      </c>
      <c r="F30" s="27"/>
      <c r="G30" s="27"/>
      <c r="H30" s="27"/>
      <c r="I30" s="27"/>
      <c r="J30" s="27"/>
      <c r="K30" s="27"/>
    </row>
    <row r="31" spans="1:11" s="22" customFormat="1" ht="17.25" customHeight="1">
      <c r="A31" s="24" t="s">
        <v>35</v>
      </c>
      <c r="F31" s="27"/>
      <c r="G31" s="27"/>
      <c r="H31" s="27"/>
      <c r="I31" s="27"/>
      <c r="J31" s="27"/>
      <c r="K31" s="27"/>
    </row>
    <row r="32" spans="1:11" s="22" customFormat="1" ht="17.25" customHeight="1">
      <c r="A32" s="23" t="s">
        <v>52</v>
      </c>
      <c r="F32" s="27"/>
      <c r="G32" s="27"/>
      <c r="H32" s="27"/>
      <c r="I32" s="27"/>
      <c r="J32" s="27"/>
      <c r="K32" s="27"/>
    </row>
    <row r="33" spans="1:1" ht="16.5">
      <c r="A33" s="24" t="s">
        <v>54</v>
      </c>
    </row>
    <row r="34" spans="1:1" ht="16.5">
      <c r="A34" s="24" t="s">
        <v>53</v>
      </c>
    </row>
    <row r="35" spans="1:1" ht="16.5">
      <c r="A35" s="24" t="s">
        <v>55</v>
      </c>
    </row>
  </sheetData>
  <mergeCells count="1">
    <mergeCell ref="A1:K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3.표준용어목록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2025-11-21T01:52:21Z</dcterms:modified>
</cp:coreProperties>
</file>